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2 (2)" sheetId="1" r:id="rId5"/>
    <sheet state="visible" name="2022" sheetId="2" r:id="rId6"/>
    <sheet state="visible" name="TeamOwners" sheetId="3" r:id="rId7"/>
    <sheet state="visible" name="Sheet2" sheetId="4" r:id="rId8"/>
    <sheet state="visible" name="All (2)" sheetId="5" r:id="rId9"/>
    <sheet state="visible" name="All" sheetId="6" r:id="rId10"/>
    <sheet state="visible" name="Players" sheetId="7" r:id="rId11"/>
    <sheet state="visible" name="Sheet6" sheetId="8" r:id="rId12"/>
  </sheets>
  <definedNames>
    <definedName hidden="1" localSheetId="4" name="_xlnm._FilterDatabase">'All (2)'!$A$1:$L$1</definedName>
    <definedName hidden="1" localSheetId="5" name="_xlnm._FilterDatabase">All!$A$1:$K$1</definedName>
    <definedName hidden="1" localSheetId="6" name="_xlnm._FilterDatabase">Players!$A$1:$E$2940</definedName>
  </definedNames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<sst xmlns="http://schemas.openxmlformats.org/spreadsheetml/2006/main" count="12783" uniqueCount="3101">
  <si>
    <t>Pick</t>
  </si>
  <si>
    <t>Year</t>
  </si>
  <si>
    <t>Team</t>
  </si>
  <si>
    <t>"</t>
  </si>
  <si>
    <t>Owner</t>
  </si>
  <si>
    <t xml:space="preserve">IF [Owner]= </t>
  </si>
  <si>
    <t>Standings</t>
  </si>
  <si>
    <t xml:space="preserve">then </t>
  </si>
  <si>
    <t>Robert Flacco</t>
  </si>
  <si>
    <t xml:space="preserve">ELSEIF [Owner]= </t>
  </si>
  <si>
    <t>Dante Cambria</t>
  </si>
  <si>
    <t>Rob and Bo*</t>
  </si>
  <si>
    <t>Anthony DellaPia</t>
  </si>
  <si>
    <t>Nolan Lawrence</t>
  </si>
  <si>
    <t>Anthony &amp; Ernie</t>
  </si>
  <si>
    <t>Ron Malandro</t>
  </si>
  <si>
    <t>Rondro Enterprise</t>
  </si>
  <si>
    <t>Julian Podagrasi</t>
  </si>
  <si>
    <t>DellaPia</t>
  </si>
  <si>
    <t>Rich Nolfi</t>
  </si>
  <si>
    <t>John Juliano</t>
  </si>
  <si>
    <t>Dynasty</t>
  </si>
  <si>
    <t>Phil Baldino</t>
  </si>
  <si>
    <t>Michael Pungitore</t>
  </si>
  <si>
    <t>There Is A Godwin!</t>
  </si>
  <si>
    <t>Chris Juliano</t>
  </si>
  <si>
    <t>Joseph Biancanello</t>
  </si>
  <si>
    <t>The ItAlvin Stallion’s</t>
  </si>
  <si>
    <t>Two Mannings One Cup</t>
  </si>
  <si>
    <t>The Tone Rangers</t>
  </si>
  <si>
    <t>LFTLR</t>
  </si>
  <si>
    <t>Blaze DiGregorio</t>
  </si>
  <si>
    <t>Dom and Chris</t>
  </si>
  <si>
    <t>Deshaun’s Happy Endings</t>
  </si>
  <si>
    <t>Dom and Chris*</t>
  </si>
  <si>
    <t>Brady Bunch</t>
  </si>
  <si>
    <t>Ying Yang Twins</t>
  </si>
  <si>
    <t>LegionOfZoom</t>
  </si>
  <si>
    <t>Vincent Gatta</t>
  </si>
  <si>
    <t>Quadzillas Killas</t>
  </si>
  <si>
    <t>Bishop Sycamore HS</t>
  </si>
  <si>
    <t>Team JoeBa</t>
  </si>
  <si>
    <t>Rondro Enterprise*</t>
  </si>
  <si>
    <t>2 Gurley's 1 Cup</t>
  </si>
  <si>
    <t>Prestige WorldWide</t>
  </si>
  <si>
    <t>Ben There Raped That</t>
  </si>
  <si>
    <t>OJ's Parole Board</t>
  </si>
  <si>
    <t>Dynasty*</t>
  </si>
  <si>
    <t>LEFTY &amp; LONG</t>
  </si>
  <si>
    <t>LEFTY &amp; LONG*</t>
  </si>
  <si>
    <t>Rob and Bo</t>
  </si>
  <si>
    <t>Zeke’s Freaks*</t>
  </si>
  <si>
    <t>Robert's Team</t>
  </si>
  <si>
    <t>The Dro's</t>
  </si>
  <si>
    <t>GaTTa</t>
  </si>
  <si>
    <t>Count of Position</t>
  </si>
  <si>
    <t>Position</t>
  </si>
  <si>
    <t>JuiceIsLoose</t>
  </si>
  <si>
    <t>Shake and Bakers</t>
  </si>
  <si>
    <t>ScoobyDrewCrew</t>
  </si>
  <si>
    <t>Playoff or Not</t>
  </si>
  <si>
    <t>Playoff Team</t>
  </si>
  <si>
    <t>Round</t>
  </si>
  <si>
    <t>DEF</t>
  </si>
  <si>
    <t>K</t>
  </si>
  <si>
    <t>QB</t>
  </si>
  <si>
    <t>RB</t>
  </si>
  <si>
    <t>Taste the rainbow</t>
  </si>
  <si>
    <t>TE</t>
  </si>
  <si>
    <t>WR</t>
  </si>
  <si>
    <t>Grand Total</t>
  </si>
  <si>
    <t>Column Labels</t>
  </si>
  <si>
    <t>Row Labels</t>
  </si>
  <si>
    <t>Rd</t>
  </si>
  <si>
    <t>Player</t>
  </si>
  <si>
    <t>First</t>
  </si>
  <si>
    <t>Last</t>
  </si>
  <si>
    <t>Full Name</t>
  </si>
  <si>
    <t>Christian McCaffrey</t>
  </si>
  <si>
    <t>Clyde Edwards-Helaire</t>
  </si>
  <si>
    <t>Keenan Allen</t>
  </si>
  <si>
    <t>Mark Andrews</t>
  </si>
  <si>
    <t>Diontae Johnson</t>
  </si>
  <si>
    <t>Jalen Hurts</t>
  </si>
  <si>
    <t>Jerry Jeudy</t>
  </si>
  <si>
    <t>James Conner</t>
  </si>
  <si>
    <t>DeVonta Smith</t>
  </si>
  <si>
    <t>Baltimore</t>
  </si>
  <si>
    <t>Tony Pollard</t>
  </si>
  <si>
    <t>Chuba Hubbard</t>
  </si>
  <si>
    <t>Ryan Succop</t>
  </si>
  <si>
    <t>Tyrell Williams</t>
  </si>
  <si>
    <t xml:space="preserve">Devontae Booker </t>
  </si>
  <si>
    <t>Dalvin Cook</t>
  </si>
  <si>
    <t>Joe Mixon</t>
  </si>
  <si>
    <t>Allen Robinson II</t>
  </si>
  <si>
    <t>Julio Jones</t>
  </si>
  <si>
    <t>Josh Jacobs</t>
  </si>
  <si>
    <t>Deebo Samuel</t>
  </si>
  <si>
    <t>Robbie Anderson</t>
  </si>
  <si>
    <t>Trey Lance</t>
  </si>
  <si>
    <t>Tyler Higbee</t>
  </si>
  <si>
    <t>Nyheim Hines</t>
  </si>
  <si>
    <t>Cole Beasley</t>
  </si>
  <si>
    <t>Parris Campbell</t>
  </si>
  <si>
    <t>Denver</t>
  </si>
  <si>
    <t>Matt Gay</t>
  </si>
  <si>
    <t xml:space="preserve">Matt Ryan </t>
  </si>
  <si>
    <t>Alvin Kamara</t>
  </si>
  <si>
    <t>Antonio Gibson</t>
  </si>
  <si>
    <t>Patrick Mahomes</t>
  </si>
  <si>
    <t>DJ Moore</t>
  </si>
  <si>
    <t>Adam Thielen</t>
  </si>
  <si>
    <t>Kareem Hunt</t>
  </si>
  <si>
    <t>Tee Higgins</t>
  </si>
  <si>
    <t>Tampa Bay</t>
  </si>
  <si>
    <t>Marquez Callaway</t>
  </si>
  <si>
    <t>Jarvis Landry</t>
  </si>
  <si>
    <t>Mike Gesicki</t>
  </si>
  <si>
    <t>Marquise Brown</t>
  </si>
  <si>
    <t>J.D. McKissic</t>
  </si>
  <si>
    <t>Jalen Reagor</t>
  </si>
  <si>
    <t>Jason Sanders</t>
  </si>
  <si>
    <t>Ezekiel Elliott</t>
  </si>
  <si>
    <t>Justin Jefferson</t>
  </si>
  <si>
    <t>Terry McLaurin</t>
  </si>
  <si>
    <t>Kyle Pitts</t>
  </si>
  <si>
    <t>Damien Harris</t>
  </si>
  <si>
    <t>Justin Herbert</t>
  </si>
  <si>
    <t>Trey Sermon</t>
  </si>
  <si>
    <t>Kenny Golladay</t>
  </si>
  <si>
    <t>Laviska Shenault Jr.</t>
  </si>
  <si>
    <t>Pittsburgh</t>
  </si>
  <si>
    <t>David Johnson</t>
  </si>
  <si>
    <t>Jonnu Smith</t>
  </si>
  <si>
    <t>Ty Johnson</t>
  </si>
  <si>
    <t>Nelson Agholor</t>
  </si>
  <si>
    <t xml:space="preserve">Robbie Gould </t>
  </si>
  <si>
    <t>Full</t>
  </si>
  <si>
    <t>Travis Kelce</t>
  </si>
  <si>
    <t>A.C. Leonard</t>
  </si>
  <si>
    <t>A.J. Brown</t>
  </si>
  <si>
    <t>Tyler Lockett</t>
  </si>
  <si>
    <t>Chase Edmonds</t>
  </si>
  <si>
    <t>Russell Wilson</t>
  </si>
  <si>
    <t>Myles Gaskin</t>
  </si>
  <si>
    <t>Sony Michel</t>
  </si>
  <si>
    <t>Brandin Cooks</t>
  </si>
  <si>
    <t>Zack Moss</t>
  </si>
  <si>
    <t>A.J. Derby</t>
  </si>
  <si>
    <t>Michael Gallup</t>
  </si>
  <si>
    <t>A.J. Dillon</t>
  </si>
  <si>
    <t>A.J. Green</t>
  </si>
  <si>
    <t>A.J. Jenkins</t>
  </si>
  <si>
    <t>Jakobi Meyers</t>
  </si>
  <si>
    <t>A.J. McCarron</t>
  </si>
  <si>
    <t>A.J. Richardson</t>
  </si>
  <si>
    <t>Bryan Edwards</t>
  </si>
  <si>
    <t>A.T. Perry</t>
  </si>
  <si>
    <t>Aaron Burbridge</t>
  </si>
  <si>
    <t>Tevin Coleman</t>
  </si>
  <si>
    <t>Aaron Dobson</t>
  </si>
  <si>
    <t>Green Bay</t>
  </si>
  <si>
    <t>Aaron Dumas</t>
  </si>
  <si>
    <t>Aaron Fuller</t>
  </si>
  <si>
    <t xml:space="preserve">Rodrigo Blankenship </t>
  </si>
  <si>
    <t>Aaron Green</t>
  </si>
  <si>
    <t>Aaron Jones</t>
  </si>
  <si>
    <t>Derrick Henry</t>
  </si>
  <si>
    <t>Aaron Mellette</t>
  </si>
  <si>
    <t>Calvin Ridley</t>
  </si>
  <si>
    <t>Aaron Murray</t>
  </si>
  <si>
    <t>Aaron Parker</t>
  </si>
  <si>
    <t>Chris Godwin</t>
  </si>
  <si>
    <t>Aaron Ripkowski</t>
  </si>
  <si>
    <t>James Robinson</t>
  </si>
  <si>
    <t>Aaron Rodgers</t>
  </si>
  <si>
    <t>Abram Smith</t>
  </si>
  <si>
    <t>Kyler Murray</t>
  </si>
  <si>
    <t>Ace Sanders</t>
  </si>
  <si>
    <t>Adam Choice</t>
  </si>
  <si>
    <t>Odell Beckham Jr.</t>
  </si>
  <si>
    <t>Adam Humphries</t>
  </si>
  <si>
    <t>Adam Krumholz</t>
  </si>
  <si>
    <t>Adam Shaheen</t>
  </si>
  <si>
    <t>Logan Thomas</t>
  </si>
  <si>
    <t>Adam Trautman</t>
  </si>
  <si>
    <t>Jamaal Williams</t>
  </si>
  <si>
    <t>Adam Vinatieri</t>
  </si>
  <si>
    <t>Adam Zaruba</t>
  </si>
  <si>
    <t>Justin Tucker</t>
  </si>
  <si>
    <t>Adonai Mitchell</t>
  </si>
  <si>
    <t>Washington</t>
  </si>
  <si>
    <t>Adrian Coxson</t>
  </si>
  <si>
    <t>Adrian Hardy</t>
  </si>
  <si>
    <t>Adrian Killins</t>
  </si>
  <si>
    <t>Curtis Samuel</t>
  </si>
  <si>
    <t>Adrian Peterson</t>
  </si>
  <si>
    <t>Adrien Robinson</t>
  </si>
  <si>
    <t>Aeris Williams</t>
  </si>
  <si>
    <t>Alexander Mattison</t>
  </si>
  <si>
    <t>Agiye Hall</t>
  </si>
  <si>
    <t>Ahmad Bradshaw</t>
  </si>
  <si>
    <t>Evan Engram</t>
  </si>
  <si>
    <t>Ainias Smith</t>
  </si>
  <si>
    <t>Akeem Hunt</t>
  </si>
  <si>
    <t>Ty'Son Williams</t>
  </si>
  <si>
    <t>Akeem Judd</t>
  </si>
  <si>
    <t>Akrum Wadley</t>
  </si>
  <si>
    <t>Carlos Hyde</t>
  </si>
  <si>
    <t>Alan Bonner</t>
  </si>
  <si>
    <t>Alan Cross</t>
  </si>
  <si>
    <t>Albert Okwuegbunam</t>
  </si>
  <si>
    <t>Davante Adams</t>
  </si>
  <si>
    <t>Albert Wilson</t>
  </si>
  <si>
    <t>Aldrick Robinson</t>
  </si>
  <si>
    <t>DK Metcalf</t>
  </si>
  <si>
    <t>Alec Ingold</t>
  </si>
  <si>
    <t>Alec Pierce</t>
  </si>
  <si>
    <t>Miles Sanders</t>
  </si>
  <si>
    <t>Alek Torgersen</t>
  </si>
  <si>
    <t>Alex Armah</t>
  </si>
  <si>
    <t>D'Andre Swift</t>
  </si>
  <si>
    <t>Alex Bachman</t>
  </si>
  <si>
    <t>Alex Barnes</t>
  </si>
  <si>
    <t>Lamar Jackson</t>
  </si>
  <si>
    <t>Alex Bayer</t>
  </si>
  <si>
    <t>T.J. Hockenson</t>
  </si>
  <si>
    <t>Alex Collins</t>
  </si>
  <si>
    <t>Antonio Brown</t>
  </si>
  <si>
    <t>Alex Ellis</t>
  </si>
  <si>
    <t>Los Angeles</t>
  </si>
  <si>
    <t>Alex Erickson</t>
  </si>
  <si>
    <t>Alex Gray</t>
  </si>
  <si>
    <t>Alex McGough</t>
  </si>
  <si>
    <t>DJ Chark Jr.</t>
  </si>
  <si>
    <t>Alex Neutz</t>
  </si>
  <si>
    <t>Alex Smith</t>
  </si>
  <si>
    <t>Devin Singletary</t>
  </si>
  <si>
    <t>Alex Tanney</t>
  </si>
  <si>
    <t>Alex Wesley</t>
  </si>
  <si>
    <t>Justin Fields</t>
  </si>
  <si>
    <t>Alexander Hollins</t>
  </si>
  <si>
    <t>Marvin Jones Jr.</t>
  </si>
  <si>
    <t>Alfonso Smith</t>
  </si>
  <si>
    <t>Alfred Blue</t>
  </si>
  <si>
    <t>Darnell Mooney</t>
  </si>
  <si>
    <t>Alfred Morris</t>
  </si>
  <si>
    <t>Alize Mack</t>
  </si>
  <si>
    <t>Younghoe Koo</t>
  </si>
  <si>
    <t>Allen Hurns</t>
  </si>
  <si>
    <t>Allen Lazard</t>
  </si>
  <si>
    <t xml:space="preserve">Irv Smith Jr. </t>
  </si>
  <si>
    <t>Allen Robinson</t>
  </si>
  <si>
    <t>Allenzae Staggers</t>
  </si>
  <si>
    <t>Alonzo Harris</t>
  </si>
  <si>
    <t>Austin Ekeler</t>
  </si>
  <si>
    <t>Alonzo Moore</t>
  </si>
  <si>
    <t>Alonzo Russell</t>
  </si>
  <si>
    <t>Darren Waller</t>
  </si>
  <si>
    <t>Alshon Jeffery</t>
  </si>
  <si>
    <t>David Montgomery</t>
  </si>
  <si>
    <t>Alvester Alexander</t>
  </si>
  <si>
    <t>Amari Cooper</t>
  </si>
  <si>
    <t>Amara Darboh</t>
  </si>
  <si>
    <t>Darrell Henderson Jr.</t>
  </si>
  <si>
    <t>Amari Daniels</t>
  </si>
  <si>
    <t>Tom Brady</t>
  </si>
  <si>
    <t>Amari Rodgers</t>
  </si>
  <si>
    <t>Amba Etta-Tawo</t>
  </si>
  <si>
    <t>Michael Thomas</t>
  </si>
  <si>
    <t>Ameer Abdullah</t>
  </si>
  <si>
    <t>Amon-Ra St. Brown</t>
  </si>
  <si>
    <t>Corey Davis</t>
  </si>
  <si>
    <t>Andre Brown</t>
  </si>
  <si>
    <t>Andre Caldwell</t>
  </si>
  <si>
    <t>Courtland Sutton</t>
  </si>
  <si>
    <t>Andre Davis</t>
  </si>
  <si>
    <t>Andre Debose</t>
  </si>
  <si>
    <t>AJ Dillon</t>
  </si>
  <si>
    <t>Andre Dollar</t>
  </si>
  <si>
    <t>Andre Ellington</t>
  </si>
  <si>
    <t>San Francisco</t>
  </si>
  <si>
    <t>Andre Hardy</t>
  </si>
  <si>
    <t>Andre Holmes</t>
  </si>
  <si>
    <t>Joe Burrow</t>
  </si>
  <si>
    <t>Andre Johnson</t>
  </si>
  <si>
    <t>Andre Levrone</t>
  </si>
  <si>
    <t>Greg Zuerlein</t>
  </si>
  <si>
    <t>Andre Lindsay</t>
  </si>
  <si>
    <t>Andre Patton</t>
  </si>
  <si>
    <t>Cole Kmet</t>
  </si>
  <si>
    <t>Andre Roberts</t>
  </si>
  <si>
    <t>Andre Williams</t>
  </si>
  <si>
    <t xml:space="preserve">Gabriel Davis </t>
  </si>
  <si>
    <t>Andre Wilson</t>
  </si>
  <si>
    <t>Andrew Beck</t>
  </si>
  <si>
    <t>Andrew Hawkins</t>
  </si>
  <si>
    <t>DeAndre Hopkins</t>
  </si>
  <si>
    <t>Andrew Luck</t>
  </si>
  <si>
    <t>Andrew Ogletree</t>
  </si>
  <si>
    <t>CeeDee Lamb</t>
  </si>
  <si>
    <t>Andrew Quarless</t>
  </si>
  <si>
    <t>Andrew Vollert</t>
  </si>
  <si>
    <t>Gus Edwards</t>
  </si>
  <si>
    <t>Andy Cruse</t>
  </si>
  <si>
    <t>Dak Prescott</t>
  </si>
  <si>
    <t>Andy Dalton</t>
  </si>
  <si>
    <t>Andy Isabella</t>
  </si>
  <si>
    <t>Andy Janovich</t>
  </si>
  <si>
    <t>Mike Davis</t>
  </si>
  <si>
    <t>Andy Jones</t>
  </si>
  <si>
    <t>Ronald Jones II</t>
  </si>
  <si>
    <t>Anquan Boldin</t>
  </si>
  <si>
    <t>Anthony Boone</t>
  </si>
  <si>
    <t>Noah Fant</t>
  </si>
  <si>
    <t>Anthony Dable</t>
  </si>
  <si>
    <t>Anthony Denham</t>
  </si>
  <si>
    <t>Will Fuller V</t>
  </si>
  <si>
    <t>Anthony Dixon</t>
  </si>
  <si>
    <t>Mike Williams</t>
  </si>
  <si>
    <t>Anthony Fasano</t>
  </si>
  <si>
    <t>Anthony Firkser</t>
  </si>
  <si>
    <t>Harrison Butker</t>
  </si>
  <si>
    <t>Anthony Gonzalez</t>
  </si>
  <si>
    <t>Cleveland</t>
  </si>
  <si>
    <t>Anthony Gordon</t>
  </si>
  <si>
    <t>Anthony Johnson</t>
  </si>
  <si>
    <t>Sterling Shepard</t>
  </si>
  <si>
    <t>Anthony McCoy</t>
  </si>
  <si>
    <t>Anthony McFarland</t>
  </si>
  <si>
    <t>Kansas City</t>
  </si>
  <si>
    <t>Anthony Miller</t>
  </si>
  <si>
    <t>Anthony Ratliff-Williams</t>
  </si>
  <si>
    <t>Anthony Richardson</t>
  </si>
  <si>
    <t>Randall Cobb</t>
  </si>
  <si>
    <t>Anthony Schwartz</t>
  </si>
  <si>
    <t>Anthony Sherman</t>
  </si>
  <si>
    <t>Antoine Wesley</t>
  </si>
  <si>
    <t>Tyreek Hill</t>
  </si>
  <si>
    <t>Antone Smith</t>
  </si>
  <si>
    <t>Antonio Andrews</t>
  </si>
  <si>
    <t>Saquon Barkley</t>
  </si>
  <si>
    <t>Antonio Callaway</t>
  </si>
  <si>
    <t>Antonio Gandy-Golden</t>
  </si>
  <si>
    <t>George Kittle</t>
  </si>
  <si>
    <t>Antonio Gates</t>
  </si>
  <si>
    <t>Chris Carson</t>
  </si>
  <si>
    <t>Average of Standings</t>
  </si>
  <si>
    <t>Antonio Nunn</t>
  </si>
  <si>
    <t>Chase Claypool</t>
  </si>
  <si>
    <t>Antonio Williams</t>
  </si>
  <si>
    <t>Raheem Mostert</t>
  </si>
  <si>
    <t>Antony Auclair</t>
  </si>
  <si>
    <t>Ja'Marr Chase</t>
  </si>
  <si>
    <t>Antwan Davis</t>
  </si>
  <si>
    <t>Antwan Goodley</t>
  </si>
  <si>
    <t>Ryan Tannehill</t>
  </si>
  <si>
    <t>Antwane Grant</t>
  </si>
  <si>
    <t>Antwane Wells</t>
  </si>
  <si>
    <t>Melvin Gordon III</t>
  </si>
  <si>
    <t>Aqeel Glass</t>
  </si>
  <si>
    <t>Kenyan Drake</t>
  </si>
  <si>
    <t>Arch Manning</t>
  </si>
  <si>
    <t>ArDarius Stewart</t>
  </si>
  <si>
    <t>Arian Foster</t>
  </si>
  <si>
    <t>Matthew Stafford</t>
  </si>
  <si>
    <t>Arik Gilbert</t>
  </si>
  <si>
    <t>Arizona</t>
  </si>
  <si>
    <t>New England</t>
  </si>
  <si>
    <t>Armon Binns</t>
  </si>
  <si>
    <t>Arnaz Battle</t>
  </si>
  <si>
    <t>Elijah Moore</t>
  </si>
  <si>
    <t>Arrelious Benn</t>
  </si>
  <si>
    <t>Art Thompkins</t>
  </si>
  <si>
    <t>Rashaad Penny</t>
  </si>
  <si>
    <t>Artavis Pierce</t>
  </si>
  <si>
    <t xml:space="preserve">Daniel Carlson </t>
  </si>
  <si>
    <t>Artavis Scott</t>
  </si>
  <si>
    <t>Artayvious Lynn</t>
  </si>
  <si>
    <t>Arthur Lynch</t>
  </si>
  <si>
    <t>Jonathan Taylor</t>
  </si>
  <si>
    <t>Asa Watson</t>
  </si>
  <si>
    <t>Asante Cleveland</t>
  </si>
  <si>
    <t>Ashley Lelie</t>
  </si>
  <si>
    <t>Najee Harris</t>
  </si>
  <si>
    <t>Ashton Dulin</t>
  </si>
  <si>
    <t>Asim Rose</t>
  </si>
  <si>
    <t>Auden Tate</t>
  </si>
  <si>
    <t>Robert Woods</t>
  </si>
  <si>
    <t>Austin Allen</t>
  </si>
  <si>
    <t>Mike Evans</t>
  </si>
  <si>
    <t>Austin Appleby</t>
  </si>
  <si>
    <t>Austin Carr</t>
  </si>
  <si>
    <t>Brandon Aiyuk</t>
  </si>
  <si>
    <t>Austin Collie</t>
  </si>
  <si>
    <t>Austin Davis</t>
  </si>
  <si>
    <t>Austin Dodge</t>
  </si>
  <si>
    <t>Robert Tonyan</t>
  </si>
  <si>
    <t>Austin Duke</t>
  </si>
  <si>
    <t>Michael Pittman Jr.</t>
  </si>
  <si>
    <t>Austin Fort</t>
  </si>
  <si>
    <t>Leonard Fournette</t>
  </si>
  <si>
    <t>Austin Franklin</t>
  </si>
  <si>
    <t>Austin Hill</t>
  </si>
  <si>
    <t>Jaylen Waddle</t>
  </si>
  <si>
    <t>Austin Hooper</t>
  </si>
  <si>
    <t>Buffalo</t>
  </si>
  <si>
    <t>Austin Johnson</t>
  </si>
  <si>
    <t>Austin Jones</t>
  </si>
  <si>
    <t>Tyler Bass</t>
  </si>
  <si>
    <t>Austin Mack</t>
  </si>
  <si>
    <t>Kirk Cousins</t>
  </si>
  <si>
    <t>Austin Pettis</t>
  </si>
  <si>
    <t>Austin Proehl</t>
  </si>
  <si>
    <t>Austin Roberts</t>
  </si>
  <si>
    <t>Terrace Marshall Jr.</t>
  </si>
  <si>
    <t>Austin Seferian-Jenkins</t>
  </si>
  <si>
    <t>Austin Stogner</t>
  </si>
  <si>
    <t xml:space="preserve">Jared Cook </t>
  </si>
  <si>
    <t>Austin Trammell</t>
  </si>
  <si>
    <t>Austin Traylor</t>
  </si>
  <si>
    <t>Stefon Diggs</t>
  </si>
  <si>
    <t>Austin Walter</t>
  </si>
  <si>
    <t>Austin Watkins</t>
  </si>
  <si>
    <t>Nick Chubb</t>
  </si>
  <si>
    <t>Austin Willis</t>
  </si>
  <si>
    <t>B.J. Catalon</t>
  </si>
  <si>
    <t>Josh Allen</t>
  </si>
  <si>
    <t>B.J. Cunningham</t>
  </si>
  <si>
    <t>Cooper Kupp</t>
  </si>
  <si>
    <t>B.J. Smith</t>
  </si>
  <si>
    <t>Bailey Zappe</t>
  </si>
  <si>
    <t>Javonte Williams</t>
  </si>
  <si>
    <t>Baker Mayfield</t>
  </si>
  <si>
    <t>JuJu Smith-Schuster</t>
  </si>
  <si>
    <t>Barry Sanders</t>
  </si>
  <si>
    <t>Bart Houston</t>
  </si>
  <si>
    <t>Dallas Goedert</t>
  </si>
  <si>
    <t>Baylor Cupp</t>
  </si>
  <si>
    <t>Tyler Boyd</t>
  </si>
  <si>
    <t>Beau Gardner</t>
  </si>
  <si>
    <t>Beau Sandland</t>
  </si>
  <si>
    <t>Michael Carter</t>
  </si>
  <si>
    <t>Beaux Collins</t>
  </si>
  <si>
    <t>Gerald Everett</t>
  </si>
  <si>
    <t>Ben Braunecker</t>
  </si>
  <si>
    <t>Ben DiNucci</t>
  </si>
  <si>
    <t>Ben Edwards</t>
  </si>
  <si>
    <t>Henry Ruggs III</t>
  </si>
  <si>
    <t>Ben Ellefson</t>
  </si>
  <si>
    <t>Ben Johnson</t>
  </si>
  <si>
    <t>James White</t>
  </si>
  <si>
    <t>Ben Koyack</t>
  </si>
  <si>
    <t>Ben Malena</t>
  </si>
  <si>
    <t>Ben Mason</t>
  </si>
  <si>
    <t>Indianapolis</t>
  </si>
  <si>
    <t>Ben Roethlisberger</t>
  </si>
  <si>
    <t>Ben Skowronek</t>
  </si>
  <si>
    <t>Trevor Lawrence</t>
  </si>
  <si>
    <t>Ben Tate</t>
  </si>
  <si>
    <t>Ben Watson</t>
  </si>
  <si>
    <t>Jason Myers</t>
  </si>
  <si>
    <t>BenJarvis Green-Ellis</t>
  </si>
  <si>
    <t>Bennie Fowler</t>
  </si>
  <si>
    <t>Benny Cunningham</t>
  </si>
  <si>
    <t>Benny LeMay</t>
  </si>
  <si>
    <t>Benny Snell</t>
  </si>
  <si>
    <t>Bernard Berrian</t>
  </si>
  <si>
    <t>Bernard Pierce</t>
  </si>
  <si>
    <t>Bernard Reedy</t>
  </si>
  <si>
    <t>Bijan Robinson</t>
  </si>
  <si>
    <t>Bilal Powell</t>
  </si>
  <si>
    <t>Billy Brown</t>
  </si>
  <si>
    <t>Billy Kemp</t>
  </si>
  <si>
    <t>Binjimen Victor</t>
  </si>
  <si>
    <t>Bishop Sankey</t>
  </si>
  <si>
    <t>BJ Baylor</t>
  </si>
  <si>
    <t>DeVante Parker</t>
  </si>
  <si>
    <t>Blaine Gabbert</t>
  </si>
  <si>
    <t>Blake Annen</t>
  </si>
  <si>
    <t>Carson Wentz</t>
  </si>
  <si>
    <t>Blake Bell</t>
  </si>
  <si>
    <t>Blake Bortles</t>
  </si>
  <si>
    <t>Blake Corum</t>
  </si>
  <si>
    <t>John Brown</t>
  </si>
  <si>
    <t>Blake Jackson</t>
  </si>
  <si>
    <t>Blake Jarwin</t>
  </si>
  <si>
    <t>Jamison Crowder</t>
  </si>
  <si>
    <t>Blake Mack</t>
  </si>
  <si>
    <t>Blake Proehl</t>
  </si>
  <si>
    <t>Kerryon Johnson</t>
  </si>
  <si>
    <t>Blake Sims</t>
  </si>
  <si>
    <t>Bo Jackson</t>
  </si>
  <si>
    <t>Matt Breida</t>
  </si>
  <si>
    <t>Bo Melton</t>
  </si>
  <si>
    <t>Bo Nix</t>
  </si>
  <si>
    <t>Bo Scarbrough</t>
  </si>
  <si>
    <t>Duke Johnson</t>
  </si>
  <si>
    <t>Bo Wallace</t>
  </si>
  <si>
    <t>Bobby Rainey</t>
  </si>
  <si>
    <t>Bobo Wilson</t>
  </si>
  <si>
    <t>Minnesota</t>
  </si>
  <si>
    <t>Boom Williams</t>
  </si>
  <si>
    <t>Boston Scott</t>
  </si>
  <si>
    <t>Jimmy Garoppolo</t>
  </si>
  <si>
    <t>Brad Kaaya</t>
  </si>
  <si>
    <t>Brad Smith</t>
  </si>
  <si>
    <t>Braden Galloway</t>
  </si>
  <si>
    <t xml:space="preserve">Matt Prater </t>
  </si>
  <si>
    <t>Bradley Marquez</t>
  </si>
  <si>
    <t>Bradley Sowell</t>
  </si>
  <si>
    <t>Brady White</t>
  </si>
  <si>
    <t>Braedon Bowman</t>
  </si>
  <si>
    <t>Braelon Allen</t>
  </si>
  <si>
    <t>Bralon Addison</t>
  </si>
  <si>
    <t>Bra'lon Cherry</t>
  </si>
  <si>
    <t>Bralon Robinson</t>
  </si>
  <si>
    <t>Branden Mack</t>
  </si>
  <si>
    <t>Branden Oliver</t>
  </si>
  <si>
    <t>Brandon Allen</t>
  </si>
  <si>
    <t>Brandon Barnes</t>
  </si>
  <si>
    <t>Brandon Bolden</t>
  </si>
  <si>
    <t>Brandon Bostick</t>
  </si>
  <si>
    <t>Matt Ryan</t>
  </si>
  <si>
    <t>Brandon Bridge</t>
  </si>
  <si>
    <t>Brandon Burks</t>
  </si>
  <si>
    <t>Hunter Henry</t>
  </si>
  <si>
    <t>Brandon Coleman</t>
  </si>
  <si>
    <t>Brandon Dillon</t>
  </si>
  <si>
    <t>Brandon Doughty</t>
  </si>
  <si>
    <t>Bryce Love</t>
  </si>
  <si>
    <t>Brandon Gibson</t>
  </si>
  <si>
    <t>Brandon LaFell</t>
  </si>
  <si>
    <t>Preston Williams</t>
  </si>
  <si>
    <t>Brandon Lloyd</t>
  </si>
  <si>
    <t>Brandon Marshall</t>
  </si>
  <si>
    <t>Brandon McManus</t>
  </si>
  <si>
    <t>Brandon Myers</t>
  </si>
  <si>
    <t>Brandon Pettigrew</t>
  </si>
  <si>
    <t>Brandon Powell</t>
  </si>
  <si>
    <t xml:space="preserve">Tennessee </t>
  </si>
  <si>
    <t>Brandon Radcliff</t>
  </si>
  <si>
    <t>Brandon Reilly</t>
  </si>
  <si>
    <t>Brandon Shippen</t>
  </si>
  <si>
    <t>Brandon Silvers</t>
  </si>
  <si>
    <t>Brandon Smith</t>
  </si>
  <si>
    <t>Brandon Tate</t>
  </si>
  <si>
    <t>Brandon Weeden</t>
  </si>
  <si>
    <t>Brandon Wegher</t>
  </si>
  <si>
    <t>Brandon Wilds</t>
  </si>
  <si>
    <t>Brandon Williams</t>
  </si>
  <si>
    <t>Brandon Zylstra</t>
  </si>
  <si>
    <t>Branson Robinson</t>
  </si>
  <si>
    <t>Cam Akers</t>
  </si>
  <si>
    <t>Brant Kuithe</t>
  </si>
  <si>
    <t>Braxton Berrios</t>
  </si>
  <si>
    <t>Braxton Deaver</t>
  </si>
  <si>
    <t>Braxton Miller</t>
  </si>
  <si>
    <t>Braylon Edwards</t>
  </si>
  <si>
    <t>Braylon Heard</t>
  </si>
  <si>
    <t>Braylon Sanders</t>
  </si>
  <si>
    <t>Breece Hall</t>
  </si>
  <si>
    <t>Brelan Chancellor</t>
  </si>
  <si>
    <t>Brendan Langley</t>
  </si>
  <si>
    <t>Brenden Knox</t>
  </si>
  <si>
    <t>N'Keal Harry</t>
  </si>
  <si>
    <t>Brenden Rice</t>
  </si>
  <si>
    <t>Brendon Kay</t>
  </si>
  <si>
    <t>Brendon Lewis</t>
  </si>
  <si>
    <t>Brennan Armstrong</t>
  </si>
  <si>
    <t>Brennan Clay</t>
  </si>
  <si>
    <t>Brennan Eagles</t>
  </si>
  <si>
    <t>Philadelphia</t>
  </si>
  <si>
    <t>Brennan Presley</t>
  </si>
  <si>
    <t>Robbie Gould</t>
  </si>
  <si>
    <t>Brent Celek</t>
  </si>
  <si>
    <t>Brenton Bersin</t>
  </si>
  <si>
    <t>Breshad Perriman</t>
  </si>
  <si>
    <t>Brett Hundley</t>
  </si>
  <si>
    <t xml:space="preserve">Brett Maher </t>
  </si>
  <si>
    <t>Brett Rypien</t>
  </si>
  <si>
    <t>Brett Smith</t>
  </si>
  <si>
    <t>Brevin Jordan</t>
  </si>
  <si>
    <t>Brevyn Spann-Ford</t>
  </si>
  <si>
    <t>Brian Brown</t>
  </si>
  <si>
    <t>Brian Burt</t>
  </si>
  <si>
    <t>Brian Hartline</t>
  </si>
  <si>
    <t>Brian Herrien</t>
  </si>
  <si>
    <t>Brian Hill</t>
  </si>
  <si>
    <t>Brian Hoyer</t>
  </si>
  <si>
    <t>Brian Lewerke</t>
  </si>
  <si>
    <t>Brian Parker</t>
  </si>
  <si>
    <t>Brian Quick</t>
  </si>
  <si>
    <t>Brian Robinson</t>
  </si>
  <si>
    <t>Brian Thomas</t>
  </si>
  <si>
    <t>Brian Tyms</t>
  </si>
  <si>
    <t>Brice Butler</t>
  </si>
  <si>
    <t>Briley Moore</t>
  </si>
  <si>
    <t>Brisly Estime</t>
  </si>
  <si>
    <t>Brittain Brown</t>
  </si>
  <si>
    <t>Brittan Golden</t>
  </si>
  <si>
    <t>Broc Thompson</t>
  </si>
  <si>
    <t>Brock Bowers</t>
  </si>
  <si>
    <t>Brock Jensen</t>
  </si>
  <si>
    <t>Brock Osweiler</t>
  </si>
  <si>
    <t xml:space="preserve">Zane Gonzalez </t>
  </si>
  <si>
    <t>Brock Purdy</t>
  </si>
  <si>
    <t>Brock Wright</t>
  </si>
  <si>
    <t>Brody Oliver</t>
  </si>
  <si>
    <t>Brogan Roback</t>
  </si>
  <si>
    <t>Bronson Hill</t>
  </si>
  <si>
    <t>Bronson Kaufusi</t>
  </si>
  <si>
    <t>Bru McCoy</t>
  </si>
  <si>
    <t>Bruce Anderson</t>
  </si>
  <si>
    <t>Bruce Ellington</t>
  </si>
  <si>
    <t>Bruce Gradkowski</t>
  </si>
  <si>
    <t>Bryan Bennett</t>
  </si>
  <si>
    <t>Julian Edelman</t>
  </si>
  <si>
    <t>Bryan Walters</t>
  </si>
  <si>
    <t>Phillip Lindsay</t>
  </si>
  <si>
    <t>Bryant Koback</t>
  </si>
  <si>
    <t>Bryant Mitchell</t>
  </si>
  <si>
    <t>Bryce Bobo</t>
  </si>
  <si>
    <t>Bryce Brown</t>
  </si>
  <si>
    <t>Marlon Mack</t>
  </si>
  <si>
    <t>Bryce Ford-Wheaton</t>
  </si>
  <si>
    <t>Bryce Perkins</t>
  </si>
  <si>
    <t>Bryce Petty</t>
  </si>
  <si>
    <t>Bryce Treggs</t>
  </si>
  <si>
    <t>Bryce Williams</t>
  </si>
  <si>
    <t>Rodrigo Blankenship</t>
  </si>
  <si>
    <t>Bryce Young</t>
  </si>
  <si>
    <t>Brycen Hopkins</t>
  </si>
  <si>
    <t>Bryn Renner</t>
  </si>
  <si>
    <t xml:space="preserve">Jared Goff </t>
  </si>
  <si>
    <t>Bryson Denley</t>
  </si>
  <si>
    <t>Buck Allen</t>
  </si>
  <si>
    <t>Bucky Hodges</t>
  </si>
  <si>
    <t>Bud Sasser</t>
  </si>
  <si>
    <t>Buddy Howell</t>
  </si>
  <si>
    <t>Bug Howard</t>
  </si>
  <si>
    <t>Byron Cardwell</t>
  </si>
  <si>
    <t>Byron Marshall</t>
  </si>
  <si>
    <t>Byron Pringle</t>
  </si>
  <si>
    <t>C.J. Anderson</t>
  </si>
  <si>
    <t>C.J. Beathard</t>
  </si>
  <si>
    <t>C.J. Board</t>
  </si>
  <si>
    <t>C.J. Conrad</t>
  </si>
  <si>
    <t>C.J. Fiedorowicz</t>
  </si>
  <si>
    <t>C.J. Ham</t>
  </si>
  <si>
    <t>C.J. Johnson</t>
  </si>
  <si>
    <t>C.J. Marable</t>
  </si>
  <si>
    <t>C.J. Prosise</t>
  </si>
  <si>
    <t>Rob Gronkowski</t>
  </si>
  <si>
    <t>C.J. Spiller</t>
  </si>
  <si>
    <t>C.J. Stroud</t>
  </si>
  <si>
    <t>C.J. Uzomah</t>
  </si>
  <si>
    <t>C.J. Verdell</t>
  </si>
  <si>
    <t>C.J. Williams</t>
  </si>
  <si>
    <t>C.J. Worton</t>
  </si>
  <si>
    <t>Cade Carney</t>
  </si>
  <si>
    <t>New Orleans</t>
  </si>
  <si>
    <t>Cade Johnson</t>
  </si>
  <si>
    <t>Cade Klubnik</t>
  </si>
  <si>
    <t>Wil Lutz</t>
  </si>
  <si>
    <t>Cade McNamara</t>
  </si>
  <si>
    <t>Cade Otton</t>
  </si>
  <si>
    <t>Cairo Santos</t>
  </si>
  <si>
    <t xml:space="preserve">Cairo Santos </t>
  </si>
  <si>
    <t>Chris Thompson</t>
  </si>
  <si>
    <t>Caleb Holley</t>
  </si>
  <si>
    <t>Caleb Huntley</t>
  </si>
  <si>
    <t>Caleb Scott</t>
  </si>
  <si>
    <t>Caleb Sturgis</t>
  </si>
  <si>
    <t>Caleb Williams</t>
  </si>
  <si>
    <t>Caleb Wilson</t>
  </si>
  <si>
    <t>Calvin Austin</t>
  </si>
  <si>
    <t>Calvin Jackson</t>
  </si>
  <si>
    <t>Calvin Johnson</t>
  </si>
  <si>
    <t>Cam Newton</t>
  </si>
  <si>
    <t>Cam Phillips</t>
  </si>
  <si>
    <t>Cam Serigne</t>
  </si>
  <si>
    <t>Cam Sims</t>
  </si>
  <si>
    <t>Cam Worthy</t>
  </si>
  <si>
    <t>Cameron Artis-Payne</t>
  </si>
  <si>
    <t>Cameron Batson</t>
  </si>
  <si>
    <t>Cameron Brate</t>
  </si>
  <si>
    <t>Cameron Clear</t>
  </si>
  <si>
    <t>Cameron Latu</t>
  </si>
  <si>
    <t>Cameron Marshall</t>
  </si>
  <si>
    <t>Cameron Meredith</t>
  </si>
  <si>
    <t>Cameron Rising</t>
  </si>
  <si>
    <t>Cam'Ron Harris</t>
  </si>
  <si>
    <t>Jared Cook</t>
  </si>
  <si>
    <t>Canaan Severin</t>
  </si>
  <si>
    <t>Cannon Smith</t>
  </si>
  <si>
    <t>Cardale Jones</t>
  </si>
  <si>
    <t>Carl Tucker</t>
  </si>
  <si>
    <t>Jordan Howard</t>
  </si>
  <si>
    <t>Carlos Henderson</t>
  </si>
  <si>
    <t>DeSean Jackson</t>
  </si>
  <si>
    <t>Carlton Agudosi</t>
  </si>
  <si>
    <t>Carolina</t>
  </si>
  <si>
    <t>Carson Meier</t>
  </si>
  <si>
    <t>Carson Palmer</t>
  </si>
  <si>
    <t>Carson Strong</t>
  </si>
  <si>
    <t xml:space="preserve">Jake Elliott </t>
  </si>
  <si>
    <t>Cary Angeline</t>
  </si>
  <si>
    <t>Case Keenum</t>
  </si>
  <si>
    <t>Casey Pierce</t>
  </si>
  <si>
    <t>Darius Slayton</t>
  </si>
  <si>
    <t>Casey Thompson</t>
  </si>
  <si>
    <t>Cayleb Jones</t>
  </si>
  <si>
    <t>Drew Brees</t>
  </si>
  <si>
    <t>Cecil Shorts</t>
  </si>
  <si>
    <t>Cedric Byrd</t>
  </si>
  <si>
    <t>Cedric Peerman</t>
  </si>
  <si>
    <t>Cedric Tillman</t>
  </si>
  <si>
    <t xml:space="preserve">Denver </t>
  </si>
  <si>
    <t>Cedrick Wilson</t>
  </si>
  <si>
    <t>Cethan Carter</t>
  </si>
  <si>
    <t>Chad Beebe</t>
  </si>
  <si>
    <t>Chad Hansen</t>
  </si>
  <si>
    <t>Mark Ingram II</t>
  </si>
  <si>
    <t>Chad Henne</t>
  </si>
  <si>
    <t>Chad Johnson</t>
  </si>
  <si>
    <t>Chad Kanoff</t>
  </si>
  <si>
    <t>Chad Kelly</t>
  </si>
  <si>
    <t>Chad Williams</t>
  </si>
  <si>
    <t>Deshaun Watson</t>
  </si>
  <si>
    <t>Chance Nolan</t>
  </si>
  <si>
    <t>Chandler Catanzaro</t>
  </si>
  <si>
    <t>Chandler Cox</t>
  </si>
  <si>
    <t>Chandler Harnish</t>
  </si>
  <si>
    <t>Chandler Jones</t>
  </si>
  <si>
    <t>Charcandrick West</t>
  </si>
  <si>
    <t>Charles Clay</t>
  </si>
  <si>
    <t>Charles Holland</t>
  </si>
  <si>
    <t>Charles Johnson</t>
  </si>
  <si>
    <t>Charles Jones</t>
  </si>
  <si>
    <t>Emmanuel Sanders</t>
  </si>
  <si>
    <t>Charles Rogers</t>
  </si>
  <si>
    <t>Charles Scarff</t>
  </si>
  <si>
    <t>Charles Sims</t>
  </si>
  <si>
    <t>Charles Williams</t>
  </si>
  <si>
    <t>Charleston Rambo</t>
  </si>
  <si>
    <t>Charlie Kolar</t>
  </si>
  <si>
    <t>Charlie Taumoepeau</t>
  </si>
  <si>
    <t>Latavius Murray</t>
  </si>
  <si>
    <t>Charlie Whitehurst</t>
  </si>
  <si>
    <t>LeSean McCoy</t>
  </si>
  <si>
    <t>Charlie Woerner</t>
  </si>
  <si>
    <t>Charone Peake</t>
  </si>
  <si>
    <t>Chase Allen</t>
  </si>
  <si>
    <t>Chase Brice</t>
  </si>
  <si>
    <t>Dallas</t>
  </si>
  <si>
    <t>Chase Coffman</t>
  </si>
  <si>
    <t>Chase Daniel</t>
  </si>
  <si>
    <t>Chase Dixon</t>
  </si>
  <si>
    <t>Todd Gurley II</t>
  </si>
  <si>
    <t>Chase Ford</t>
  </si>
  <si>
    <t>Chase Lane</t>
  </si>
  <si>
    <t>Chase Litton</t>
  </si>
  <si>
    <t>Chester Rogers</t>
  </si>
  <si>
    <t>Cheyenne O'Grady</t>
  </si>
  <si>
    <t>Chicago</t>
  </si>
  <si>
    <t>Chig Okonkwo</t>
  </si>
  <si>
    <t>Chris Autman-Bell</t>
  </si>
  <si>
    <t>Chris Bazile</t>
  </si>
  <si>
    <t>Chris Boswell</t>
  </si>
  <si>
    <t xml:space="preserve">Chris Boswell </t>
  </si>
  <si>
    <t>Mecole Hardman</t>
  </si>
  <si>
    <t>Chris Boyd</t>
  </si>
  <si>
    <t>Chris Brown</t>
  </si>
  <si>
    <t>Larry Fitzgerald</t>
  </si>
  <si>
    <t>Chris Chambers</t>
  </si>
  <si>
    <t>Chris Conley</t>
  </si>
  <si>
    <t>Chris Coyle</t>
  </si>
  <si>
    <t>Chris D. Harper</t>
  </si>
  <si>
    <t>Chris Evans</t>
  </si>
  <si>
    <t xml:space="preserve">Stephen Gostkowski </t>
  </si>
  <si>
    <t>Chris Fields</t>
  </si>
  <si>
    <t>Chris Finke</t>
  </si>
  <si>
    <t>Chris Givens</t>
  </si>
  <si>
    <t>Chris Gragg</t>
  </si>
  <si>
    <t>Chris Hairston</t>
  </si>
  <si>
    <t>Chris Harper</t>
  </si>
  <si>
    <t>Le'Veon Bell</t>
  </si>
  <si>
    <t>Chris Herndon</t>
  </si>
  <si>
    <t>Chris Hogan</t>
  </si>
  <si>
    <t>Tarik Cohen</t>
  </si>
  <si>
    <t>Chris Ivory</t>
  </si>
  <si>
    <t>Chris Johnson</t>
  </si>
  <si>
    <t>Chris Lacy</t>
  </si>
  <si>
    <t>Chris Manhertz</t>
  </si>
  <si>
    <t>Chris Matthews</t>
  </si>
  <si>
    <t>Chris Moore</t>
  </si>
  <si>
    <t>J.K. Dobbins</t>
  </si>
  <si>
    <t>Chris Myarick</t>
  </si>
  <si>
    <t>Chris Ogbonnaya</t>
  </si>
  <si>
    <t>Chris Oladokun</t>
  </si>
  <si>
    <t>Chris Olave</t>
  </si>
  <si>
    <t>Chris Osei-Kusi</t>
  </si>
  <si>
    <t>Chris Owusu</t>
  </si>
  <si>
    <t>Chris Polk</t>
  </si>
  <si>
    <t>Chris Rainey</t>
  </si>
  <si>
    <t>Chris Rodriguez</t>
  </si>
  <si>
    <t>Chris Streveler</t>
  </si>
  <si>
    <t>Chris Summers</t>
  </si>
  <si>
    <t>Daniel Jones</t>
  </si>
  <si>
    <t>Chris Tyree</t>
  </si>
  <si>
    <t xml:space="preserve">Chris Herndon </t>
  </si>
  <si>
    <t>Chris Warren</t>
  </si>
  <si>
    <t>Chris Williams</t>
  </si>
  <si>
    <t>Christian Blake</t>
  </si>
  <si>
    <t>Christian Gibson</t>
  </si>
  <si>
    <t>Christian Hackenberg</t>
  </si>
  <si>
    <t>Christian Kirk</t>
  </si>
  <si>
    <t>Zach Ertz</t>
  </si>
  <si>
    <t>Christian Ponder</t>
  </si>
  <si>
    <t>Christian Powell</t>
  </si>
  <si>
    <t>T.Y. Hilton</t>
  </si>
  <si>
    <t>Christian Scotland-Williamson</t>
  </si>
  <si>
    <t>Christian Wade</t>
  </si>
  <si>
    <t>Christian Watson</t>
  </si>
  <si>
    <t>Christine Michael</t>
  </si>
  <si>
    <t>Christion Jones</t>
  </si>
  <si>
    <t>Christopher Brown</t>
  </si>
  <si>
    <t>Christopher Ezeala</t>
  </si>
  <si>
    <t>Hayden Hurst</t>
  </si>
  <si>
    <t>Chuck Jacobs</t>
  </si>
  <si>
    <t>Cierre Wood</t>
  </si>
  <si>
    <t>Cincinnati</t>
  </si>
  <si>
    <t>Clay Harbor</t>
  </si>
  <si>
    <t>Sammy Watkins</t>
  </si>
  <si>
    <t>Clayton Thorson</t>
  </si>
  <si>
    <t>Clive Walford</t>
  </si>
  <si>
    <t>Clyde Gates</t>
  </si>
  <si>
    <t>Cobi Hamilton</t>
  </si>
  <si>
    <t>Coby Fleener</t>
  </si>
  <si>
    <t>Devonta Freeman</t>
  </si>
  <si>
    <t>Codey McElroy</t>
  </si>
  <si>
    <t>Cody Core</t>
  </si>
  <si>
    <t>Cody Fajardo</t>
  </si>
  <si>
    <t>Cody Hoffman</t>
  </si>
  <si>
    <t>Cody Hollister</t>
  </si>
  <si>
    <t>Cody Johnson</t>
  </si>
  <si>
    <t>Cody Kessler</t>
  </si>
  <si>
    <t>Cody Latimer</t>
  </si>
  <si>
    <t>Cody Thompson</t>
  </si>
  <si>
    <t>Cody White</t>
  </si>
  <si>
    <t>Colby Parkinson</t>
  </si>
  <si>
    <t>Colby Pearson</t>
  </si>
  <si>
    <t>Trey Burton</t>
  </si>
  <si>
    <t>Cole Herdman</t>
  </si>
  <si>
    <t>Cole Hikutini</t>
  </si>
  <si>
    <t>Ito Smith</t>
  </si>
  <si>
    <t>Cole Hunt</t>
  </si>
  <si>
    <t>Cole Jaeschke</t>
  </si>
  <si>
    <t>Cole Johnson</t>
  </si>
  <si>
    <t>Cole Kelley</t>
  </si>
  <si>
    <t>Philip Rivers</t>
  </si>
  <si>
    <t>Cole McDonald</t>
  </si>
  <si>
    <t>Mohamed Sanu Sr.</t>
  </si>
  <si>
    <t>Cole Stoudt</t>
  </si>
  <si>
    <t>Cole Turner</t>
  </si>
  <si>
    <t xml:space="preserve">Mark Andrews </t>
  </si>
  <si>
    <t>Cole Wick</t>
  </si>
  <si>
    <t>Colin Kaepernick</t>
  </si>
  <si>
    <t>Colin Lockett</t>
  </si>
  <si>
    <t>Colin Thompson</t>
  </si>
  <si>
    <t>Collin Hill</t>
  </si>
  <si>
    <t>Collin Johnson</t>
  </si>
  <si>
    <t>Colt Lyerla</t>
  </si>
  <si>
    <t>Colt McCoy</t>
  </si>
  <si>
    <t>Connor Cook</t>
  </si>
  <si>
    <t>Connor Halliday</t>
  </si>
  <si>
    <t>Connor Heyward</t>
  </si>
  <si>
    <t>Connor Shaw</t>
  </si>
  <si>
    <t>Derrius Guice</t>
  </si>
  <si>
    <t>Connor Slomka</t>
  </si>
  <si>
    <t>Connor Wedington</t>
  </si>
  <si>
    <t>Cooper Helfet</t>
  </si>
  <si>
    <t>Cooper Rush</t>
  </si>
  <si>
    <t>Cordarrelle Patterson</t>
  </si>
  <si>
    <t>Corey Brown</t>
  </si>
  <si>
    <t>Corey Clement</t>
  </si>
  <si>
    <t>Corey Coleman</t>
  </si>
  <si>
    <t>Corey Fuller</t>
  </si>
  <si>
    <t>Corey Grant</t>
  </si>
  <si>
    <t>Stephen Gostkowski</t>
  </si>
  <si>
    <t>Corey Robinson</t>
  </si>
  <si>
    <t>Corey Smith</t>
  </si>
  <si>
    <t>Corey Taylor</t>
  </si>
  <si>
    <t>Corey Washington</t>
  </si>
  <si>
    <t>Corey Willis</t>
  </si>
  <si>
    <t>Cornelius Johnson</t>
  </si>
  <si>
    <t>Cornell Powell</t>
  </si>
  <si>
    <t>Cortrelle Simpson</t>
  </si>
  <si>
    <t>Courtney Roby</t>
  </si>
  <si>
    <t>Craig Reynolds</t>
  </si>
  <si>
    <t>Craig Stevens</t>
  </si>
  <si>
    <t>Crockett Gillmore</t>
  </si>
  <si>
    <t>Cullen Gillaspia</t>
  </si>
  <si>
    <t>Curtis Hodges</t>
  </si>
  <si>
    <t>Cyril Grayson</t>
  </si>
  <si>
    <t>Cyrus Gray</t>
  </si>
  <si>
    <t>D.J. Adams</t>
  </si>
  <si>
    <t>D.J. Chark</t>
  </si>
  <si>
    <t>Kalen Ballage</t>
  </si>
  <si>
    <t>D.J. Coles</t>
  </si>
  <si>
    <t>D.J. Foster</t>
  </si>
  <si>
    <t>D.J. Jones</t>
  </si>
  <si>
    <t>D.J. Knox</t>
  </si>
  <si>
    <t>D.J. Montgomery</t>
  </si>
  <si>
    <t>D.J. Moore</t>
  </si>
  <si>
    <t>D.J. Tialavea</t>
  </si>
  <si>
    <t>D.J. Turner</t>
  </si>
  <si>
    <t>D.J. Uiagalelei</t>
  </si>
  <si>
    <t>D.J. Williams</t>
  </si>
  <si>
    <t>D.K. Metcalf</t>
  </si>
  <si>
    <t>DaeSean Hamilton</t>
  </si>
  <si>
    <t>Ka'imi Fairbairn</t>
  </si>
  <si>
    <t>Dahu Green</t>
  </si>
  <si>
    <t>Dai'Jean Dixon</t>
  </si>
  <si>
    <t>Daikiel Shorts</t>
  </si>
  <si>
    <t>Dalton Crossan</t>
  </si>
  <si>
    <t>Dalton Keene</t>
  </si>
  <si>
    <t>Dalton Schultz</t>
  </si>
  <si>
    <t>Dalyn Dawkins</t>
  </si>
  <si>
    <t>Damarea Crockett</t>
  </si>
  <si>
    <t>O.J. Howard</t>
  </si>
  <si>
    <t>Da'Mari Scott</t>
  </si>
  <si>
    <t>Damaris Johnson</t>
  </si>
  <si>
    <t>DaMarkus Lodge</t>
  </si>
  <si>
    <t>Damarr Aultman</t>
  </si>
  <si>
    <t>Dameon Pierce</t>
  </si>
  <si>
    <t>Damian Copeland</t>
  </si>
  <si>
    <t>Damian Williams</t>
  </si>
  <si>
    <t>Delanie Walker</t>
  </si>
  <si>
    <t>Damien Martinez</t>
  </si>
  <si>
    <t>Damien Moore</t>
  </si>
  <si>
    <t>Damien Williams</t>
  </si>
  <si>
    <t>Golden Tate</t>
  </si>
  <si>
    <t>Damiere Byrd</t>
  </si>
  <si>
    <t>Damion Jeanpiere</t>
  </si>
  <si>
    <t>Damion Ratley</t>
  </si>
  <si>
    <t>Jake Elliott</t>
  </si>
  <si>
    <t>Damion Willis</t>
  </si>
  <si>
    <t>Damon Hazelton</t>
  </si>
  <si>
    <t>Damon Sheehy-Guiseppi</t>
  </si>
  <si>
    <t>Seattle</t>
  </si>
  <si>
    <t>Damond Powell</t>
  </si>
  <si>
    <t>Damonte Coxie</t>
  </si>
  <si>
    <t xml:space="preserve">Eric Ebron </t>
  </si>
  <si>
    <t>Damore'ea Stringfellow</t>
  </si>
  <si>
    <t>Damoun Patterson</t>
  </si>
  <si>
    <t>Dan Arnold</t>
  </si>
  <si>
    <t>Dan Bailey</t>
  </si>
  <si>
    <t>Dan Chisena</t>
  </si>
  <si>
    <t>Dan Herron</t>
  </si>
  <si>
    <t>Dan Orlovsky</t>
  </si>
  <si>
    <t>Dan Vitale</t>
  </si>
  <si>
    <t>Danario Alexander</t>
  </si>
  <si>
    <t>Josh Gordon</t>
  </si>
  <si>
    <t>Dane Key</t>
  </si>
  <si>
    <t>Dane Sanzenbacher</t>
  </si>
  <si>
    <t>Daniel Bellinger</t>
  </si>
  <si>
    <t>Jared Goff</t>
  </si>
  <si>
    <t>Daniel Braverman</t>
  </si>
  <si>
    <t>Daniel Brown</t>
  </si>
  <si>
    <t>Donte Moncrief</t>
  </si>
  <si>
    <t>Daniel Fells</t>
  </si>
  <si>
    <t>Daniel Helm</t>
  </si>
  <si>
    <t>Daniel Lasco</t>
  </si>
  <si>
    <t>Daniel Thomas</t>
  </si>
  <si>
    <t>Daniel Williams</t>
  </si>
  <si>
    <t>Danny Amendola</t>
  </si>
  <si>
    <t>Danny Coale</t>
  </si>
  <si>
    <t>Danny Etling</t>
  </si>
  <si>
    <t>Danny Gray</t>
  </si>
  <si>
    <t>Keke Coutee</t>
  </si>
  <si>
    <t>Danny Woodhead</t>
  </si>
  <si>
    <t>Dante Pettis</t>
  </si>
  <si>
    <t xml:space="preserve">Albert Wilson </t>
  </si>
  <si>
    <t>Dante Rosario</t>
  </si>
  <si>
    <t>Dante Wright</t>
  </si>
  <si>
    <t>Dare Ogunbowale</t>
  </si>
  <si>
    <t>Dareke Young</t>
  </si>
  <si>
    <t>Da'Rel Scott</t>
  </si>
  <si>
    <t>Da'Rick Rogers</t>
  </si>
  <si>
    <t>Darion Griswold</t>
  </si>
  <si>
    <t>Darius Anderson</t>
  </si>
  <si>
    <t>Darius Bradwell</t>
  </si>
  <si>
    <t>Darius Davis</t>
  </si>
  <si>
    <t>Darius Jackson</t>
  </si>
  <si>
    <t>Darius Jennings</t>
  </si>
  <si>
    <t>Darius Johnson</t>
  </si>
  <si>
    <t>Darius Powe</t>
  </si>
  <si>
    <t>David Njoku</t>
  </si>
  <si>
    <t>Darius Victor</t>
  </si>
  <si>
    <t>Darnell Holland</t>
  </si>
  <si>
    <t>Darnell Washington</t>
  </si>
  <si>
    <t>Darnell Woolfolk</t>
  </si>
  <si>
    <t>Da'Ron Brown</t>
  </si>
  <si>
    <t>Darrel Williams</t>
  </si>
  <si>
    <t>Peyton Barber</t>
  </si>
  <si>
    <t>Darrel Young</t>
  </si>
  <si>
    <t>Darrell Daniels</t>
  </si>
  <si>
    <t>Darrell Henderson</t>
  </si>
  <si>
    <t>Darrell Stewart</t>
  </si>
  <si>
    <t>Darren Andrews</t>
  </si>
  <si>
    <t>Darren Carrington</t>
  </si>
  <si>
    <t>Darren Fells</t>
  </si>
  <si>
    <t>Darren McFadden</t>
  </si>
  <si>
    <t>Darren Sproles</t>
  </si>
  <si>
    <t>Darreus Rogers</t>
  </si>
  <si>
    <t>Darrin Hall</t>
  </si>
  <si>
    <t>Darrin Reaves</t>
  </si>
  <si>
    <t>Darrius Heyward-Bey</t>
  </si>
  <si>
    <t>Darrius Shepherd</t>
  </si>
  <si>
    <t>Darryl Surgent</t>
  </si>
  <si>
    <t>Darrynton Evans</t>
  </si>
  <si>
    <t>Darvin Kidsy</t>
  </si>
  <si>
    <t>Royce Freeman</t>
  </si>
  <si>
    <t>Darwin Thompson</t>
  </si>
  <si>
    <t>Daryl Richardson</t>
  </si>
  <si>
    <t>Greg Olsen</t>
  </si>
  <si>
    <t>Datryan Evans</t>
  </si>
  <si>
    <t>Jaylen Samuels</t>
  </si>
  <si>
    <t>Daurice Fountain</t>
  </si>
  <si>
    <t>DaVaris Daniels</t>
  </si>
  <si>
    <t>David Ausberry</t>
  </si>
  <si>
    <t>David Bell</t>
  </si>
  <si>
    <t xml:space="preserve">Mitch Trubisky </t>
  </si>
  <si>
    <t>David Blough</t>
  </si>
  <si>
    <t>David Cobb</t>
  </si>
  <si>
    <t>David Fales</t>
  </si>
  <si>
    <t>David Fluellen</t>
  </si>
  <si>
    <t>David Gettis</t>
  </si>
  <si>
    <t>David Grinnage</t>
  </si>
  <si>
    <t>David Moore</t>
  </si>
  <si>
    <t>David Morgan</t>
  </si>
  <si>
    <t>David Nelson</t>
  </si>
  <si>
    <t>Dede Westbrook</t>
  </si>
  <si>
    <t>David Paulson</t>
  </si>
  <si>
    <t>David Reed</t>
  </si>
  <si>
    <t>David Richards</t>
  </si>
  <si>
    <t>David Sills</t>
  </si>
  <si>
    <t>David Wells</t>
  </si>
  <si>
    <t>David Williams</t>
  </si>
  <si>
    <t>David Wilson</t>
  </si>
  <si>
    <t>David Wright</t>
  </si>
  <si>
    <t>Davin Meggett</t>
  </si>
  <si>
    <t>Davion Davis</t>
  </si>
  <si>
    <t>Davis Koppenhaver</t>
  </si>
  <si>
    <t>Davis Mills</t>
  </si>
  <si>
    <t>Davis Webb</t>
  </si>
  <si>
    <t>Davon Grayson</t>
  </si>
  <si>
    <t>Davonte Allen</t>
  </si>
  <si>
    <t>Da'Wain Lofton</t>
  </si>
  <si>
    <t>Dawson Knox</t>
  </si>
  <si>
    <t>Dax Milne</t>
  </si>
  <si>
    <t>Dax Raymond</t>
  </si>
  <si>
    <t>Dazz Newsome</t>
  </si>
  <si>
    <t>DeaMonte Trayanum</t>
  </si>
  <si>
    <t>DeAndre Carter</t>
  </si>
  <si>
    <t>DeAndre Goolsby</t>
  </si>
  <si>
    <t>DeAndre Reaves</t>
  </si>
  <si>
    <t>DeAndre Smelter</t>
  </si>
  <si>
    <t>DeAndre Thompkins</t>
  </si>
  <si>
    <t>Deandre Torrey</t>
  </si>
  <si>
    <t>DeAndre Washington</t>
  </si>
  <si>
    <t>Marquez Valdes-Scantling</t>
  </si>
  <si>
    <t>DeAndrew White</t>
  </si>
  <si>
    <t>Jacksonville</t>
  </si>
  <si>
    <t>De'Angelo Henderson</t>
  </si>
  <si>
    <t>DeAngelo Williams</t>
  </si>
  <si>
    <t>DeAngelo Yancey</t>
  </si>
  <si>
    <t>Deante' Gray</t>
  </si>
  <si>
    <t>De'Anthony Thomas</t>
  </si>
  <si>
    <t>Derek Carr</t>
  </si>
  <si>
    <t>Dedrick Mills</t>
  </si>
  <si>
    <t>Dee Anderson</t>
  </si>
  <si>
    <t>Dee Hart</t>
  </si>
  <si>
    <t xml:space="preserve">Demaryius Thomas </t>
  </si>
  <si>
    <t>DeeJay Dallas</t>
  </si>
  <si>
    <t>Deion Branch</t>
  </si>
  <si>
    <t>De'Lance Turner</t>
  </si>
  <si>
    <t>Delane Hart-Johnson</t>
  </si>
  <si>
    <t>Delone Carter</t>
  </si>
  <si>
    <t>DeMarco Murray</t>
  </si>
  <si>
    <t>Demarcus Ayers</t>
  </si>
  <si>
    <t>Demarcus Robinson</t>
  </si>
  <si>
    <t>DeMario Bennett</t>
  </si>
  <si>
    <t>Demaryius Thomas</t>
  </si>
  <si>
    <t>Demetric Felton</t>
  </si>
  <si>
    <t>Demetris Robertson</t>
  </si>
  <si>
    <t>Demetrius Harris</t>
  </si>
  <si>
    <t>DeMichael Harris</t>
  </si>
  <si>
    <t>Demond Demas</t>
  </si>
  <si>
    <t>De'Montre Tuggle</t>
  </si>
  <si>
    <t>Geronimo Allison</t>
  </si>
  <si>
    <t>De'Mornay Pierson-El</t>
  </si>
  <si>
    <t>Jameis Winston</t>
  </si>
  <si>
    <t>Denard Robinson</t>
  </si>
  <si>
    <t>Denarius Moore</t>
  </si>
  <si>
    <t>Dennis Dixon</t>
  </si>
  <si>
    <t>Dennis Johnson</t>
  </si>
  <si>
    <t>Justin Jackson</t>
  </si>
  <si>
    <t>Dennis Parks</t>
  </si>
  <si>
    <t>Dennis Pitta</t>
  </si>
  <si>
    <t>Denzel Mims</t>
  </si>
  <si>
    <t>Deon Cain</t>
  </si>
  <si>
    <t>Deon Jackson</t>
  </si>
  <si>
    <t>Deon Long</t>
  </si>
  <si>
    <t>Deon McIntosh</t>
  </si>
  <si>
    <t>Deon Yelder</t>
  </si>
  <si>
    <t>Deondre Douglas</t>
  </si>
  <si>
    <t>Deontay Burnett</t>
  </si>
  <si>
    <t>Deonte Greenberry</t>
  </si>
  <si>
    <t>Deonte Harty</t>
  </si>
  <si>
    <t>Deonte Thompson</t>
  </si>
  <si>
    <t>Deontez Alexander</t>
  </si>
  <si>
    <t>Derek Anderson</t>
  </si>
  <si>
    <t>Derek Carrier</t>
  </si>
  <si>
    <t>Derek Hagan</t>
  </si>
  <si>
    <t>Derek Watt</t>
  </si>
  <si>
    <t>Derel Walker</t>
  </si>
  <si>
    <t>D'Eriq King</t>
  </si>
  <si>
    <t>Kenny Stills</t>
  </si>
  <si>
    <t>D'Ernest Johnson</t>
  </si>
  <si>
    <t>Derrick Coleman</t>
  </si>
  <si>
    <t>Derrick Deese</t>
  </si>
  <si>
    <t>Dion Lewis</t>
  </si>
  <si>
    <t>Derrick Gore</t>
  </si>
  <si>
    <t>Giovani Bernard</t>
  </si>
  <si>
    <t>Derrick Johnson</t>
  </si>
  <si>
    <t>Derrick Willies</t>
  </si>
  <si>
    <t xml:space="preserve">Mason Crosby </t>
  </si>
  <si>
    <t>DeShone Kizer</t>
  </si>
  <si>
    <t>Desmond Martin</t>
  </si>
  <si>
    <t>Desmond Ridder</t>
  </si>
  <si>
    <t>Detrez Newsome</t>
  </si>
  <si>
    <t>Deuce Vaughn</t>
  </si>
  <si>
    <t>Devante Davis</t>
  </si>
  <si>
    <t>Devante Mays</t>
  </si>
  <si>
    <t>Devaughn Vele</t>
  </si>
  <si>
    <t>De'Veon Smith</t>
  </si>
  <si>
    <t>DeVier Posey</t>
  </si>
  <si>
    <t>Vance McDonald</t>
  </si>
  <si>
    <t>Devin Asiasi</t>
  </si>
  <si>
    <t>Devin Carter</t>
  </si>
  <si>
    <t>Justice Hill</t>
  </si>
  <si>
    <t>Devin Duvernay</t>
  </si>
  <si>
    <t>Devin Fuller</t>
  </si>
  <si>
    <t>Devin Funchess</t>
  </si>
  <si>
    <t>Devin Gray</t>
  </si>
  <si>
    <t>Devin Hester</t>
  </si>
  <si>
    <t>Devin Leary</t>
  </si>
  <si>
    <t>Devin Lucien</t>
  </si>
  <si>
    <t>Devin Mahina</t>
  </si>
  <si>
    <t>James Washington</t>
  </si>
  <si>
    <t>Devin Ross</t>
  </si>
  <si>
    <t>Devin Smith</t>
  </si>
  <si>
    <t xml:space="preserve">Matt Bryant </t>
  </si>
  <si>
    <t>Devin Street</t>
  </si>
  <si>
    <t>Devine Ozigbo</t>
  </si>
  <si>
    <t>Devine Redding</t>
  </si>
  <si>
    <t>Devlin Hodges</t>
  </si>
  <si>
    <t>Devon Achane</t>
  </si>
  <si>
    <t>Devon Cajuste</t>
  </si>
  <si>
    <t>Devon Johnson</t>
  </si>
  <si>
    <t>Devon Williams</t>
  </si>
  <si>
    <t>Devon Wylie</t>
  </si>
  <si>
    <t>Devonta Smith</t>
  </si>
  <si>
    <t>Devontae Booker</t>
  </si>
  <si>
    <t>Devontae Jackson</t>
  </si>
  <si>
    <t>Devonte Boyd</t>
  </si>
  <si>
    <t>DeVontres Dukes</t>
  </si>
  <si>
    <t>Dexter McCluster</t>
  </si>
  <si>
    <t>Dexter Williams</t>
  </si>
  <si>
    <t>Dez Bryant</t>
  </si>
  <si>
    <t>Dez Fitzpatrick</t>
  </si>
  <si>
    <t>De'Zhaun Stribling</t>
  </si>
  <si>
    <t>Dezmin Lewis</t>
  </si>
  <si>
    <t>Dezmon Patmon</t>
  </si>
  <si>
    <t>Dillon Baxter</t>
  </si>
  <si>
    <t>Dillon Gabriel</t>
  </si>
  <si>
    <t>Dillon Mitchell</t>
  </si>
  <si>
    <t>Dillon Stoner</t>
  </si>
  <si>
    <t>Dimitri Flowers</t>
  </si>
  <si>
    <t>Dion Sims</t>
  </si>
  <si>
    <t>Diontae Spencer</t>
  </si>
  <si>
    <t>Dom Williams</t>
  </si>
  <si>
    <t>Matt Bryant</t>
  </si>
  <si>
    <t>Domenik Hixon</t>
  </si>
  <si>
    <t>Dominic Richardson</t>
  </si>
  <si>
    <t>Dominick Blaylock</t>
  </si>
  <si>
    <t>Dominick Bragalone</t>
  </si>
  <si>
    <t>Dominick Wood-Anderson</t>
  </si>
  <si>
    <t>Dominique Brown</t>
  </si>
  <si>
    <t>Dominique Dafney</t>
  </si>
  <si>
    <t>Dominique Davis</t>
  </si>
  <si>
    <t>Dominique Jones</t>
  </si>
  <si>
    <t>Dominique Williams</t>
  </si>
  <si>
    <t>Don Jackson</t>
  </si>
  <si>
    <t>Donald Brown</t>
  </si>
  <si>
    <t>Donald Parham</t>
  </si>
  <si>
    <t>Donavon Greene</t>
  </si>
  <si>
    <t>Donnel Pumphrey</t>
  </si>
  <si>
    <t>Donnie Avery</t>
  </si>
  <si>
    <t>Donnie Corley</t>
  </si>
  <si>
    <t>Donnie Ernsberger</t>
  </si>
  <si>
    <t>Donovan Peoples-Jones</t>
  </si>
  <si>
    <t>Donovan	Edwards</t>
  </si>
  <si>
    <t>D'Onta Foreman</t>
  </si>
  <si>
    <t>Dontae Strickland</t>
  </si>
  <si>
    <t>Dontario Drummond</t>
  </si>
  <si>
    <t>Dontay Demus</t>
  </si>
  <si>
    <t>Dontayvion Wicks</t>
  </si>
  <si>
    <t>Donte Foster</t>
  </si>
  <si>
    <t>Donte Stallworth</t>
  </si>
  <si>
    <t>Dont'e Thornton</t>
  </si>
  <si>
    <t>Donteea Dye</t>
  </si>
  <si>
    <t>Dontez Ford</t>
  </si>
  <si>
    <t>Dontre Wilson</t>
  </si>
  <si>
    <t>Dontrell Hilliard</t>
  </si>
  <si>
    <t>Dontrelle Inman</t>
  </si>
  <si>
    <t>Dorial Green-Beckham</t>
  </si>
  <si>
    <t>Dorian Baker</t>
  </si>
  <si>
    <t>Dorian Thompson-Robinson</t>
  </si>
  <si>
    <t>Dorren Miller</t>
  </si>
  <si>
    <t xml:space="preserve">Anthony Miller </t>
  </si>
  <si>
    <t>Doug Baldwin</t>
  </si>
  <si>
    <t>Doug Flutie</t>
  </si>
  <si>
    <t>Doug Martin</t>
  </si>
  <si>
    <t>Douglas McNeil</t>
  </si>
  <si>
    <t>Drake London</t>
  </si>
  <si>
    <t>Drake Maye</t>
  </si>
  <si>
    <t>Dreamius Smith</t>
  </si>
  <si>
    <t>Dredrick Snelson</t>
  </si>
  <si>
    <t>Dres Anderson</t>
  </si>
  <si>
    <t>Drew Allar</t>
  </si>
  <si>
    <t>Drew Anderson</t>
  </si>
  <si>
    <t>Drew Belcher</t>
  </si>
  <si>
    <t>Drew Davis</t>
  </si>
  <si>
    <t>Drew Lock</t>
  </si>
  <si>
    <t>Drew Morgan</t>
  </si>
  <si>
    <t>Drew Sample</t>
  </si>
  <si>
    <t>Drew Stanton</t>
  </si>
  <si>
    <t>Dri Archer</t>
  </si>
  <si>
    <t>DuJuan Harris</t>
  </si>
  <si>
    <t>Duke Williams</t>
  </si>
  <si>
    <t>Durham Smythe</t>
  </si>
  <si>
    <t>Duron Carter</t>
  </si>
  <si>
    <t>Durron Neal</t>
  </si>
  <si>
    <t>Dustin Crum</t>
  </si>
  <si>
    <t>Dustin Keller</t>
  </si>
  <si>
    <t>Dustin Vaughan</t>
  </si>
  <si>
    <t xml:space="preserve">Josh Lambo </t>
  </si>
  <si>
    <t>D'Vonte Price</t>
  </si>
  <si>
    <t>Dwayne Allen</t>
  </si>
  <si>
    <t>Dwayne Bowe</t>
  </si>
  <si>
    <t>D'Wayne Eskridge</t>
  </si>
  <si>
    <t>Dwayne Harris</t>
  </si>
  <si>
    <t>Dwayne Haskins</t>
  </si>
  <si>
    <t>Dwayne Washington</t>
  </si>
  <si>
    <t>Dyami Brown</t>
  </si>
  <si>
    <t>Dylan Cantrell</t>
  </si>
  <si>
    <t>Dylan Soehner</t>
  </si>
  <si>
    <t>Dylan Thompson</t>
  </si>
  <si>
    <t>E.J. Bibbs</t>
  </si>
  <si>
    <t>E.J. Manuel</t>
  </si>
  <si>
    <t>E.J. Perry</t>
  </si>
  <si>
    <t>Rex Burkhead</t>
  </si>
  <si>
    <t>E.J. Smith</t>
  </si>
  <si>
    <t>E.J. Williams</t>
  </si>
  <si>
    <t>Marquise Goodwin</t>
  </si>
  <si>
    <t>Earl Bennett</t>
  </si>
  <si>
    <t>Earnest Edwards</t>
  </si>
  <si>
    <t>Easop Winston</t>
  </si>
  <si>
    <t>Easton Stick</t>
  </si>
  <si>
    <t>Ed Dickson</t>
  </si>
  <si>
    <t>Ed Eagan</t>
  </si>
  <si>
    <t>Ed Williams</t>
  </si>
  <si>
    <t>Keelan Cole Sr.</t>
  </si>
  <si>
    <t>Eddie Lacy</t>
  </si>
  <si>
    <t>Eddie Royal</t>
  </si>
  <si>
    <t>Edwin Baker</t>
  </si>
  <si>
    <t>Eli Manning</t>
  </si>
  <si>
    <t>Eli Rogers</t>
  </si>
  <si>
    <t>Eli Stove</t>
  </si>
  <si>
    <t>Elijah Arroyo</t>
  </si>
  <si>
    <t>Elijah Higgins</t>
  </si>
  <si>
    <t>Elijah Holyfield</t>
  </si>
  <si>
    <t>Elijah Hood</t>
  </si>
  <si>
    <t>Elijah McGuire</t>
  </si>
  <si>
    <t>Elijah Mitchell</t>
  </si>
  <si>
    <t>Elijah Wellman</t>
  </si>
  <si>
    <t>Elijhaa Penny</t>
  </si>
  <si>
    <t>Ellis Richardson</t>
  </si>
  <si>
    <t>Emanuel Byrd</t>
  </si>
  <si>
    <t>Emanuel Hall</t>
  </si>
  <si>
    <t>Emeka Egbuka</t>
  </si>
  <si>
    <t>Emeka Emezie</t>
  </si>
  <si>
    <t>Emmanuel Butler</t>
  </si>
  <si>
    <t>Kyle Rudolph</t>
  </si>
  <si>
    <t>Emory Blake</t>
  </si>
  <si>
    <t>Emory Jones</t>
  </si>
  <si>
    <t>Eno Benjamin</t>
  </si>
  <si>
    <t>Pierre Garcon</t>
  </si>
  <si>
    <t>Equanimeous St. Brown</t>
  </si>
  <si>
    <t>Eric Decker</t>
  </si>
  <si>
    <t>Kelvin Benjamin</t>
  </si>
  <si>
    <t>Eric Ebron</t>
  </si>
  <si>
    <t>Eric Frohnapfel</t>
  </si>
  <si>
    <t>Eric Gray</t>
  </si>
  <si>
    <t>Eric Kumah</t>
  </si>
  <si>
    <t>Eric Page</t>
  </si>
  <si>
    <t>Eric Rogers</t>
  </si>
  <si>
    <t>Eric Saubert</t>
  </si>
  <si>
    <t>Matt Prater</t>
  </si>
  <si>
    <t>Eric Tomlinson</t>
  </si>
  <si>
    <t>Eric Ward</t>
  </si>
  <si>
    <t xml:space="preserve">Pittsburgh </t>
  </si>
  <si>
    <t>Eric Waters</t>
  </si>
  <si>
    <t>Eric Weems</t>
  </si>
  <si>
    <t>Erik Ezukanma</t>
  </si>
  <si>
    <t>Erik Swoope</t>
  </si>
  <si>
    <t>Ethan Wolf</t>
  </si>
  <si>
    <t>Evan Baylis</t>
  </si>
  <si>
    <t>Evan Hull</t>
  </si>
  <si>
    <t>Evan Royster</t>
  </si>
  <si>
    <t>Evan Spencer</t>
  </si>
  <si>
    <t>Marshawn Lynch</t>
  </si>
  <si>
    <t>Evan Stewart</t>
  </si>
  <si>
    <t>Evan Wilson</t>
  </si>
  <si>
    <t>Ezell Ruffin</t>
  </si>
  <si>
    <t>Feleipe Franks</t>
  </si>
  <si>
    <t>Felix Jones</t>
  </si>
  <si>
    <t>Jack Doyle</t>
  </si>
  <si>
    <t>Felton Davis</t>
  </si>
  <si>
    <t>Fitzgerald Toussaint</t>
  </si>
  <si>
    <t>Floyd Allen</t>
  </si>
  <si>
    <t>Foster Moreau</t>
  </si>
  <si>
    <t>Fozzy Whittaker</t>
  </si>
  <si>
    <t>Francis Owusu</t>
  </si>
  <si>
    <t>Frank Darby</t>
  </si>
  <si>
    <t>Frank Gore</t>
  </si>
  <si>
    <t>LeGarrette Blount</t>
  </si>
  <si>
    <t>Frank Ladson</t>
  </si>
  <si>
    <t>Frankie Hammond</t>
  </si>
  <si>
    <t xml:space="preserve">Dallas Goedert </t>
  </si>
  <si>
    <t>Frankie Hickson</t>
  </si>
  <si>
    <t>Fred Brown</t>
  </si>
  <si>
    <t>Fred Davis</t>
  </si>
  <si>
    <t>Fred Jackson</t>
  </si>
  <si>
    <t>Fred Ross</t>
  </si>
  <si>
    <t>Freddie Martino</t>
  </si>
  <si>
    <t>Freddie Swain</t>
  </si>
  <si>
    <t>Gabe Holmes</t>
  </si>
  <si>
    <t>Gabe Marks</t>
  </si>
  <si>
    <t>Gabe Nabers</t>
  </si>
  <si>
    <t>Gabriel Davis</t>
  </si>
  <si>
    <t>Gardner Minshew</t>
  </si>
  <si>
    <t>Garrett Celek</t>
  </si>
  <si>
    <t>Garrett Dickerson</t>
  </si>
  <si>
    <t>Garrett Gilbert</t>
  </si>
  <si>
    <t>Garrett Graham</t>
  </si>
  <si>
    <t>Garrett Grayson</t>
  </si>
  <si>
    <t>Garrett Griffin</t>
  </si>
  <si>
    <t>Garrett Groshek</t>
  </si>
  <si>
    <t>Garrett Johnson</t>
  </si>
  <si>
    <t>Garrett Wilson</t>
  </si>
  <si>
    <t>Gary Barnidge</t>
  </si>
  <si>
    <t>Gary Brightwell</t>
  </si>
  <si>
    <t>Gary Bryant</t>
  </si>
  <si>
    <t>Gary Jennings</t>
  </si>
  <si>
    <t>Gator Hoskins</t>
  </si>
  <si>
    <t>Gavin Bartholomew</t>
  </si>
  <si>
    <t>Gavin Escobar</t>
  </si>
  <si>
    <t>Gavin Lutman</t>
  </si>
  <si>
    <t>Gavin Williams</t>
  </si>
  <si>
    <t>Gee Scott</t>
  </si>
  <si>
    <t>Gehrig Dieter</t>
  </si>
  <si>
    <t>Jay Ajayi</t>
  </si>
  <si>
    <t>Geno Smith</t>
  </si>
  <si>
    <t>Geoff Swaim</t>
  </si>
  <si>
    <t>Michael Crabtree</t>
  </si>
  <si>
    <t>George Aston</t>
  </si>
  <si>
    <t>George Atkinson III</t>
  </si>
  <si>
    <t>George Farmer</t>
  </si>
  <si>
    <t>George Holani</t>
  </si>
  <si>
    <t>George Pickens</t>
  </si>
  <si>
    <t>Jordan Wilkins</t>
  </si>
  <si>
    <t>George Winn</t>
  </si>
  <si>
    <t>Gerald Christian</t>
  </si>
  <si>
    <t>Geraldo Boldewijn</t>
  </si>
  <si>
    <t>Gerell Robinson</t>
  </si>
  <si>
    <t>Geremy Davis</t>
  </si>
  <si>
    <t>Gerold Bright</t>
  </si>
  <si>
    <t>Mason Crosby</t>
  </si>
  <si>
    <t>Gerrard Sheppard</t>
  </si>
  <si>
    <t>Gerrid Doaks</t>
  </si>
  <si>
    <t>Gerrit Prince</t>
  </si>
  <si>
    <t>Giovanni Ricci</t>
  </si>
  <si>
    <t>Glasco Martin</t>
  </si>
  <si>
    <t>Glenn Winston</t>
  </si>
  <si>
    <t>Godwin Igwebuike</t>
  </si>
  <si>
    <t>Graham Gano</t>
  </si>
  <si>
    <t>Graham Mertz</t>
  </si>
  <si>
    <t>Grant Calcaterra</t>
  </si>
  <si>
    <t>Grant Gunnell</t>
  </si>
  <si>
    <t>Grant Perry</t>
  </si>
  <si>
    <t>Houston</t>
  </si>
  <si>
    <t>Grant Wells</t>
  </si>
  <si>
    <t>Grayson McCall</t>
  </si>
  <si>
    <t>Greg Bell</t>
  </si>
  <si>
    <t>Greg Dortch</t>
  </si>
  <si>
    <t>Greg Dulcich</t>
  </si>
  <si>
    <t>Greg Hardin</t>
  </si>
  <si>
    <t>Greg Jenkins</t>
  </si>
  <si>
    <t>Greg Jennings</t>
  </si>
  <si>
    <t>Greg Little</t>
  </si>
  <si>
    <t>Greg McCrae</t>
  </si>
  <si>
    <t>John Ross III</t>
  </si>
  <si>
    <t>Greg McElroy</t>
  </si>
  <si>
    <t>Greg Salas</t>
  </si>
  <si>
    <t>Greg Ward</t>
  </si>
  <si>
    <t>Griff Whalen</t>
  </si>
  <si>
    <t>Gunner Olszewski</t>
  </si>
  <si>
    <t>Gus Johnson</t>
  </si>
  <si>
    <t>Hakeem Butler</t>
  </si>
  <si>
    <t>Hakeem Nicks</t>
  </si>
  <si>
    <t>Hakeem Valles</t>
  </si>
  <si>
    <t>Hale Hentges</t>
  </si>
  <si>
    <t>Harold Spears</t>
  </si>
  <si>
    <t>Harrison Bryant</t>
  </si>
  <si>
    <t>Harry Douglas</t>
  </si>
  <si>
    <t>Harry Trotter</t>
  </si>
  <si>
    <t>Hassan Haskins</t>
  </si>
  <si>
    <t>Jordan Reed</t>
  </si>
  <si>
    <t>Haynes King</t>
  </si>
  <si>
    <t>Heath Miller</t>
  </si>
  <si>
    <t>Hendon Hooker</t>
  </si>
  <si>
    <t>Henry Josey</t>
  </si>
  <si>
    <t>Henry Krieger-Coble</t>
  </si>
  <si>
    <t>Henry Parrish</t>
  </si>
  <si>
    <t>Henry Ruggs</t>
  </si>
  <si>
    <t>Herschel Walker</t>
  </si>
  <si>
    <t>Hudson Card</t>
  </si>
  <si>
    <t>Hudson Henry</t>
  </si>
  <si>
    <t>Hunter Bryant</t>
  </si>
  <si>
    <t>Hunter Kampmoyer</t>
  </si>
  <si>
    <t>Hunter Long</t>
  </si>
  <si>
    <t>Hunter Renfrow</t>
  </si>
  <si>
    <t xml:space="preserve">Mike Gesicki </t>
  </si>
  <si>
    <t>Hunter Sharp</t>
  </si>
  <si>
    <t>Ian Book</t>
  </si>
  <si>
    <t>Ian Bunting</t>
  </si>
  <si>
    <t>Ian Thomas</t>
  </si>
  <si>
    <t>Ifeanyi Momah</t>
  </si>
  <si>
    <t>Ihmir Smith-Marsette</t>
  </si>
  <si>
    <t>Lamar Miller</t>
  </si>
  <si>
    <t>Irv Smith</t>
  </si>
  <si>
    <t>Jimmy Graham</t>
  </si>
  <si>
    <t>Irvin Charles</t>
  </si>
  <si>
    <t>Isaac Nauta</t>
  </si>
  <si>
    <t>Isaac Whitney</t>
  </si>
  <si>
    <t>Isaac Zico</t>
  </si>
  <si>
    <t>Isaiah Bond</t>
  </si>
  <si>
    <t>Isaiah Crowell</t>
  </si>
  <si>
    <t>Isaiah Burse</t>
  </si>
  <si>
    <t>Isaiah Coulter</t>
  </si>
  <si>
    <t>Isaiah Ford</t>
  </si>
  <si>
    <t>Isaiah Hodgins</t>
  </si>
  <si>
    <t>Rishard Matthews</t>
  </si>
  <si>
    <t>Isaiah Likely</t>
  </si>
  <si>
    <t>Isaiah McKenzie</t>
  </si>
  <si>
    <t>Isaiah McKoy</t>
  </si>
  <si>
    <t>Isaiah Neyor</t>
  </si>
  <si>
    <t>Isaiah Pead</t>
  </si>
  <si>
    <t>Isaiah Saunders</t>
  </si>
  <si>
    <t>Isaiah Searight</t>
  </si>
  <si>
    <t>Isaiah Spiller</t>
  </si>
  <si>
    <t xml:space="preserve">Bilal Powell </t>
  </si>
  <si>
    <t>Isaiah Weston</t>
  </si>
  <si>
    <t>Isaiah Wright</t>
  </si>
  <si>
    <t>Isaiah Zuber</t>
  </si>
  <si>
    <t>Ishmael Hyman</t>
  </si>
  <si>
    <t>Ishmael Zamora</t>
  </si>
  <si>
    <t>Isiah Pacheco</t>
  </si>
  <si>
    <t>Israel Abanikanda</t>
  </si>
  <si>
    <t>Israel Tucker</t>
  </si>
  <si>
    <t>Issac Blakeney</t>
  </si>
  <si>
    <t>I'Tavius Mathers</t>
  </si>
  <si>
    <t>Izzy Matthews</t>
  </si>
  <si>
    <t>J. Michael Sturdivant</t>
  </si>
  <si>
    <t>J.D. Spielman</t>
  </si>
  <si>
    <t>J.J. Arcega-Whiteside</t>
  </si>
  <si>
    <t>J.J. Jones</t>
  </si>
  <si>
    <t>J.J. Nelson</t>
  </si>
  <si>
    <t>Jordy Nelson</t>
  </si>
  <si>
    <t>J.J. Taylor</t>
  </si>
  <si>
    <t>J.P. Holtz</t>
  </si>
  <si>
    <t>J.T. Barrett</t>
  </si>
  <si>
    <t>Jabar Gaffney</t>
  </si>
  <si>
    <t>Jabari Small</t>
  </si>
  <si>
    <t>Jace Amaro</t>
  </si>
  <si>
    <t>Jace Billingsley</t>
  </si>
  <si>
    <t>Jace Davis</t>
  </si>
  <si>
    <t>Ricky Seals-Jones</t>
  </si>
  <si>
    <t>Jace Sternberger</t>
  </si>
  <si>
    <t>Jack Coan</t>
  </si>
  <si>
    <t xml:space="preserve">Dede Westbrook </t>
  </si>
  <si>
    <t>Jack Freudenthal</t>
  </si>
  <si>
    <t>Jack Plummer</t>
  </si>
  <si>
    <t>Jack Stoll</t>
  </si>
  <si>
    <t>Jackie Battle</t>
  </si>
  <si>
    <t xml:space="preserve">Jacksonville </t>
  </si>
  <si>
    <t>Jacob Breeland</t>
  </si>
  <si>
    <t>Jacob Cowing</t>
  </si>
  <si>
    <t>Jacob Dolegala</t>
  </si>
  <si>
    <t>Jacob Eason</t>
  </si>
  <si>
    <t>Jacob Harris</t>
  </si>
  <si>
    <t>Jacob Hollister</t>
  </si>
  <si>
    <t>Jacob Maxwell</t>
  </si>
  <si>
    <t>Jacob Pedersen</t>
  </si>
  <si>
    <t>Jacob Tamme</t>
  </si>
  <si>
    <t>Jacoby Brissett</t>
  </si>
  <si>
    <t>Jacoby Ford</t>
  </si>
  <si>
    <t>Theo Riddick</t>
  </si>
  <si>
    <t>Jacoby Jones</t>
  </si>
  <si>
    <t>Ja'Corey Brooks</t>
  </si>
  <si>
    <t>Jacques Patrick</t>
  </si>
  <si>
    <t>Jacquizz Rodgers</t>
  </si>
  <si>
    <t>Jaden Walley</t>
  </si>
  <si>
    <t>Jaden Williams</t>
  </si>
  <si>
    <t>Jadon Haselwood</t>
  </si>
  <si>
    <t>Kenny Britt</t>
  </si>
  <si>
    <t>Jadyn Marshall</t>
  </si>
  <si>
    <t>Jaeden Graham</t>
  </si>
  <si>
    <t>Jaelen Strong</t>
  </si>
  <si>
    <t>Jaelon Darden</t>
  </si>
  <si>
    <t>Ted Ginn Jr.</t>
  </si>
  <si>
    <t>Mike Wallace</t>
  </si>
  <si>
    <t>Jahad Thomas</t>
  </si>
  <si>
    <t>Jahan Dotson</t>
  </si>
  <si>
    <t>Jaheim Bell</t>
  </si>
  <si>
    <t>Jahleel Billingsley</t>
  </si>
  <si>
    <t>Jah-Maine Martin</t>
  </si>
  <si>
    <t>Terrelle Pryor Sr.</t>
  </si>
  <si>
    <t>Jahmyr Gibbs</t>
  </si>
  <si>
    <t>Vernon Davis</t>
  </si>
  <si>
    <t>Torrey Smith</t>
  </si>
  <si>
    <t>Jahwan Edwards</t>
  </si>
  <si>
    <t xml:space="preserve">Dwayne Allen </t>
  </si>
  <si>
    <t>Jaivon Heiligh</t>
  </si>
  <si>
    <t>Jake Ballard</t>
  </si>
  <si>
    <t>Jake Browning</t>
  </si>
  <si>
    <t>Jake Butt</t>
  </si>
  <si>
    <t>Jake Coker</t>
  </si>
  <si>
    <t>Rob Kelley</t>
  </si>
  <si>
    <t>Jake Ferguson</t>
  </si>
  <si>
    <t>Kevin White</t>
  </si>
  <si>
    <t>Jake Fisher</t>
  </si>
  <si>
    <t>Zay Jones</t>
  </si>
  <si>
    <t>Jake Fromm</t>
  </si>
  <si>
    <t>Jake Funk</t>
  </si>
  <si>
    <t>Las Vegas</t>
  </si>
  <si>
    <t>Jake Haener</t>
  </si>
  <si>
    <t xml:space="preserve">Sebastian Janikowski </t>
  </si>
  <si>
    <t>Jake Kumerow</t>
  </si>
  <si>
    <t>Jake Lampman</t>
  </si>
  <si>
    <t>Jake Locker</t>
  </si>
  <si>
    <t>Jake Luton</t>
  </si>
  <si>
    <t>Willie Snead IV</t>
  </si>
  <si>
    <t>Jake McGee</t>
  </si>
  <si>
    <t>Jake Murphy</t>
  </si>
  <si>
    <t>Jake Powell</t>
  </si>
  <si>
    <t>Jake Rudock</t>
  </si>
  <si>
    <t>Jake Sinkovec</t>
  </si>
  <si>
    <t>Jake Stoneburner</t>
  </si>
  <si>
    <t>Jake Wieneke</t>
  </si>
  <si>
    <t xml:space="preserve">Wil Lutz </t>
  </si>
  <si>
    <t>Jakeem Grant</t>
  </si>
  <si>
    <t>Jakob Johnson</t>
  </si>
  <si>
    <t>Jaleel Scott</t>
  </si>
  <si>
    <t>Jaleel Skinner</t>
  </si>
  <si>
    <t>Jalen Berger</t>
  </si>
  <si>
    <t>Mike Gillislee</t>
  </si>
  <si>
    <t>Jalen Camp</t>
  </si>
  <si>
    <t>Jalen Cropper</t>
  </si>
  <si>
    <t>Jalen Greene</t>
  </si>
  <si>
    <t>Jalen Guyton</t>
  </si>
  <si>
    <t>Matt Forte</t>
  </si>
  <si>
    <t>New York</t>
  </si>
  <si>
    <t>Jalen Hurd</t>
  </si>
  <si>
    <t>Jalen Knox</t>
  </si>
  <si>
    <t>Jalen McCleskey</t>
  </si>
  <si>
    <t>Jalen McMillan</t>
  </si>
  <si>
    <t>Jalen Mitchell</t>
  </si>
  <si>
    <t>Ty Montgomery</t>
  </si>
  <si>
    <t>Jalen Nailor</t>
  </si>
  <si>
    <t>Jalen Parmele</t>
  </si>
  <si>
    <t>Jalen Rhodes</t>
  </si>
  <si>
    <t>Jalen Richard</t>
  </si>
  <si>
    <t>Jalen Saunders</t>
  </si>
  <si>
    <t>Marcus Mariota</t>
  </si>
  <si>
    <t>Jalen Simmons</t>
  </si>
  <si>
    <t>Jalen Tolbert</t>
  </si>
  <si>
    <t>Jalen Tolliver</t>
  </si>
  <si>
    <t>Jalen Virgil</t>
  </si>
  <si>
    <t>Jalen Wydermyer</t>
  </si>
  <si>
    <t>Jalin Hyatt</t>
  </si>
  <si>
    <t>Jalin Marshall</t>
  </si>
  <si>
    <t>Jalin Moore</t>
  </si>
  <si>
    <t>Jalon Calhoun</t>
  </si>
  <si>
    <t>Jalston Fowler</t>
  </si>
  <si>
    <t>Jamaal Charles</t>
  </si>
  <si>
    <t>Jamaal Jones</t>
  </si>
  <si>
    <t>Wendell Smallwood</t>
  </si>
  <si>
    <t>Jamal Agnew</t>
  </si>
  <si>
    <t xml:space="preserve">Mike Williams </t>
  </si>
  <si>
    <t>Jamal Custis</t>
  </si>
  <si>
    <t>Jamal Robinson</t>
  </si>
  <si>
    <t>Ja'Marcus Bradley</t>
  </si>
  <si>
    <t>Jamari Staples</t>
  </si>
  <si>
    <t>Jamarius Way</t>
  </si>
  <si>
    <t>Jamauri Bogan</t>
  </si>
  <si>
    <t>James Butler</t>
  </si>
  <si>
    <t>James Casey</t>
  </si>
  <si>
    <t>James Cook</t>
  </si>
  <si>
    <t>James Develin</t>
  </si>
  <si>
    <t>James Franklin</t>
  </si>
  <si>
    <t>James Gardner</t>
  </si>
  <si>
    <t>James Gilbert</t>
  </si>
  <si>
    <t>James Hanna</t>
  </si>
  <si>
    <t>James Jones</t>
  </si>
  <si>
    <t>Ja-Mes Logan</t>
  </si>
  <si>
    <t>James Mitchell</t>
  </si>
  <si>
    <t>James Morgan</t>
  </si>
  <si>
    <t>James O'Shaughnessy</t>
  </si>
  <si>
    <t>James Proche</t>
  </si>
  <si>
    <t>James Quick</t>
  </si>
  <si>
    <t>Jason Witten</t>
  </si>
  <si>
    <t>James Starks</t>
  </si>
  <si>
    <t>James Summers</t>
  </si>
  <si>
    <t>James Wilder Jr.</t>
  </si>
  <si>
    <t>Jonathan Stewart</t>
  </si>
  <si>
    <t>James Williams</t>
  </si>
  <si>
    <t>James Wright</t>
  </si>
  <si>
    <t>Jameson Williams</t>
  </si>
  <si>
    <t>Jamie Newman</t>
  </si>
  <si>
    <t>Jamire Jordan</t>
  </si>
  <si>
    <t>Jamize Olawale</t>
  </si>
  <si>
    <t>JaMycal Hasty</t>
  </si>
  <si>
    <t>Janarion Grant</t>
  </si>
  <si>
    <t>JaQuan Hardy</t>
  </si>
  <si>
    <t>Martellus Bennett</t>
  </si>
  <si>
    <t>Jaquarii Roberson</t>
  </si>
  <si>
    <t>Jaray Jenkins</t>
  </si>
  <si>
    <t>Jared Abbrederis</t>
  </si>
  <si>
    <t>Jordan Matthews</t>
  </si>
  <si>
    <t>Jared Dangerfield</t>
  </si>
  <si>
    <t>Jared Green</t>
  </si>
  <si>
    <t>Jared Pinkney</t>
  </si>
  <si>
    <t>Jared Rice</t>
  </si>
  <si>
    <t>Jarek Broussard</t>
  </si>
  <si>
    <t>Jaret Patterson</t>
  </si>
  <si>
    <t>Jarius Wright</t>
  </si>
  <si>
    <t>Jaron Brown</t>
  </si>
  <si>
    <t>Jarrett Boykin</t>
  </si>
  <si>
    <t>Jarrett Stidham</t>
  </si>
  <si>
    <t>Jarryd Hayne</t>
  </si>
  <si>
    <t>Jarveon Williams</t>
  </si>
  <si>
    <t>Jarvion Franklin</t>
  </si>
  <si>
    <t>Jase McClellan</t>
  </si>
  <si>
    <t>Jashaun Corbin</t>
  </si>
  <si>
    <t>Jason Avant</t>
  </si>
  <si>
    <t>Jeremy Maclin</t>
  </si>
  <si>
    <t>Jason Campbell</t>
  </si>
  <si>
    <t>Jason Croom</t>
  </si>
  <si>
    <t>Jason Huntley</t>
  </si>
  <si>
    <t>Jason Moore</t>
  </si>
  <si>
    <t>Jason Vander Laan</t>
  </si>
  <si>
    <t>Jasper Collins</t>
  </si>
  <si>
    <t>Ja'Tarvious Whitlow</t>
  </si>
  <si>
    <t>Ja'Tavion Sanders</t>
  </si>
  <si>
    <t>Jauan Jennings</t>
  </si>
  <si>
    <t>Javian Hawkins</t>
  </si>
  <si>
    <t>Javon Leake</t>
  </si>
  <si>
    <t>Javon McKinley</t>
  </si>
  <si>
    <t>Tyrod Taylor</t>
  </si>
  <si>
    <t>Javon Walker</t>
  </si>
  <si>
    <t>Javon Wims</t>
  </si>
  <si>
    <t>Javone Lawson</t>
  </si>
  <si>
    <t>Javontee Herndon</t>
  </si>
  <si>
    <t>Javorius Allen</t>
  </si>
  <si>
    <t>Jawill Davis</t>
  </si>
  <si>
    <t>Jaxon Shipley</t>
  </si>
  <si>
    <t>Paul Perkins</t>
  </si>
  <si>
    <t>Jaxon Smith-Njigba</t>
  </si>
  <si>
    <t>Jaxson Dart</t>
  </si>
  <si>
    <t>Terrance West</t>
  </si>
  <si>
    <t>Jeremy Hill</t>
  </si>
  <si>
    <t>Jay Cutler</t>
  </si>
  <si>
    <t>Josh Doctson</t>
  </si>
  <si>
    <t>Jay Lee</t>
  </si>
  <si>
    <t>Jay Prosch</t>
  </si>
  <si>
    <t>Jayden Daniels</t>
  </si>
  <si>
    <t>Jayden de Laura</t>
  </si>
  <si>
    <t>Jayden Gibson</t>
  </si>
  <si>
    <t>Jayden Reed</t>
  </si>
  <si>
    <t>Jaydon Blue</t>
  </si>
  <si>
    <t>Jaydon Mickens</t>
  </si>
  <si>
    <t>Jaylan Knighton</t>
  </si>
  <si>
    <t>Jaylen Smith</t>
  </si>
  <si>
    <t>Tyler Eifert</t>
  </si>
  <si>
    <t>Jaylen Warren</t>
  </si>
  <si>
    <t>Jaylon Robinson</t>
  </si>
  <si>
    <t>Jaz Reynolds</t>
  </si>
  <si>
    <t>Jazz Ferguson</t>
  </si>
  <si>
    <t>Jean Sifrin</t>
  </si>
  <si>
    <t>Jeff Badet</t>
  </si>
  <si>
    <t>Jeff Cumberland</t>
  </si>
  <si>
    <t>Jeff Driskel</t>
  </si>
  <si>
    <t>Jeff Fuller</t>
  </si>
  <si>
    <t>Jeff Heuerman</t>
  </si>
  <si>
    <t>Julius Thomas</t>
  </si>
  <si>
    <t>Jeff Janis</t>
  </si>
  <si>
    <t>Jeff Maehl</t>
  </si>
  <si>
    <t>Jeff Mathews</t>
  </si>
  <si>
    <t>Jeff Sims</t>
  </si>
  <si>
    <t>Jeff Smith</t>
  </si>
  <si>
    <t>Jeff Thomas</t>
  </si>
  <si>
    <t>Samaje Perine</t>
  </si>
  <si>
    <t>Jeff Tuel</t>
  </si>
  <si>
    <t>Jeff Wilson</t>
  </si>
  <si>
    <t>Jehu Chesson</t>
  </si>
  <si>
    <t>Jelani Woods</t>
  </si>
  <si>
    <t>Jequez Ezzard</t>
  </si>
  <si>
    <t>Jerell Adams</t>
  </si>
  <si>
    <t>Jeremiah Hall</t>
  </si>
  <si>
    <t>Jeremiah Haydel</t>
  </si>
  <si>
    <t>Jeremiah Hunter</t>
  </si>
  <si>
    <t>Jeremy Butler</t>
  </si>
  <si>
    <t>Martavis Bryant</t>
  </si>
  <si>
    <t>Jeremy Cox</t>
  </si>
  <si>
    <t>Jeremy Ebert</t>
  </si>
  <si>
    <t>Jeremy Eddington</t>
  </si>
  <si>
    <t>Jeremy Gallon</t>
  </si>
  <si>
    <t>Jeremy Johnson</t>
  </si>
  <si>
    <t>Jeremy Kerley</t>
  </si>
  <si>
    <t>Jeremy Langford</t>
  </si>
  <si>
    <t>Jeremy McNichols</t>
  </si>
  <si>
    <t>Jeremy Ross</t>
  </si>
  <si>
    <t>Jeremy Ruckert</t>
  </si>
  <si>
    <t>Jeremy Sprinkle</t>
  </si>
  <si>
    <t>Jeremy Stewart</t>
  </si>
  <si>
    <t>Jerick McKinnon</t>
  </si>
  <si>
    <t>Jermaine Burton</t>
  </si>
  <si>
    <t>Jermaine Gresham</t>
  </si>
  <si>
    <t>Jermaine Jones</t>
  </si>
  <si>
    <t>Jermaine Kearse</t>
  </si>
  <si>
    <t>Jermar Jefferson</t>
  </si>
  <si>
    <t>Jermichael Finley</t>
  </si>
  <si>
    <t>Jerod Evans</t>
  </si>
  <si>
    <t>Jerome Cunningham</t>
  </si>
  <si>
    <t>Jerome Ford</t>
  </si>
  <si>
    <t>Jerome Lane</t>
  </si>
  <si>
    <t>Jerome Simpson</t>
  </si>
  <si>
    <t>Jerome Smith</t>
  </si>
  <si>
    <t>Jerome Washington</t>
  </si>
  <si>
    <t>Je'Ron Hamm</t>
  </si>
  <si>
    <t>Jerrel Jernigan</t>
  </si>
  <si>
    <t>Jerreth Sterns</t>
  </si>
  <si>
    <t>Jerricho Cotchery</t>
  </si>
  <si>
    <t>Tajae Sharpe</t>
  </si>
  <si>
    <t>Jerrion Ealy</t>
  </si>
  <si>
    <t>Jerry Lovelocke</t>
  </si>
  <si>
    <t>Jerry Rice</t>
  </si>
  <si>
    <t>Stephen Hauschka</t>
  </si>
  <si>
    <t>Jesper Horsted</t>
  </si>
  <si>
    <t>Jesse James</t>
  </si>
  <si>
    <t>Jester Weah</t>
  </si>
  <si>
    <t>Jevoni Robinson</t>
  </si>
  <si>
    <t>Jewel Hampton</t>
  </si>
  <si>
    <t>Jhajuan Seales</t>
  </si>
  <si>
    <t xml:space="preserve">Davante Adams </t>
  </si>
  <si>
    <t>Jhamon Ausbon</t>
  </si>
  <si>
    <t>Jhurell Pressley</t>
  </si>
  <si>
    <t>Jim Dray</t>
  </si>
  <si>
    <t>Jimmie Hunt</t>
  </si>
  <si>
    <t>Jirehl Brock</t>
  </si>
  <si>
    <t>J'Mon Moore</t>
  </si>
  <si>
    <t>Jody Fortson</t>
  </si>
  <si>
    <t>Joe Banyard</t>
  </si>
  <si>
    <t>Joe Callahan</t>
  </si>
  <si>
    <t>Joe Don Duncan</t>
  </si>
  <si>
    <t>Joe Flacco</t>
  </si>
  <si>
    <t>Joe Horn</t>
  </si>
  <si>
    <t>Joe J. Horn</t>
  </si>
  <si>
    <t>Joe Kerridge</t>
  </si>
  <si>
    <t>Joe Licata</t>
  </si>
  <si>
    <t>Joe Morgan</t>
  </si>
  <si>
    <t>Joe Ngata</t>
  </si>
  <si>
    <t>Joe Parker</t>
  </si>
  <si>
    <t>Joe Reed</t>
  </si>
  <si>
    <t>Joe Walker</t>
  </si>
  <si>
    <t>Joe Webb</t>
  </si>
  <si>
    <t>Sammie Coates Jr.</t>
  </si>
  <si>
    <t>Joe Williams</t>
  </si>
  <si>
    <t>Joel Bouagnon</t>
  </si>
  <si>
    <t>Joel Dreessen</t>
  </si>
  <si>
    <t>Joel Stave</t>
  </si>
  <si>
    <t>Joey Demartino</t>
  </si>
  <si>
    <t>Joey Iosefa</t>
  </si>
  <si>
    <t>Joey Magnifico</t>
  </si>
  <si>
    <t>John Bates</t>
  </si>
  <si>
    <t>John Carlson</t>
  </si>
  <si>
    <t>John Crockett</t>
  </si>
  <si>
    <t>John Emery</t>
  </si>
  <si>
    <t>John FitzPatrick</t>
  </si>
  <si>
    <t>John Harris</t>
  </si>
  <si>
    <t>John Hightower</t>
  </si>
  <si>
    <t>John Kelly</t>
  </si>
  <si>
    <t>John Kuhn</t>
  </si>
  <si>
    <t>John Lovett</t>
  </si>
  <si>
    <t>Steve Smith Sr.</t>
  </si>
  <si>
    <t>John Metchie</t>
  </si>
  <si>
    <t>John Peters</t>
  </si>
  <si>
    <t>John Phillips</t>
  </si>
  <si>
    <t>John Ross</t>
  </si>
  <si>
    <t>John Santiago</t>
  </si>
  <si>
    <t>John Skelton</t>
  </si>
  <si>
    <t>Vincent Jackson</t>
  </si>
  <si>
    <t>John Spooney</t>
  </si>
  <si>
    <t>John Ursua</t>
  </si>
  <si>
    <t xml:space="preserve">Las Vegas </t>
  </si>
  <si>
    <t>John Wolford</t>
  </si>
  <si>
    <t>Johnathan Franklin</t>
  </si>
  <si>
    <t>Johnathan Lloyd</t>
  </si>
  <si>
    <t>Johnathon Johnson</t>
  </si>
  <si>
    <t>Johnnie Dixon</t>
  </si>
  <si>
    <t>Johnny Holton</t>
  </si>
  <si>
    <t>Johnny Johnson</t>
  </si>
  <si>
    <t>Johnny Manziel</t>
  </si>
  <si>
    <t>Johnny Mundt</t>
  </si>
  <si>
    <t>Joique Bell</t>
  </si>
  <si>
    <t>JoJo Earle</t>
  </si>
  <si>
    <t>JoJo Natson</t>
  </si>
  <si>
    <t>Jon Baldwin</t>
  </si>
  <si>
    <t>Jon Duhart</t>
  </si>
  <si>
    <t>Jon Hilliman</t>
  </si>
  <si>
    <t>Jon Jennings</t>
  </si>
  <si>
    <t>Jonâ€™Vea Johnson</t>
  </si>
  <si>
    <t>Jonah Trinnaman</t>
  </si>
  <si>
    <t>Jonas Gray</t>
  </si>
  <si>
    <t>Jonathan Adams</t>
  </si>
  <si>
    <t>Jonathan Dwyer</t>
  </si>
  <si>
    <t>Jonathan Grimes</t>
  </si>
  <si>
    <t>Jonathan Krause</t>
  </si>
  <si>
    <t>Jonathan Mingo</t>
  </si>
  <si>
    <t>Jonathan Ward</t>
  </si>
  <si>
    <t>Jonathan Williams</t>
  </si>
  <si>
    <t>Jo'quavious Marks</t>
  </si>
  <si>
    <t>Jordan Addison</t>
  </si>
  <si>
    <t>Jordan Akins</t>
  </si>
  <si>
    <t>Jordan Cameron</t>
  </si>
  <si>
    <t>Jordan Chunn</t>
  </si>
  <si>
    <t>Jordan Ellis</t>
  </si>
  <si>
    <t>Jordan Franks</t>
  </si>
  <si>
    <t>Jordan Harris</t>
  </si>
  <si>
    <t>Markus Wheaton</t>
  </si>
  <si>
    <t>Jordan Johnson</t>
  </si>
  <si>
    <t>Rashad Jennings</t>
  </si>
  <si>
    <t>Jordan Lasley</t>
  </si>
  <si>
    <t>Jordan Leggett</t>
  </si>
  <si>
    <t>Jordan Leslie</t>
  </si>
  <si>
    <t>Jordan Love</t>
  </si>
  <si>
    <t>Zach Miller</t>
  </si>
  <si>
    <t>Jordan Lynch</t>
  </si>
  <si>
    <t>Jordan Najvar</t>
  </si>
  <si>
    <t xml:space="preserve">Josh Brown </t>
  </si>
  <si>
    <t>Jordan Norwood</t>
  </si>
  <si>
    <t>Jordan Palmer</t>
  </si>
  <si>
    <t>Jordan Payton</t>
  </si>
  <si>
    <t>Jordan Scarlett</t>
  </si>
  <si>
    <t>Jordan Smallwood</t>
  </si>
  <si>
    <t>Jordan Ta'amu</t>
  </si>
  <si>
    <t>Jordan Taylor</t>
  </si>
  <si>
    <t>Jordan Thomas</t>
  </si>
  <si>
    <t>Jordan Todman</t>
  </si>
  <si>
    <t>Jordan Travis</t>
  </si>
  <si>
    <t>Jordan Veasy</t>
  </si>
  <si>
    <t>Jordan Westerkamp</t>
  </si>
  <si>
    <t>Jordan Whittington</t>
  </si>
  <si>
    <t>Jordan Williams-Lambert</t>
  </si>
  <si>
    <t>Joseph Fauria</t>
  </si>
  <si>
    <t>Joseph Randle</t>
  </si>
  <si>
    <t>Josh Adams</t>
  </si>
  <si>
    <t>Josh Bellamy</t>
  </si>
  <si>
    <t>Josh Boyce</t>
  </si>
  <si>
    <t>Josh Cooper</t>
  </si>
  <si>
    <t>Josh Crockett</t>
  </si>
  <si>
    <t>Nick Novak</t>
  </si>
  <si>
    <t>Josh Downs</t>
  </si>
  <si>
    <t xml:space="preserve">Jordan Cameron </t>
  </si>
  <si>
    <t>Josh Ferguson</t>
  </si>
  <si>
    <t>Josh Freeman</t>
  </si>
  <si>
    <t>Josh Harper</t>
  </si>
  <si>
    <t>Josh Harris</t>
  </si>
  <si>
    <t>Josh Hill</t>
  </si>
  <si>
    <t>Josh Huff</t>
  </si>
  <si>
    <t>Josh Imatorbhebhe</t>
  </si>
  <si>
    <t>Josh Johnson</t>
  </si>
  <si>
    <t>Matt Jones</t>
  </si>
  <si>
    <t>Josh Lenz</t>
  </si>
  <si>
    <t>Josh Magee</t>
  </si>
  <si>
    <t>Josh Malone</t>
  </si>
  <si>
    <t>Josh McCown</t>
  </si>
  <si>
    <t>Josh Morgan</t>
  </si>
  <si>
    <t>Josh Oliver</t>
  </si>
  <si>
    <t>Josh Palmer</t>
  </si>
  <si>
    <t>Josh Pederson</t>
  </si>
  <si>
    <t>Josh Reynolds</t>
  </si>
  <si>
    <t>Josh Robinson</t>
  </si>
  <si>
    <t>Tavon Austin</t>
  </si>
  <si>
    <t>Josh Rosen</t>
  </si>
  <si>
    <t>Josh Rounds</t>
  </si>
  <si>
    <t>Josh Stewart</t>
  </si>
  <si>
    <t>Josh Vann</t>
  </si>
  <si>
    <t>Ladarius Green</t>
  </si>
  <si>
    <t>Josh Whyle</t>
  </si>
  <si>
    <t>Josh Woodrum</t>
  </si>
  <si>
    <t>Joshua Dobbs</t>
  </si>
  <si>
    <t>Joshua Kelley</t>
  </si>
  <si>
    <t>Joshua Mack</t>
  </si>
  <si>
    <t>Joshua Perkins</t>
  </si>
  <si>
    <t>Joshuwa Holloman</t>
  </si>
  <si>
    <t>Josiah Deguara</t>
  </si>
  <si>
    <t>Josiah Price</t>
  </si>
  <si>
    <t>Jovon Durante</t>
  </si>
  <si>
    <t>JT Daniels</t>
  </si>
  <si>
    <t>Julian Fleming</t>
  </si>
  <si>
    <t>Julian Talley</t>
  </si>
  <si>
    <t>Ryan Mathews</t>
  </si>
  <si>
    <t>Julian Williams</t>
  </si>
  <si>
    <t>Julius Chestnut</t>
  </si>
  <si>
    <t>Junior Hemingway</t>
  </si>
  <si>
    <t>Juron Criner</t>
  </si>
  <si>
    <t>Justice Cunningham</t>
  </si>
  <si>
    <t>Justice Ellison</t>
  </si>
  <si>
    <t>Justice Liggins</t>
  </si>
  <si>
    <t>Justin Blackmon</t>
  </si>
  <si>
    <t>Justin Brown</t>
  </si>
  <si>
    <t>Justin Crawford</t>
  </si>
  <si>
    <t>Justin Davis</t>
  </si>
  <si>
    <t>Justin Forsett</t>
  </si>
  <si>
    <t>Justin Hardy</t>
  </si>
  <si>
    <t>Justin Hobbs</t>
  </si>
  <si>
    <t>Justin Hunter</t>
  </si>
  <si>
    <t>Justin Jones</t>
  </si>
  <si>
    <t>Justin Perillo</t>
  </si>
  <si>
    <t>Justin Shorter</t>
  </si>
  <si>
    <t>Justin Stockton</t>
  </si>
  <si>
    <t>Justin Thomas</t>
  </si>
  <si>
    <t>Justin Veltung</t>
  </si>
  <si>
    <t>Justin Watson</t>
  </si>
  <si>
    <t>Juston Christian</t>
  </si>
  <si>
    <t>Justyn Ross</t>
  </si>
  <si>
    <t>Juwan Johnson</t>
  </si>
  <si>
    <t>Juwan Thompson</t>
  </si>
  <si>
    <t>Juwan Washington</t>
  </si>
  <si>
    <t>Michael Floyd</t>
  </si>
  <si>
    <t>JuWann Winfree</t>
  </si>
  <si>
    <t>K.J. Brent</t>
  </si>
  <si>
    <t>Travis Benjamin</t>
  </si>
  <si>
    <t>K.J. Carta-Samuels</t>
  </si>
  <si>
    <t>K.J. Costello</t>
  </si>
  <si>
    <t>K.J. Hamler</t>
  </si>
  <si>
    <t>K.J. Hill</t>
  </si>
  <si>
    <t>K.J. Jefferson</t>
  </si>
  <si>
    <t>K.J. Maye</t>
  </si>
  <si>
    <t>K.J. Osborn</t>
  </si>
  <si>
    <t>Kadarius Toney</t>
  </si>
  <si>
    <t>Ka'Deem Carey</t>
  </si>
  <si>
    <t>Kaden Smith</t>
  </si>
  <si>
    <t>Kadron Boone</t>
  </si>
  <si>
    <t>Kaelin Clay</t>
  </si>
  <si>
    <t>Robert Griffin III</t>
  </si>
  <si>
    <t>Kahale Warring</t>
  </si>
  <si>
    <t>Kahlil Bell</t>
  </si>
  <si>
    <t>Kahlil Lewis</t>
  </si>
  <si>
    <t>Kain Colter</t>
  </si>
  <si>
    <t>Kaleb Eleby</t>
  </si>
  <si>
    <t xml:space="preserve">Phillip Dorsett II </t>
  </si>
  <si>
    <t>Kaleb Smith</t>
  </si>
  <si>
    <t>Kalif Raymond</t>
  </si>
  <si>
    <t>Kalija Lipscomb</t>
  </si>
  <si>
    <t>Kamar Aiken</t>
  </si>
  <si>
    <t>Kano Dillon</t>
  </si>
  <si>
    <t>Kapri Bibbs</t>
  </si>
  <si>
    <t>Karan Higdon</t>
  </si>
  <si>
    <t>Ka'Raun White</t>
  </si>
  <si>
    <t>T.J. Yeldon</t>
  </si>
  <si>
    <t>Karel Hamilton</t>
  </si>
  <si>
    <t>Karlos Williams</t>
  </si>
  <si>
    <t>Kasen Williams</t>
  </si>
  <si>
    <t>Kashif Moore</t>
  </si>
  <si>
    <t>Kassim Osgood</t>
  </si>
  <si>
    <t>Kawaan Baker</t>
  </si>
  <si>
    <t>Kaylon Geiger</t>
  </si>
  <si>
    <t>Kayshon Boutte</t>
  </si>
  <si>
    <t>KD Cannon</t>
  </si>
  <si>
    <t>Keagan Johnson</t>
  </si>
  <si>
    <t>Kealoha Pilares</t>
  </si>
  <si>
    <t>Malcolm Mitchell</t>
  </si>
  <si>
    <t>Keaontay Ingram</t>
  </si>
  <si>
    <t xml:space="preserve">Alfred Morris </t>
  </si>
  <si>
    <t>Kearis Jackson</t>
  </si>
  <si>
    <t>Kedon Slovis</t>
  </si>
  <si>
    <t>Keelan Cole</t>
  </si>
  <si>
    <t>Keelan Doss</t>
  </si>
  <si>
    <t>Keenan Reynolds</t>
  </si>
  <si>
    <t>Keenen Brown</t>
  </si>
  <si>
    <t>Keeon Johnson</t>
  </si>
  <si>
    <t>KeeSean Johnson</t>
  </si>
  <si>
    <t>Keevan Lucas</t>
  </si>
  <si>
    <t>Keilan Robinson</t>
  </si>
  <si>
    <t>Keith Corbin</t>
  </si>
  <si>
    <t>Keith Ford</t>
  </si>
  <si>
    <t>Keith Kirkwood</t>
  </si>
  <si>
    <t>Keith Marshall</t>
  </si>
  <si>
    <t>Keith Mumphery</t>
  </si>
  <si>
    <t>Keith Price</t>
  </si>
  <si>
    <t>Keith Smith</t>
  </si>
  <si>
    <t>Keith Towbridge</t>
  </si>
  <si>
    <t>Keith Wenning</t>
  </si>
  <si>
    <t>Kellen Clemens</t>
  </si>
  <si>
    <t>Kellen Davis</t>
  </si>
  <si>
    <t>Kellen Mond</t>
  </si>
  <si>
    <t>Kellen Moore</t>
  </si>
  <si>
    <t>Kelly Bryant</t>
  </si>
  <si>
    <t>Kelton Moore</t>
  </si>
  <si>
    <t xml:space="preserve">Theo Riddick </t>
  </si>
  <si>
    <t>Kelvin Harmon</t>
  </si>
  <si>
    <t>Kelvin McKnight</t>
  </si>
  <si>
    <t>Kelvin Taylor</t>
  </si>
  <si>
    <t>Kenbrell Thompkins</t>
  </si>
  <si>
    <t>Kendall Blanton</t>
  </si>
  <si>
    <t>Kendall Gaskins</t>
  </si>
  <si>
    <t>Kendall Hinton</t>
  </si>
  <si>
    <t>Thomas Rawls</t>
  </si>
  <si>
    <t>Kendall Hunter</t>
  </si>
  <si>
    <t>Kendall Milton</t>
  </si>
  <si>
    <t>Kendall Wright</t>
  </si>
  <si>
    <t>Kendre Miller</t>
  </si>
  <si>
    <t>Kendric Pryor</t>
  </si>
  <si>
    <t>Kendrick Bourne</t>
  </si>
  <si>
    <t>Kendrick Rogers</t>
  </si>
  <si>
    <t>Kene Nwangwu</t>
  </si>
  <si>
    <t>Kenjon Barner</t>
  </si>
  <si>
    <t>Kennard Backman</t>
  </si>
  <si>
    <t>Kennedy Brooks</t>
  </si>
  <si>
    <t>Kennedy McKoy</t>
  </si>
  <si>
    <t>Kenneth Dixon</t>
  </si>
  <si>
    <t>Kenneth Farrow</t>
  </si>
  <si>
    <t>Kenneth Gainwell</t>
  </si>
  <si>
    <t>Kenneth Walker</t>
  </si>
  <si>
    <t>Kenny Bell</t>
  </si>
  <si>
    <t>Kenny Cook</t>
  </si>
  <si>
    <t>Kenny Hilliard</t>
  </si>
  <si>
    <t>Kenny Lawler</t>
  </si>
  <si>
    <t>Kenny McIntosh</t>
  </si>
  <si>
    <t>Kenny Pickett</t>
  </si>
  <si>
    <t>Kenny Shaw</t>
  </si>
  <si>
    <t>Kenny Yeboah</t>
  </si>
  <si>
    <t>Kenny Young</t>
  </si>
  <si>
    <t>Kent Taylor</t>
  </si>
  <si>
    <t>Keon Hatcher</t>
  </si>
  <si>
    <t>Kermit Whitfield</t>
  </si>
  <si>
    <t>Kerrith Whyte</t>
  </si>
  <si>
    <t>Kerry Taylor</t>
  </si>
  <si>
    <t>Kerwynn Williams</t>
  </si>
  <si>
    <t>Kesean Strong</t>
  </si>
  <si>
    <t>Keshawn Hill</t>
  </si>
  <si>
    <t>Keshawn Martin</t>
  </si>
  <si>
    <t>Ke'Shawn Vaughn</t>
  </si>
  <si>
    <t>Ketron Jackson</t>
  </si>
  <si>
    <t>Kevin Austin</t>
  </si>
  <si>
    <t>Kevin Brown</t>
  </si>
  <si>
    <t>Kevin Coleman</t>
  </si>
  <si>
    <t>Kevin Cone</t>
  </si>
  <si>
    <t>Kevin Davidson</t>
  </si>
  <si>
    <t>Kevin Dorsey</t>
  </si>
  <si>
    <t>Kevin Elliott</t>
  </si>
  <si>
    <t>Kevin Harris</t>
  </si>
  <si>
    <t>Kevin Hogan</t>
  </si>
  <si>
    <t>Kevin Kolb</t>
  </si>
  <si>
    <t>Kevin Marks</t>
  </si>
  <si>
    <t>Kevin Norwood</t>
  </si>
  <si>
    <t>Kevin Ogletree</t>
  </si>
  <si>
    <t>Kevin Rader</t>
  </si>
  <si>
    <t>Kevin Rodgers</t>
  </si>
  <si>
    <t>Kevin Smith</t>
  </si>
  <si>
    <t>Kevin Thomson</t>
  </si>
  <si>
    <t>KeVonn Mabon</t>
  </si>
  <si>
    <t>Kevonte Martin-Manley</t>
  </si>
  <si>
    <t>Keyan Burnett</t>
  </si>
  <si>
    <t>Keyarris Garrett</t>
  </si>
  <si>
    <t>Keyion Dixon</t>
  </si>
  <si>
    <t>Key'Shawn Smith</t>
  </si>
  <si>
    <t>Keyvone Lee</t>
  </si>
  <si>
    <t>Khadarel Hodge</t>
  </si>
  <si>
    <t>Khalfani Muhammad</t>
  </si>
  <si>
    <t>Khalid Hill</t>
  </si>
  <si>
    <t>Khalil Herbert</t>
  </si>
  <si>
    <t>Khalil McClain</t>
  </si>
  <si>
    <t>Khalil Shakir</t>
  </si>
  <si>
    <t>Khari Blasingame</t>
  </si>
  <si>
    <t>Khari Lee</t>
  </si>
  <si>
    <t>Khiry Robinson</t>
  </si>
  <si>
    <t>Kiel Pollard</t>
  </si>
  <si>
    <t>Kirk Merritt</t>
  </si>
  <si>
    <t>Knile Davis</t>
  </si>
  <si>
    <t>Knowshon Moreno</t>
  </si>
  <si>
    <t>Ko Kieft</t>
  </si>
  <si>
    <t>Kofi Hughes</t>
  </si>
  <si>
    <t>Kolby Listenbee</t>
  </si>
  <si>
    <t>Kolton Browning</t>
  </si>
  <si>
    <t>Konata Mumpfield</t>
  </si>
  <si>
    <t>Koren Robinson</t>
  </si>
  <si>
    <t>Korey Robertson</t>
  </si>
  <si>
    <t>Kory Faulkner</t>
  </si>
  <si>
    <t>Kory Sheets</t>
  </si>
  <si>
    <t>Kris Durham</t>
  </si>
  <si>
    <t>Krishawn Hogan</t>
  </si>
  <si>
    <t>Kristian Wilkerson</t>
  </si>
  <si>
    <t>Kurt Benkert</t>
  </si>
  <si>
    <t>Kyle Allen</t>
  </si>
  <si>
    <t>Kyle Carter</t>
  </si>
  <si>
    <t>Kyle Juszczyk</t>
  </si>
  <si>
    <t>Kyle Kempt</t>
  </si>
  <si>
    <t>Kyle Lauletta</t>
  </si>
  <si>
    <t>Kyle Markway</t>
  </si>
  <si>
    <t>Kyle McCord</t>
  </si>
  <si>
    <t>Kyle Nelson</t>
  </si>
  <si>
    <t>Kyle Orton</t>
  </si>
  <si>
    <t>Kyle Philips</t>
  </si>
  <si>
    <t>Kyle Prater</t>
  </si>
  <si>
    <t>Kyle Shurmur</t>
  </si>
  <si>
    <t>Kyle Sloter</t>
  </si>
  <si>
    <t>Kyle Trask</t>
  </si>
  <si>
    <t>Kyle Williams</t>
  </si>
  <si>
    <t>Kylen Granson</t>
  </si>
  <si>
    <t>Kylin Hill</t>
  </si>
  <si>
    <t>Kyren Williams</t>
  </si>
  <si>
    <t>L.D. Brown</t>
  </si>
  <si>
    <t>L.J. Johnson</t>
  </si>
  <si>
    <t>L.J. Scott</t>
  </si>
  <si>
    <t>Lache Seastrunk</t>
  </si>
  <si>
    <t>LaDainian Tomlinson</t>
  </si>
  <si>
    <t>LaDarius Perkins</t>
  </si>
  <si>
    <t>Ladd McConkey</t>
  </si>
  <si>
    <t>Lamaar Thomas</t>
  </si>
  <si>
    <t>Lamar Raynard</t>
  </si>
  <si>
    <t>Lamical Perine</t>
  </si>
  <si>
    <t>LaMichael James</t>
  </si>
  <si>
    <t>Lamont Bryant</t>
  </si>
  <si>
    <t>Lance Dunbar</t>
  </si>
  <si>
    <t>Lance Kendricks</t>
  </si>
  <si>
    <t>Lance Lenoir</t>
  </si>
  <si>
    <t>Lance Moore</t>
  </si>
  <si>
    <t>Landon Jones</t>
  </si>
  <si>
    <t>Landry Jones</t>
  </si>
  <si>
    <t>Laquon Treadwell</t>
  </si>
  <si>
    <t>LaRod Stephens-Howling</t>
  </si>
  <si>
    <t>LaRon Byrd</t>
  </si>
  <si>
    <t>Larry Donnell</t>
  </si>
  <si>
    <t>Larry Pinkard</t>
  </si>
  <si>
    <t>Larry Rountree</t>
  </si>
  <si>
    <t>Lavel Davis</t>
  </si>
  <si>
    <t>Lavelle Hawkins</t>
  </si>
  <si>
    <t>Laveranues Coles</t>
  </si>
  <si>
    <t>Laviska Shenault</t>
  </si>
  <si>
    <t>LaVon Brazill</t>
  </si>
  <si>
    <t>Lavon Coleman</t>
  </si>
  <si>
    <t>Lawrence Cager</t>
  </si>
  <si>
    <t>Lawrence Thomas</t>
  </si>
  <si>
    <t>L'Damian Washington</t>
  </si>
  <si>
    <t>Leddie Brown</t>
  </si>
  <si>
    <t>Lee Doss</t>
  </si>
  <si>
    <t>Lee Evans</t>
  </si>
  <si>
    <t>Lee Smith</t>
  </si>
  <si>
    <t>Lemar Durant</t>
  </si>
  <si>
    <t>Lenard Tillery</t>
  </si>
  <si>
    <t>Leonard Hankerson</t>
  </si>
  <si>
    <t>Leonte Carroo</t>
  </si>
  <si>
    <t>LeShun Daniels</t>
  </si>
  <si>
    <t>Lestar Jean</t>
  </si>
  <si>
    <t>Levante Bellamy</t>
  </si>
  <si>
    <t>Levern Jacobs</t>
  </si>
  <si>
    <t>Levi Norwood</t>
  </si>
  <si>
    <t>Levine Toilolo</t>
  </si>
  <si>
    <t>Lexington Thomas</t>
  </si>
  <si>
    <t>Lil'Jordan Humphrey</t>
  </si>
  <si>
    <t>Limas Sweed</t>
  </si>
  <si>
    <t>Logan Kilgore</t>
  </si>
  <si>
    <t>Logan Parker</t>
  </si>
  <si>
    <t>Logan Paulsen</t>
  </si>
  <si>
    <t>Logan Woodside</t>
  </si>
  <si>
    <t>Lorenzo Styles</t>
  </si>
  <si>
    <t>Lorenzo Taliaferro</t>
  </si>
  <si>
    <t>Louis Murphy</t>
  </si>
  <si>
    <t>Lucas Krull</t>
  </si>
  <si>
    <t>Lucky Whitehead</t>
  </si>
  <si>
    <t>Luis Perez</t>
  </si>
  <si>
    <t>Luke Falk</t>
  </si>
  <si>
    <t>Luke Farrell</t>
  </si>
  <si>
    <t>Luke Little</t>
  </si>
  <si>
    <t>Luke McCown</t>
  </si>
  <si>
    <t>Luke Stocker</t>
  </si>
  <si>
    <t>Luke Willson</t>
  </si>
  <si>
    <t>Luther Burden</t>
  </si>
  <si>
    <t>Lynn Bowden</t>
  </si>
  <si>
    <t>Mac Jones</t>
  </si>
  <si>
    <t>Mack Brown</t>
  </si>
  <si>
    <t>Mack Hollins</t>
  </si>
  <si>
    <t>Madre London</t>
  </si>
  <si>
    <t>Makai Polk</t>
  </si>
  <si>
    <t>Malachi Carter</t>
  </si>
  <si>
    <t>Malachi Dupre</t>
  </si>
  <si>
    <t>Malachi Nelson</t>
  </si>
  <si>
    <t>Malachi Thomas</t>
  </si>
  <si>
    <t>Malcolm Agnew</t>
  </si>
  <si>
    <t>Malcolm Brown</t>
  </si>
  <si>
    <t>Malcolm Johnson</t>
  </si>
  <si>
    <t>Malcolm Johnson Jr</t>
  </si>
  <si>
    <t>Malcolm Lewis</t>
  </si>
  <si>
    <t>Malcolm Perry</t>
  </si>
  <si>
    <t>Malcolm Williams</t>
  </si>
  <si>
    <t>Malcom Floyd</t>
  </si>
  <si>
    <t>Malcome Kennedy</t>
  </si>
  <si>
    <t>Malik Cunninham</t>
  </si>
  <si>
    <t>Malik Heath</t>
  </si>
  <si>
    <t>Malik Henry</t>
  </si>
  <si>
    <t>Malik McClain</t>
  </si>
  <si>
    <t>Malik Nabers</t>
  </si>
  <si>
    <t>Malik Taylor</t>
  </si>
  <si>
    <t>Malik Turner</t>
  </si>
  <si>
    <t>Malik Williams</t>
  </si>
  <si>
    <t>Malik Willis</t>
  </si>
  <si>
    <t>Maliq Carr</t>
  </si>
  <si>
    <t>Manasseh Garner</t>
  </si>
  <si>
    <t>Marcedes Lewis</t>
  </si>
  <si>
    <t>Marcel Jensen</t>
  </si>
  <si>
    <t>Marcel Reece</t>
  </si>
  <si>
    <t>Marcell Ateman</t>
  </si>
  <si>
    <t>Marcus Baugh</t>
  </si>
  <si>
    <t>Marcus Beaurem</t>
  </si>
  <si>
    <t>Marcus Easley</t>
  </si>
  <si>
    <t>Marcus Green</t>
  </si>
  <si>
    <t>Marcus Harris</t>
  </si>
  <si>
    <t>Marcus Johnson</t>
  </si>
  <si>
    <t>Marcus Kemp</t>
  </si>
  <si>
    <t>Marcus Lattimore</t>
  </si>
  <si>
    <t>Marcus Lucas</t>
  </si>
  <si>
    <t>Marcus Marshall</t>
  </si>
  <si>
    <t>Marcus McMaryion</t>
  </si>
  <si>
    <t>Marcus Murphy</t>
  </si>
  <si>
    <t>Marcus Tucker</t>
  </si>
  <si>
    <t>Mario Alford</t>
  </si>
  <si>
    <t>Mario Manningham</t>
  </si>
  <si>
    <t>Mario Williams</t>
  </si>
  <si>
    <t>Marion Grice</t>
  </si>
  <si>
    <t>Mark Harrison</t>
  </si>
  <si>
    <t>Mark Ingram</t>
  </si>
  <si>
    <t>Mark Sanchez</t>
  </si>
  <si>
    <t>Mark Thompson</t>
  </si>
  <si>
    <t>Mark Walton</t>
  </si>
  <si>
    <t>Marken Michel</t>
  </si>
  <si>
    <t>Marlon Brown</t>
  </si>
  <si>
    <t>Marlon Williams</t>
  </si>
  <si>
    <t>Marqise Lee</t>
  </si>
  <si>
    <t>MarQueis Gray</t>
  </si>
  <si>
    <t>Marques Colston</t>
  </si>
  <si>
    <t>Marquess Wilson</t>
  </si>
  <si>
    <t>MarQuez North</t>
  </si>
  <si>
    <t>Marquez Stevenson</t>
  </si>
  <si>
    <t>Marquez Williams</t>
  </si>
  <si>
    <t>Marquis Bundy</t>
  </si>
  <si>
    <t>Marquis Terry</t>
  </si>
  <si>
    <t>Marquis Young</t>
  </si>
  <si>
    <t>Marquise Williams</t>
  </si>
  <si>
    <t>Marshaun Coprich</t>
  </si>
  <si>
    <t>MarShawn Lloyd</t>
  </si>
  <si>
    <t>Martez Carter</t>
  </si>
  <si>
    <t>Marvin Hall</t>
  </si>
  <si>
    <t>Marvin Harrison</t>
  </si>
  <si>
    <t>Marvin Harrison Jr</t>
  </si>
  <si>
    <t>Marvin Jones</t>
  </si>
  <si>
    <t>Marvin Kinsey</t>
  </si>
  <si>
    <t>Marvin McNutt</t>
  </si>
  <si>
    <t>Marvin Mims</t>
  </si>
  <si>
    <t>Mason Fine</t>
  </si>
  <si>
    <t>Mason Rudolph</t>
  </si>
  <si>
    <t>Mason Schreck</t>
  </si>
  <si>
    <t>Master Teague</t>
  </si>
  <si>
    <t>Mataeo Durant</t>
  </si>
  <si>
    <t>Matt Asiata</t>
  </si>
  <si>
    <t>Matt Barkley</t>
  </si>
  <si>
    <t>Matt Blanchard</t>
  </si>
  <si>
    <t>Matt Bushman</t>
  </si>
  <si>
    <t>Matt Cassel</t>
  </si>
  <si>
    <t>Matt Corral</t>
  </si>
  <si>
    <t>Matt Eaton</t>
  </si>
  <si>
    <t>Matt Flanagan</t>
  </si>
  <si>
    <t>Matt Flynn</t>
  </si>
  <si>
    <t>Matt Hasselbeck</t>
  </si>
  <si>
    <t>Matt Hazel</t>
  </si>
  <si>
    <t>Matt LaCosse</t>
  </si>
  <si>
    <t>Matt Lengel</t>
  </si>
  <si>
    <t>Matt McGloin</t>
  </si>
  <si>
    <t>Matt Miller</t>
  </si>
  <si>
    <t>Matt Moore</t>
  </si>
  <si>
    <t>Matt Schaub</t>
  </si>
  <si>
    <t>Matt Seybert</t>
  </si>
  <si>
    <t>Matt Simms</t>
  </si>
  <si>
    <t>Matt Sokol</t>
  </si>
  <si>
    <t>Matt Weiser</t>
  </si>
  <si>
    <t>Matthew Dayes</t>
  </si>
  <si>
    <t>Matthew Mulligan</t>
  </si>
  <si>
    <t>Matthew Slater</t>
  </si>
  <si>
    <t>Matthew Tucker</t>
  </si>
  <si>
    <t>Maurice Harris</t>
  </si>
  <si>
    <t>Maurice Jones-Drew</t>
  </si>
  <si>
    <t>Mavin Anderson</t>
  </si>
  <si>
    <t>Mavin Saunders</t>
  </si>
  <si>
    <t>Max Borghi</t>
  </si>
  <si>
    <t>Max McCaffrey</t>
  </si>
  <si>
    <t>Maxx Williams</t>
  </si>
  <si>
    <t>McLeod Bethel-Thompson</t>
  </si>
  <si>
    <t>Mekale McKay</t>
  </si>
  <si>
    <t>Mekhi Sargent</t>
  </si>
  <si>
    <t>Melvin Gordon</t>
  </si>
  <si>
    <t>Micah Hatfield</t>
  </si>
  <si>
    <t>Micah Wright</t>
  </si>
  <si>
    <t>Michael Allen</t>
  </si>
  <si>
    <t>Michael Brown-Stephens</t>
  </si>
  <si>
    <t>Michael Bush</t>
  </si>
  <si>
    <t>Michael Campanaro</t>
  </si>
  <si>
    <t>Michael Clark</t>
  </si>
  <si>
    <t>Michael Colubiale</t>
  </si>
  <si>
    <t>Michael Cox</t>
  </si>
  <si>
    <t>Michael Dyer</t>
  </si>
  <si>
    <t>Michael Egnew</t>
  </si>
  <si>
    <t>Michael Ford</t>
  </si>
  <si>
    <t>Michael Hill</t>
  </si>
  <si>
    <t>Michael Hoomanawanui</t>
  </si>
  <si>
    <t>Michael Mayer</t>
  </si>
  <si>
    <t>Michael Penix</t>
  </si>
  <si>
    <t>Michael Pittman</t>
  </si>
  <si>
    <t>Michael Preston</t>
  </si>
  <si>
    <t>Michael Rector</t>
  </si>
  <si>
    <t>Michael Roberts</t>
  </si>
  <si>
    <t>Michael Smith</t>
  </si>
  <si>
    <t>Michael Trigg</t>
  </si>
  <si>
    <t>Michael Vick</t>
  </si>
  <si>
    <t>Michael Walker</t>
  </si>
  <si>
    <t>Michael Warren</t>
  </si>
  <si>
    <t>Michael Wiley</t>
  </si>
  <si>
    <t>Micheal Spurlock</t>
  </si>
  <si>
    <t>Mickey Shuler</t>
  </si>
  <si>
    <t>Micky Crum</t>
  </si>
  <si>
    <t>Mike A. Thomas</t>
  </si>
  <si>
    <t>Mike A. Williams</t>
  </si>
  <si>
    <t>Mike Bercovici</t>
  </si>
  <si>
    <t>Mike Boone</t>
  </si>
  <si>
    <t>Mike Brown</t>
  </si>
  <si>
    <t>Mike Burton</t>
  </si>
  <si>
    <t>Mike Flacco</t>
  </si>
  <si>
    <t>Mike Glennon</t>
  </si>
  <si>
    <t>Mike Goodson</t>
  </si>
  <si>
    <t>Mike Harley</t>
  </si>
  <si>
    <t>Mike James</t>
  </si>
  <si>
    <t>Mike Kafka</t>
  </si>
  <si>
    <t>Mike McFarland</t>
  </si>
  <si>
    <t>Mike Strachan</t>
  </si>
  <si>
    <t>Mike T. Williams</t>
  </si>
  <si>
    <t>Mike Thomas</t>
  </si>
  <si>
    <t>Mike Tolbert</t>
  </si>
  <si>
    <t>Mike Warren</t>
  </si>
  <si>
    <t>Mike Weber</t>
  </si>
  <si>
    <t>Mike White</t>
  </si>
  <si>
    <t>Mike Woods</t>
  </si>
  <si>
    <t>Mikel Leshoure</t>
  </si>
  <si>
    <t>Mik'Quan Deane</t>
  </si>
  <si>
    <t>Miles Austin</t>
  </si>
  <si>
    <t>Miles Boykin</t>
  </si>
  <si>
    <t>Miller Forristall</t>
  </si>
  <si>
    <t>Milton Wright</t>
  </si>
  <si>
    <t>Mitch Leidner</t>
  </si>
  <si>
    <t>Mitch Mathews</t>
  </si>
  <si>
    <t>Mitch Trubisky</t>
  </si>
  <si>
    <t>Mitchell Henry</t>
  </si>
  <si>
    <t>Mitchell Wilcox</t>
  </si>
  <si>
    <t>Mo Alie-Cox</t>
  </si>
  <si>
    <t>Moe Neal</t>
  </si>
  <si>
    <t>Mohamed Ibrahim</t>
  </si>
  <si>
    <t>Mohamed Sanu</t>
  </si>
  <si>
    <t>Montay Crockett</t>
  </si>
  <si>
    <t>Montee Ball</t>
  </si>
  <si>
    <t>Montrell Johnson</t>
  </si>
  <si>
    <t>Montrell Washington</t>
  </si>
  <si>
    <t>Moose Muhammad III</t>
  </si>
  <si>
    <t>Moral Stephens</t>
  </si>
  <si>
    <t>Moritz Boehringer</t>
  </si>
  <si>
    <t>Mose Frazier</t>
  </si>
  <si>
    <t>Mycah Pittman</t>
  </si>
  <si>
    <t>Mychal Rivera</t>
  </si>
  <si>
    <t>MyCole Pruitt</t>
  </si>
  <si>
    <t>Myles Brennan</t>
  </si>
  <si>
    <t>Myles Fells</t>
  </si>
  <si>
    <t>Myles White</t>
  </si>
  <si>
    <t>Myron Mitchell</t>
  </si>
  <si>
    <t>Nate Becker</t>
  </si>
  <si>
    <t>Nate Burleson</t>
  </si>
  <si>
    <t>Nate McCrary</t>
  </si>
  <si>
    <t>Nate Stanley</t>
  </si>
  <si>
    <t>Nate Sudfeld</t>
  </si>
  <si>
    <t>Nate Washington</t>
  </si>
  <si>
    <t>Nathan Cottrell</t>
  </si>
  <si>
    <t>Nathan Palmer</t>
  </si>
  <si>
    <t>Nathan Peterman</t>
  </si>
  <si>
    <t>Nathan Slaughter</t>
  </si>
  <si>
    <t>Neal Sterling</t>
  </si>
  <si>
    <t>Nelson Spruce</t>
  </si>
  <si>
    <t>Nic Anderson</t>
  </si>
  <si>
    <t>Nic Jacobs</t>
  </si>
  <si>
    <t>Nic Shimonek</t>
  </si>
  <si>
    <t>Nicholas Singleton</t>
  </si>
  <si>
    <t>Nicholaus Iamaleava</t>
  </si>
  <si>
    <t>Nick Bawden</t>
  </si>
  <si>
    <t>Nick Bellore</t>
  </si>
  <si>
    <t>Nick Bowers</t>
  </si>
  <si>
    <t>Nick Boyle</t>
  </si>
  <si>
    <t>Nick Brossette</t>
  </si>
  <si>
    <t>Nick Easley</t>
  </si>
  <si>
    <t>Nick Eubanks</t>
  </si>
  <si>
    <t>Nick Evers</t>
  </si>
  <si>
    <t>Nick Fitzgerald</t>
  </si>
  <si>
    <t>Nick Foles</t>
  </si>
  <si>
    <t>Nick Harwell</t>
  </si>
  <si>
    <t>Nick Holley</t>
  </si>
  <si>
    <t>Nick Kasa</t>
  </si>
  <si>
    <t>Nick Keizer</t>
  </si>
  <si>
    <t>Nick Mullens</t>
  </si>
  <si>
    <t>Nick Muse</t>
  </si>
  <si>
    <t>Nick O'Leary</t>
  </si>
  <si>
    <t>Nick Toon</t>
  </si>
  <si>
    <t>Nick Truesdell</t>
  </si>
  <si>
    <t>Nick Vannett</t>
  </si>
  <si>
    <t>Nick Westbrook-Ikhine</t>
  </si>
  <si>
    <t>Nick Williams</t>
  </si>
  <si>
    <t>Nico Collins</t>
  </si>
  <si>
    <t>Nico Evans</t>
  </si>
  <si>
    <t>Nigel King</t>
  </si>
  <si>
    <t>Niles Paul</t>
  </si>
  <si>
    <t>Noah Brown</t>
  </si>
  <si>
    <t>Noah Cain</t>
  </si>
  <si>
    <t>Noah Gray</t>
  </si>
  <si>
    <t>Noah Togiai</t>
  </si>
  <si>
    <t>Noel Grigsby</t>
  </si>
  <si>
    <t>Noel Thomas</t>
  </si>
  <si>
    <t>Nsimba Webster</t>
  </si>
  <si>
    <t>Nyqwan Murray</t>
  </si>
  <si>
    <t>Odell Beckham</t>
  </si>
  <si>
    <t>Olabisi Johnson</t>
  </si>
  <si>
    <t>Olamide Zaccheaus</t>
  </si>
  <si>
    <t>Omar Bayless</t>
  </si>
  <si>
    <t>Orleans Darkwa</t>
  </si>
  <si>
    <t>Orson Charles</t>
  </si>
  <si>
    <t>Osirus Mitchell</t>
  </si>
  <si>
    <t>Otis Anderson</t>
  </si>
  <si>
    <t>Owen Daniels</t>
  </si>
  <si>
    <t>P.J. Walker</t>
  </si>
  <si>
    <t>Papi White</t>
  </si>
  <si>
    <t>Parker Hesse</t>
  </si>
  <si>
    <t>Parker Washington</t>
  </si>
  <si>
    <t>Pat Devlin</t>
  </si>
  <si>
    <t>Pat Freiermuth</t>
  </si>
  <si>
    <t>Pat Garwo III</t>
  </si>
  <si>
    <t>Patrick DiMarco</t>
  </si>
  <si>
    <t>Patrick Edwards</t>
  </si>
  <si>
    <t>Patrick Laird</t>
  </si>
  <si>
    <t>Patrick Taylor</t>
  </si>
  <si>
    <t>Paul Butler</t>
  </si>
  <si>
    <t>Paul Lucas</t>
  </si>
  <si>
    <t>Paul McRoberts</t>
  </si>
  <si>
    <t>Paul Richardson</t>
  </si>
  <si>
    <t>Paul Turner</t>
  </si>
  <si>
    <t>Paxton Lynch</t>
  </si>
  <si>
    <t>Penny Hart</t>
  </si>
  <si>
    <t>Percy Harvin</t>
  </si>
  <si>
    <t>Pete Guerriero</t>
  </si>
  <si>
    <t>Peter Pujals</t>
  </si>
  <si>
    <t>Peter Warrick</t>
  </si>
  <si>
    <t>Peyton Hendershot</t>
  </si>
  <si>
    <t>Peyton Hillis</t>
  </si>
  <si>
    <t>Peyton Manning</t>
  </si>
  <si>
    <t>Peyton Ramsey</t>
  </si>
  <si>
    <t>Pharaoh Brown</t>
  </si>
  <si>
    <t>Pharoah McKever</t>
  </si>
  <si>
    <t>Pharoh Cooper</t>
  </si>
  <si>
    <t>Phazahn Odom</t>
  </si>
  <si>
    <t>Phil Bates</t>
  </si>
  <si>
    <t>Phil Jurkovec</t>
  </si>
  <si>
    <t>Phillip Dorsett</t>
  </si>
  <si>
    <t>Phillip Supernaw</t>
  </si>
  <si>
    <t>Phillip Tanner</t>
  </si>
  <si>
    <t>Pierre Strong</t>
  </si>
  <si>
    <t>Pierre Thomas</t>
  </si>
  <si>
    <t>Pig Howard</t>
  </si>
  <si>
    <t>Plaxico Burress</t>
  </si>
  <si>
    <t>Pooka Williams</t>
  </si>
  <si>
    <t>Preston Parker</t>
  </si>
  <si>
    <t>Pro Wells</t>
  </si>
  <si>
    <t>Qadree Ollison</t>
  </si>
  <si>
    <t>Quadree Henderson</t>
  </si>
  <si>
    <t>Quan Bray</t>
  </si>
  <si>
    <t>Quartney Davis</t>
  </si>
  <si>
    <t>Quentin Johnston</t>
  </si>
  <si>
    <t>Quenton Bundrage</t>
  </si>
  <si>
    <t>Quez Watkins</t>
  </si>
  <si>
    <t>Quincy Adeboyejo</t>
  </si>
  <si>
    <t>Quincy Enunwa</t>
  </si>
  <si>
    <t>Quinn Ewers</t>
  </si>
  <si>
    <t>Quinshad Davis</t>
  </si>
  <si>
    <t>Quintez Cephus</t>
  </si>
  <si>
    <t>Quintin Morris</t>
  </si>
  <si>
    <t>Quinton Flowers</t>
  </si>
  <si>
    <t>Quinton Patton</t>
  </si>
  <si>
    <t>Quron Pratt</t>
  </si>
  <si>
    <t>R.J. Harris</t>
  </si>
  <si>
    <t>R.J. Shelton</t>
  </si>
  <si>
    <t>R.J. Sneed</t>
  </si>
  <si>
    <t>Racey McMath</t>
  </si>
  <si>
    <t>Rachaad White</t>
  </si>
  <si>
    <t>Raheem Blackshear</t>
  </si>
  <si>
    <t>Raheim Sanders</t>
  </si>
  <si>
    <t>Rahmir Johnson</t>
  </si>
  <si>
    <t>Rajion Neal</t>
  </si>
  <si>
    <t>Rakeem Boyd</t>
  </si>
  <si>
    <t>Rakim Jarrett</t>
  </si>
  <si>
    <t>Raleek Brown</t>
  </si>
  <si>
    <t>Ralph Webb</t>
  </si>
  <si>
    <t>Ramaud Chiaokhlao-Bowman</t>
  </si>
  <si>
    <t>Ramses Barden</t>
  </si>
  <si>
    <t>Randall Telfer</t>
  </si>
  <si>
    <t>Randy Moss</t>
  </si>
  <si>
    <t>Rannell Hall</t>
  </si>
  <si>
    <t>Raphael Leonard</t>
  </si>
  <si>
    <t>Ra'Quanne Dickens</t>
  </si>
  <si>
    <t>Rashad Greene</t>
  </si>
  <si>
    <t>Rashad Ross</t>
  </si>
  <si>
    <t>Rashard Davis</t>
  </si>
  <si>
    <t>Rashard Higgins</t>
  </si>
  <si>
    <t>Rashawn Scott</t>
  </si>
  <si>
    <t>Rasheed Bailey</t>
  </si>
  <si>
    <t>Rasheed Williams</t>
  </si>
  <si>
    <t>Rashod Bateman</t>
  </si>
  <si>
    <t>Ray Graham</t>
  </si>
  <si>
    <t>Ray Lawry</t>
  </si>
  <si>
    <t>Ray Rice</t>
  </si>
  <si>
    <t>Raymond Calais</t>
  </si>
  <si>
    <t>Raymond Maples</t>
  </si>
  <si>
    <t>Ray-Ray McCloud</t>
  </si>
  <si>
    <t>Rayshon Luke</t>
  </si>
  <si>
    <t>Reece Horn</t>
  </si>
  <si>
    <t>Reggie Begelton</t>
  </si>
  <si>
    <t>Reggie Bonnafon</t>
  </si>
  <si>
    <t>Reggie Bush</t>
  </si>
  <si>
    <t>Reggie Corbin</t>
  </si>
  <si>
    <t>Reggie Davis</t>
  </si>
  <si>
    <t>Reggie Diggs</t>
  </si>
  <si>
    <t>Reggie Gallaspy</t>
  </si>
  <si>
    <t>Reggie Gilliam</t>
  </si>
  <si>
    <t>Reggie Jordan</t>
  </si>
  <si>
    <t>Reggie Roberson</t>
  </si>
  <si>
    <t>Reggie Wayne</t>
  </si>
  <si>
    <t>Reggie White</t>
  </si>
  <si>
    <t>Reid Sinnett</t>
  </si>
  <si>
    <t>Re'Mahn Davis</t>
  </si>
  <si>
    <t>Rhamondre Stevenson</t>
  </si>
  <si>
    <t>Rhett Ellison</t>
  </si>
  <si>
    <t>Ricardo Lockette</t>
  </si>
  <si>
    <t>Ricardo Louis</t>
  </si>
  <si>
    <t>Richard Mullaney</t>
  </si>
  <si>
    <t>Richard Rodgers</t>
  </si>
  <si>
    <t>Richard Ross</t>
  </si>
  <si>
    <t>Richie James</t>
  </si>
  <si>
    <t>Richie Worship</t>
  </si>
  <si>
    <t>Ricky Collins</t>
  </si>
  <si>
    <t>Ricky Jeune</t>
  </si>
  <si>
    <t>Ricky Ortiz</t>
  </si>
  <si>
    <t>Ricky Stanzi</t>
  </si>
  <si>
    <t>Rico Bussey</t>
  </si>
  <si>
    <t>Rico Dowdle</t>
  </si>
  <si>
    <t>Rico Gafford</t>
  </si>
  <si>
    <t>Rico Gathers</t>
  </si>
  <si>
    <t>Rico Richardson</t>
  </si>
  <si>
    <t>Riley Cooper</t>
  </si>
  <si>
    <t>Riley McCarron</t>
  </si>
  <si>
    <t>Riley Ridley</t>
  </si>
  <si>
    <t>River Cracraft</t>
  </si>
  <si>
    <t>Rob Blanchflower</t>
  </si>
  <si>
    <t>Rob Housler</t>
  </si>
  <si>
    <t>Robert Davis</t>
  </si>
  <si>
    <t>Robert Foster</t>
  </si>
  <si>
    <t>Robert Herron</t>
  </si>
  <si>
    <t>Robert Hughes</t>
  </si>
  <si>
    <t>Robert Martin</t>
  </si>
  <si>
    <t>Robert Meachem</t>
  </si>
  <si>
    <t>Robert Turbin</t>
  </si>
  <si>
    <t>Robert Wheelwright</t>
  </si>
  <si>
    <t>Roc Thomas</t>
  </si>
  <si>
    <t>Rod Smith</t>
  </si>
  <si>
    <t>Rod Streater</t>
  </si>
  <si>
    <t>Roddy White</t>
  </si>
  <si>
    <t>Rodney Adams</t>
  </si>
  <si>
    <t>Rodney Anderson</t>
  </si>
  <si>
    <t>Rodney Smith</t>
  </si>
  <si>
    <t>Rodney Williams</t>
  </si>
  <si>
    <t>Roger Lewis</t>
  </si>
  <si>
    <t>Rome Odunze</t>
  </si>
  <si>
    <t>Romell Guerrier</t>
  </si>
  <si>
    <t>Romello Brinson</t>
  </si>
  <si>
    <t>Romello Brooker</t>
  </si>
  <si>
    <t>Romeo Doubs</t>
  </si>
  <si>
    <t>Ronald Jones</t>
  </si>
  <si>
    <t>Rondale Moore</t>
  </si>
  <si>
    <t>Ronnie Bell</t>
  </si>
  <si>
    <t>Ronnie Brown</t>
  </si>
  <si>
    <t>Ronnie Hillman</t>
  </si>
  <si>
    <t>Ronnie Rivers</t>
  </si>
  <si>
    <t>Ronnie Wingo</t>
  </si>
  <si>
    <t>Ron'Quavion Tarver</t>
  </si>
  <si>
    <t>Roosevelt Nix</t>
  </si>
  <si>
    <t>Rory Anderson</t>
  </si>
  <si>
    <t>Roschon Johnson</t>
  </si>
  <si>
    <t>Ross Apo</t>
  </si>
  <si>
    <t>Ross Dwelley</t>
  </si>
  <si>
    <t>Ross Scheuerman</t>
  </si>
  <si>
    <t>Ross Travis</t>
  </si>
  <si>
    <t>Roy Finch</t>
  </si>
  <si>
    <t>Roy Helu</t>
  </si>
  <si>
    <t>Roy Williams</t>
  </si>
  <si>
    <t>Rudy Rudolph</t>
  </si>
  <si>
    <t>Rueben Randle</t>
  </si>
  <si>
    <t>Rushel Shell</t>
  </si>
  <si>
    <t>Russell Gage</t>
  </si>
  <si>
    <t>Russell Hansbrough</t>
  </si>
  <si>
    <t>Russell Shepard</t>
  </si>
  <si>
    <t>Ryan Broyles</t>
  </si>
  <si>
    <t>Ryan Davis</t>
  </si>
  <si>
    <t>Ryan Finley</t>
  </si>
  <si>
    <t>Ryan Fitzpatrick</t>
  </si>
  <si>
    <t>Ryan Fulse</t>
  </si>
  <si>
    <t>Ryan Grant</t>
  </si>
  <si>
    <t>Ryan Griffin</t>
  </si>
  <si>
    <t>Ryan Hewitt</t>
  </si>
  <si>
    <t>Ryan Izzo</t>
  </si>
  <si>
    <t>Ryan Lindley</t>
  </si>
  <si>
    <t>Ryan Malleck</t>
  </si>
  <si>
    <t>Ryan Mallett</t>
  </si>
  <si>
    <t>Ryan Nall</t>
  </si>
  <si>
    <t>Ryan Nassib</t>
  </si>
  <si>
    <t>Ryan O'Malley</t>
  </si>
  <si>
    <t>Ryan Smith</t>
  </si>
  <si>
    <t>Ryan Spadola</t>
  </si>
  <si>
    <t>Ryan Switzer</t>
  </si>
  <si>
    <t>Ryan Whalen</t>
  </si>
  <si>
    <t>Ryan Williams</t>
  </si>
  <si>
    <t>Ryan Yurachek</t>
  </si>
  <si>
    <t>Ryquell Armstead</t>
  </si>
  <si>
    <t>Saalim Hakim</t>
  </si>
  <si>
    <t>Saeed Blacknall</t>
  </si>
  <si>
    <t>Sage Surratt</t>
  </si>
  <si>
    <t>Salvon Ahmed</t>
  </si>
  <si>
    <t>Sam Bradford</t>
  </si>
  <si>
    <t>Sam Darnold</t>
  </si>
  <si>
    <t>Sam Ehlinger</t>
  </si>
  <si>
    <t>Sam Hartman</t>
  </si>
  <si>
    <t>Sam Horn</t>
  </si>
  <si>
    <t>Sam Howell</t>
  </si>
  <si>
    <t>Sam Laporta</t>
  </si>
  <si>
    <t>Sam McPherson</t>
  </si>
  <si>
    <t>Sam Rogers</t>
  </si>
  <si>
    <t>Sammie Coates</t>
  </si>
  <si>
    <t>Sammis Reyes</t>
  </si>
  <si>
    <t>Samori Toure</t>
  </si>
  <si>
    <t>Santana Moss</t>
  </si>
  <si>
    <t>Santonio Holmes</t>
  </si>
  <si>
    <t>SaRoderick Thompson</t>
  </si>
  <si>
    <t>Scooter Harrington</t>
  </si>
  <si>
    <t>Scott Chandler</t>
  </si>
  <si>
    <t>Scott Miller</t>
  </si>
  <si>
    <t>Scott Orndoff</t>
  </si>
  <si>
    <t>Scott Simonson</t>
  </si>
  <si>
    <t>Scott Tolzien</t>
  </si>
  <si>
    <t>Scottie Phillips</t>
  </si>
  <si>
    <t>Sean Culkin</t>
  </si>
  <si>
    <t>Sean Mannion</t>
  </si>
  <si>
    <t>Sean McGrath</t>
  </si>
  <si>
    <t>Sean McKeon</t>
  </si>
  <si>
    <t>Sean Modster</t>
  </si>
  <si>
    <t>Sean Renfree</t>
  </si>
  <si>
    <t>Sean Tucker</t>
  </si>
  <si>
    <t>Seantavius Jones</t>
  </si>
  <si>
    <t>Sefo Liufau</t>
  </si>
  <si>
    <t>Seneca Wallace</t>
  </si>
  <si>
    <t>Senorise Perry</t>
  </si>
  <si>
    <t>Seth Devalve</t>
  </si>
  <si>
    <t>Seth Green</t>
  </si>
  <si>
    <t>Seth Lobato</t>
  </si>
  <si>
    <t>Seth Roberts</t>
  </si>
  <si>
    <t>Seth Williams</t>
  </si>
  <si>
    <t>Seven McGee</t>
  </si>
  <si>
    <t>Sewo Olonilua</t>
  </si>
  <si>
    <t>Seyi Ajirotutu</t>
  </si>
  <si>
    <t>Shane Buechele</t>
  </si>
  <si>
    <t>Shane Carden</t>
  </si>
  <si>
    <t>Shane Simpson</t>
  </si>
  <si>
    <t>Shane Smith</t>
  </si>
  <si>
    <t>Shane Vereen</t>
  </si>
  <si>
    <t>Shane Wynn</t>
  </si>
  <si>
    <t>Shaq Evans</t>
  </si>
  <si>
    <t>Shaq Hill</t>
  </si>
  <si>
    <t>Shaun Beyer</t>
  </si>
  <si>
    <t>Shaun Draughn</t>
  </si>
  <si>
    <t>Shaun Hill</t>
  </si>
  <si>
    <t>Shaun Shivers</t>
  </si>
  <si>
    <t>Shaun Wilson</t>
  </si>
  <si>
    <t>Shawn Bane</t>
  </si>
  <si>
    <t>Shawn Poindexter</t>
  </si>
  <si>
    <t>Shay Fields</t>
  </si>
  <si>
    <t>Shazz Preston</t>
  </si>
  <si>
    <t>Shea Patterson</t>
  </si>
  <si>
    <t>Shedeur Sanders</t>
  </si>
  <si>
    <t>Shedrick Jackson</t>
  </si>
  <si>
    <t>Shelton Gibson</t>
  </si>
  <si>
    <t>Shermari Jones</t>
  </si>
  <si>
    <t>Shi Smith</t>
  </si>
  <si>
    <t>Shonn Greene</t>
  </si>
  <si>
    <t>Shun Brown</t>
  </si>
  <si>
    <t>Sidney Rice</t>
  </si>
  <si>
    <t>Silas Redd</t>
  </si>
  <si>
    <t>Simi Fehoko</t>
  </si>
  <si>
    <t>Simmie Cobbs</t>
  </si>
  <si>
    <t>Sincere McCormick</t>
  </si>
  <si>
    <t>Skye Dawson</t>
  </si>
  <si>
    <t>Skylar Thompson</t>
  </si>
  <si>
    <t>Skyy Moore</t>
  </si>
  <si>
    <t>Slade Bolden</t>
  </si>
  <si>
    <t>Snoop Conner</t>
  </si>
  <si>
    <t>Solomon Patton</t>
  </si>
  <si>
    <t>Spencer Brown</t>
  </si>
  <si>
    <t>Spencer Petras</t>
  </si>
  <si>
    <t>Spencer Rattler</t>
  </si>
  <si>
    <t>Spencer Sanders</t>
  </si>
  <si>
    <t>Spencer Schnell</t>
  </si>
  <si>
    <t>Spencer Ware</t>
  </si>
  <si>
    <t>Squally Canada</t>
  </si>
  <si>
    <t>Stacy Coley</t>
  </si>
  <si>
    <t>Stanley Morgan</t>
  </si>
  <si>
    <t>Stedman Bailey</t>
  </si>
  <si>
    <t>Steele Chambers</t>
  </si>
  <si>
    <t>Stepfan Taylor</t>
  </si>
  <si>
    <t>Stephen Anderson</t>
  </si>
  <si>
    <t>Stephen Carlson</t>
  </si>
  <si>
    <t>Stephen Carr</t>
  </si>
  <si>
    <t>Stephen Guidry</t>
  </si>
  <si>
    <t>Stephen Hill</t>
  </si>
  <si>
    <t>Stephen Houston</t>
  </si>
  <si>
    <t>Stephen Louis</t>
  </si>
  <si>
    <t>Stephen Morris</t>
  </si>
  <si>
    <t>Stephen Sullivan</t>
  </si>
  <si>
    <t>Stephon Huderson</t>
  </si>
  <si>
    <t>Stevan Ridley</t>
  </si>
  <si>
    <t>Steve Ishmael</t>
  </si>
  <si>
    <t>Steve Johnson</t>
  </si>
  <si>
    <t>Steve Smith</t>
  </si>
  <si>
    <t>Steven Dunbar</t>
  </si>
  <si>
    <t>Steven Jackson</t>
  </si>
  <si>
    <t>Steven Miller</t>
  </si>
  <si>
    <t>Steven Mitchell</t>
  </si>
  <si>
    <t>Steven Montez</t>
  </si>
  <si>
    <t>Steven Peoples</t>
  </si>
  <si>
    <t>Steven Scheu</t>
  </si>
  <si>
    <t>Steven Sims</t>
  </si>
  <si>
    <t>Stevie Scott</t>
  </si>
  <si>
    <t>Stone Smartt</t>
  </si>
  <si>
    <t>Storm Johnson</t>
  </si>
  <si>
    <t>Synjyn Days</t>
  </si>
  <si>
    <t>T.J. Graham</t>
  </si>
  <si>
    <t>T.J. Houshmandzadeh</t>
  </si>
  <si>
    <t>T.J. Jones</t>
  </si>
  <si>
    <t>T.J. Logan</t>
  </si>
  <si>
    <t>T.J. Moe</t>
  </si>
  <si>
    <t>T.J. Pledger</t>
  </si>
  <si>
    <t>T.J. Rahming</t>
  </si>
  <si>
    <t>T.J. Vasher</t>
  </si>
  <si>
    <t>T.J. Yates</t>
  </si>
  <si>
    <t>Tahj Washington</t>
  </si>
  <si>
    <t>Taiwan Deal</t>
  </si>
  <si>
    <t>Taiwan Jones</t>
  </si>
  <si>
    <t>Tajh Boyd</t>
  </si>
  <si>
    <t>Tamorrion Terry</t>
  </si>
  <si>
    <t>Tandon Doss</t>
  </si>
  <si>
    <t>Tank Bigsby</t>
  </si>
  <si>
    <t>Tanner Gentry</t>
  </si>
  <si>
    <t>Tanner Hudson</t>
  </si>
  <si>
    <t>Tanner Lee</t>
  </si>
  <si>
    <t>Tanner McEvoy</t>
  </si>
  <si>
    <t>Tanner McKee</t>
  </si>
  <si>
    <t>Taquan Mizzell</t>
  </si>
  <si>
    <t>Tarik Black</t>
  </si>
  <si>
    <t>Tarvaris Jackson</t>
  </si>
  <si>
    <t>Taulia Tagovailoa</t>
  </si>
  <si>
    <t>Tauren Poole</t>
  </si>
  <si>
    <t>Tavarres King</t>
  </si>
  <si>
    <t>Tavien Feaster</t>
  </si>
  <si>
    <t>Tavion Thomas</t>
  </si>
  <si>
    <t>Taye Barber</t>
  </si>
  <si>
    <t>Taylor Cornelius</t>
  </si>
  <si>
    <t>Taylor Gabriel</t>
  </si>
  <si>
    <t>Taylor Heinicke</t>
  </si>
  <si>
    <t>Taylor McNamara</t>
  </si>
  <si>
    <t>Taylor Price</t>
  </si>
  <si>
    <t>Taylor Thompson</t>
  </si>
  <si>
    <t>Taysom Hill</t>
  </si>
  <si>
    <t>Tayvion Robinson</t>
  </si>
  <si>
    <t>Taywan Taylor</t>
  </si>
  <si>
    <t>Teagan Quitoriano</t>
  </si>
  <si>
    <t>Ted Bolser</t>
  </si>
  <si>
    <t>Ted Ginn</t>
  </si>
  <si>
    <t>Teddy Bridgewater</t>
  </si>
  <si>
    <t>Tello Luckett</t>
  </si>
  <si>
    <t>Temarrick Hemingway</t>
  </si>
  <si>
    <t>Teo Redding</t>
  </si>
  <si>
    <t>Terrace Marshall</t>
  </si>
  <si>
    <t>Terrance Cobb</t>
  </si>
  <si>
    <t>Terrance Williams</t>
  </si>
  <si>
    <t>Terrell Bynum</t>
  </si>
  <si>
    <t>Terrell Jana</t>
  </si>
  <si>
    <t>Terrell Owens</t>
  </si>
  <si>
    <t>Terrell Watson</t>
  </si>
  <si>
    <t>Terrelle Pryor</t>
  </si>
  <si>
    <t>Terren Encalade</t>
  </si>
  <si>
    <t>Terrence Magee</t>
  </si>
  <si>
    <t>Terrence Toliver</t>
  </si>
  <si>
    <t>Terris Jones-Grigsby</t>
  </si>
  <si>
    <t>Terron Ward</t>
  </si>
  <si>
    <t>Terry Godwin</t>
  </si>
  <si>
    <t>Terry Swanson</t>
  </si>
  <si>
    <t>Terry Wright</t>
  </si>
  <si>
    <t>Tetairoa McMillan</t>
  </si>
  <si>
    <t>Tevaun Smith</t>
  </si>
  <si>
    <t>Tevin Jones</t>
  </si>
  <si>
    <t>Tevin Reese</t>
  </si>
  <si>
    <t>Tevin White</t>
  </si>
  <si>
    <t>Thaddeus Lewis</t>
  </si>
  <si>
    <t>Thaddeus Moss</t>
  </si>
  <si>
    <t>Theo Johnson</t>
  </si>
  <si>
    <t>Theo Wease</t>
  </si>
  <si>
    <t>Thomas Duarte</t>
  </si>
  <si>
    <t>Thomas Ives</t>
  </si>
  <si>
    <t>Thomas Sperbeck</t>
  </si>
  <si>
    <t>Tim Benford</t>
  </si>
  <si>
    <t>Tim Boyle</t>
  </si>
  <si>
    <t>Tim Cook</t>
  </si>
  <si>
    <t>Tim Cornett</t>
  </si>
  <si>
    <t>Tim Flanders</t>
  </si>
  <si>
    <t>Tim Hightower</t>
  </si>
  <si>
    <t>Tim Patrick</t>
  </si>
  <si>
    <t>Tim Semisch</t>
  </si>
  <si>
    <t>Tim Tebow</t>
  </si>
  <si>
    <t>Tim White</t>
  </si>
  <si>
    <t>Timothy Wright</t>
  </si>
  <si>
    <t>Tion Green</t>
  </si>
  <si>
    <t>Tiquan Underwood</t>
  </si>
  <si>
    <t>Titus Davis</t>
  </si>
  <si>
    <t>Tobias Merriweather</t>
  </si>
  <si>
    <t>Toby Gerhart</t>
  </si>
  <si>
    <t>Todd Gurley</t>
  </si>
  <si>
    <t>Tom Crabtree</t>
  </si>
  <si>
    <t>Tom Kennedy</t>
  </si>
  <si>
    <t>Tom Savage</t>
  </si>
  <si>
    <t>Tommy Armstrong</t>
  </si>
  <si>
    <t>Tommy Bohanon</t>
  </si>
  <si>
    <t>Tommy Rees</t>
  </si>
  <si>
    <t>Tommy Stevens</t>
  </si>
  <si>
    <t>Tommy Streeter</t>
  </si>
  <si>
    <t>Tommy Sweeney</t>
  </si>
  <si>
    <t>Tommy Tremble</t>
  </si>
  <si>
    <t>Tommylee Lewis</t>
  </si>
  <si>
    <t>Toney Clemons</t>
  </si>
  <si>
    <t>Tony Brooks-James</t>
  </si>
  <si>
    <t>Tony Brown</t>
  </si>
  <si>
    <t>Tony Jones</t>
  </si>
  <si>
    <t>Tony Moeaki</t>
  </si>
  <si>
    <t>Tony Pierson</t>
  </si>
  <si>
    <t>Tony Poljan</t>
  </si>
  <si>
    <t>Tony Romo</t>
  </si>
  <si>
    <t>Tony Stevens</t>
  </si>
  <si>
    <t>Tony Washington</t>
  </si>
  <si>
    <t>Tori Gurley</t>
  </si>
  <si>
    <t>Torrence Allen</t>
  </si>
  <si>
    <t>Tra Carson</t>
  </si>
  <si>
    <t>Tra Minter</t>
  </si>
  <si>
    <t>Trace McSorley</t>
  </si>
  <si>
    <t>Traeshon Holden</t>
  </si>
  <si>
    <t>Travaris Cadet</t>
  </si>
  <si>
    <t>Travin Dural</t>
  </si>
  <si>
    <t>Travis Beckum</t>
  </si>
  <si>
    <t>Travis Dye</t>
  </si>
  <si>
    <t>Travis Etienne</t>
  </si>
  <si>
    <t>Travis Fulgham</t>
  </si>
  <si>
    <t>Travis Homer</t>
  </si>
  <si>
    <t>Travis Labhart</t>
  </si>
  <si>
    <t>Travis Partridge</t>
  </si>
  <si>
    <t>Travis Rudolph</t>
  </si>
  <si>
    <t>Travis Taylor</t>
  </si>
  <si>
    <t>Travis Wilson</t>
  </si>
  <si>
    <t>Travon McMillian</t>
  </si>
  <si>
    <t>Trayveon Williams</t>
  </si>
  <si>
    <t>Tre Madden</t>
  </si>
  <si>
    <t>Tre Mason</t>
  </si>
  <si>
    <t>Tre McBride</t>
  </si>
  <si>
    <t>Tre McKitty</t>
  </si>
  <si>
    <t>Tre Nixon</t>
  </si>
  <si>
    <t>Tre Turner</t>
  </si>
  <si>
    <t>Tre Walker</t>
  </si>
  <si>
    <t>Tre Watson</t>
  </si>
  <si>
    <t>Trent Edwards</t>
  </si>
  <si>
    <t>Trent Richardson</t>
  </si>
  <si>
    <t>Trent Sherfield</t>
  </si>
  <si>
    <t>Trent Taylor</t>
  </si>
  <si>
    <t>Trenton Cannon</t>
  </si>
  <si>
    <t>Trenton Irwin</t>
  </si>
  <si>
    <t>Tre'Quan Smith</t>
  </si>
  <si>
    <t>Tre'Shaun Harrison</t>
  </si>
  <si>
    <t>Treshaun Ward</t>
  </si>
  <si>
    <t>Trestan Ebner</t>
  </si>
  <si>
    <t>TreVeyon Henderson</t>
  </si>
  <si>
    <t>Trevion Thompson</t>
  </si>
  <si>
    <t>Trevon Brown</t>
  </si>
  <si>
    <t>Trevon Grimes</t>
  </si>
  <si>
    <t>Trevon Wesco</t>
  </si>
  <si>
    <t>Trevone Boykin</t>
  </si>
  <si>
    <t>Trevor Davis</t>
  </si>
  <si>
    <t>Trevor Harman</t>
  </si>
  <si>
    <t>Trevor Knight</t>
  </si>
  <si>
    <t>Trevor Siemian</t>
  </si>
  <si>
    <t>Trevor Wood</t>
  </si>
  <si>
    <t>Trey Brock</t>
  </si>
  <si>
    <t>Trey Edmunds</t>
  </si>
  <si>
    <t>Trey Griffey</t>
  </si>
  <si>
    <t>Trey Knox</t>
  </si>
  <si>
    <t>Trey McBride</t>
  </si>
  <si>
    <t>Trey Palmer</t>
  </si>
  <si>
    <t>Trey Potts</t>
  </si>
  <si>
    <t>Trey Quinn</t>
  </si>
  <si>
    <t>Trey Ragas</t>
  </si>
  <si>
    <t>Trey Sanders</t>
  </si>
  <si>
    <t>Trey Watts</t>
  </si>
  <si>
    <t>Trey Williams</t>
  </si>
  <si>
    <t>Treylon Burks</t>
  </si>
  <si>
    <t>Trindon Holliday</t>
  </si>
  <si>
    <t>Trinity Benson</t>
  </si>
  <si>
    <t>Trishton Jackson</t>
  </si>
  <si>
    <t>Troy Franklin</t>
  </si>
  <si>
    <t>Troy Fumagalli</t>
  </si>
  <si>
    <t>Troy Niklas</t>
  </si>
  <si>
    <t>Troy Williamson</t>
  </si>
  <si>
    <t>Troymaine Pope</t>
  </si>
  <si>
    <t>Tua Tagovailoa</t>
  </si>
  <si>
    <t>Tutu Atwell</t>
  </si>
  <si>
    <t>Ty Chandler</t>
  </si>
  <si>
    <t>Ty Fryfogle</t>
  </si>
  <si>
    <t>Ty Issac</t>
  </si>
  <si>
    <t>Tylan Wallace</t>
  </si>
  <si>
    <t>Tyler Allgeier</t>
  </si>
  <si>
    <t>Tyler Badie</t>
  </si>
  <si>
    <t>Tyler Beck</t>
  </si>
  <si>
    <t>Tyler Bray</t>
  </si>
  <si>
    <t>Tyler Buchner</t>
  </si>
  <si>
    <t>Tyler Conklin</t>
  </si>
  <si>
    <t>Tyler Davis</t>
  </si>
  <si>
    <t>Tyler Ervin</t>
  </si>
  <si>
    <t>Tyler Ferguson</t>
  </si>
  <si>
    <t>Tyler Gaffney</t>
  </si>
  <si>
    <t>Tyler Goodson</t>
  </si>
  <si>
    <t>Tyler Huntley</t>
  </si>
  <si>
    <t>Tyler Johnson</t>
  </si>
  <si>
    <t>Tyler Kroft</t>
  </si>
  <si>
    <t>Tyler Petite</t>
  </si>
  <si>
    <t>Tyler Rutenbeck</t>
  </si>
  <si>
    <t>Tyler Shough</t>
  </si>
  <si>
    <t>Tyler Slavin</t>
  </si>
  <si>
    <t>Tyler Van Dyke</t>
  </si>
  <si>
    <t>Tyler Varga</t>
  </si>
  <si>
    <t>Tyler Vaughns</t>
  </si>
  <si>
    <t>Tyler Wilson</t>
  </si>
  <si>
    <t>Tyquan Thornton</t>
  </si>
  <si>
    <t>Tyre Brady</t>
  </si>
  <si>
    <t>Tyree Jackson</t>
  </si>
  <si>
    <t>Tyree Mayfield</t>
  </si>
  <si>
    <t>Tyreik McAllister</t>
  </si>
  <si>
    <t>Tyrie Cleveland</t>
  </si>
  <si>
    <t>Tyrion Davis-Price</t>
  </si>
  <si>
    <t>Tyron Johnson</t>
  </si>
  <si>
    <t>Tyrone Swoopes</t>
  </si>
  <si>
    <t>Tyson Morris</t>
  </si>
  <si>
    <t>Valentine Holmes</t>
  </si>
  <si>
    <t>Van Jefferson</t>
  </si>
  <si>
    <t>Vavae Malepeai</t>
  </si>
  <si>
    <t>Velus Jones</t>
  </si>
  <si>
    <t>Ventell Bryant</t>
  </si>
  <si>
    <t>Vernon Johnson</t>
  </si>
  <si>
    <t>Vick Ballard</t>
  </si>
  <si>
    <t>Victor Bolden</t>
  </si>
  <si>
    <t>Victor Cruz</t>
  </si>
  <si>
    <t>Vince Mayle</t>
  </si>
  <si>
    <t>Vince Papale</t>
  </si>
  <si>
    <t>Vincent Brown</t>
  </si>
  <si>
    <t>Virgil Green</t>
  </si>
  <si>
    <t>Vyncint Smith</t>
  </si>
  <si>
    <t>Walter Powell</t>
  </si>
  <si>
    <t>Wan'Dale Robinson</t>
  </si>
  <si>
    <t>Warren Jackson</t>
  </si>
  <si>
    <t>Warren Thompson</t>
  </si>
  <si>
    <t>Warren Wand</t>
  </si>
  <si>
    <t>Wayne Gallman</t>
  </si>
  <si>
    <t>Wendall Williams</t>
  </si>
  <si>
    <t>Wes Hills</t>
  </si>
  <si>
    <t>Wes Lunt</t>
  </si>
  <si>
    <t>Wes Saxton</t>
  </si>
  <si>
    <t>Wes Welker</t>
  </si>
  <si>
    <t>Wesley Fields</t>
  </si>
  <si>
    <t>Whop Philyor</t>
  </si>
  <si>
    <t>Will Dissly</t>
  </si>
  <si>
    <t>Will Fuller</t>
  </si>
  <si>
    <t>Will Grier</t>
  </si>
  <si>
    <t>Will Levis</t>
  </si>
  <si>
    <t>Will Mallory</t>
  </si>
  <si>
    <t>Will Rogers</t>
  </si>
  <si>
    <t>Will Shipley</t>
  </si>
  <si>
    <t>Will Tye</t>
  </si>
  <si>
    <t>William Stanback</t>
  </si>
  <si>
    <t>Willie Snead</t>
  </si>
  <si>
    <t>Xavier Grimble</t>
  </si>
  <si>
    <t>Xavier Hutchinson</t>
  </si>
  <si>
    <t>Xavier Jones</t>
  </si>
  <si>
    <t>Xavier Turner</t>
  </si>
  <si>
    <t>Xavier Ubosi</t>
  </si>
  <si>
    <t>Xavier Worthy</t>
  </si>
  <si>
    <t>Xazavian Valladay</t>
  </si>
  <si>
    <t>Xzavier Henderson</t>
  </si>
  <si>
    <t>Zac Brooks</t>
  </si>
  <si>
    <t>Zac Dysert</t>
  </si>
  <si>
    <t>Zac Robinson</t>
  </si>
  <si>
    <t>Zac Stacy</t>
  </si>
  <si>
    <t>Zac Thomas</t>
  </si>
  <si>
    <t>Zach Bauman</t>
  </si>
  <si>
    <t>Zach Calzada</t>
  </si>
  <si>
    <t>Zach Charbonnet</t>
  </si>
  <si>
    <t>Zach Conque</t>
  </si>
  <si>
    <t>Zach Davidson</t>
  </si>
  <si>
    <t>Zach Gentry</t>
  </si>
  <si>
    <t>Zach Laskey</t>
  </si>
  <si>
    <t>Zach Line</t>
  </si>
  <si>
    <t>Zach Mettenberger</t>
  </si>
  <si>
    <t>Zach Pascal</t>
  </si>
  <si>
    <t>Zach Smith</t>
  </si>
  <si>
    <t>Zach Sudfeld</t>
  </si>
  <si>
    <t>Zach Wilson</t>
  </si>
  <si>
    <t>Zach Zenner</t>
  </si>
  <si>
    <t>Zach Zulli</t>
  </si>
  <si>
    <t>Zachariah Branch</t>
  </si>
  <si>
    <t>Zachary Evans</t>
  </si>
  <si>
    <t>Zamir White</t>
  </si>
  <si>
    <t>Zander Horvath</t>
  </si>
  <si>
    <t>ZaQuandre White</t>
  </si>
  <si>
    <t>Zay Flowers</t>
  </si>
  <si>
    <t>Zonovan Knight</t>
  </si>
  <si>
    <t>Zurlon Tipton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</si>
</sst>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_(* #,##0.00_);_(* \(#,##0.00\);_(* &quot;-&quot;??_);_(@_)"/>
  </numFmts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quotePrefix="1" borderId="0" fillId="0" fontId="2" numFmtId="0" xfId="0" applyFont="1"/>
    <xf borderId="0" fillId="0" fontId="2" numFmtId="164" xfId="0" applyFont="1" applyNumberForma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1" fillId="2" fontId="3" numFmtId="0" xfId="0" applyBorder="1" applyFill="1" applyFont="1"/>
    <xf borderId="1" fillId="2" fontId="3" numFmtId="164" xfId="0" applyBorder="1" applyFont="1" applyNumberFormat="1"/>
    <xf borderId="0" fillId="0" fontId="2" numFmtId="165" xfId="0" applyFont="1" applyNumberFormat="1"/>
    <xf borderId="1" fillId="2" fontId="3" numFmtId="0" xfId="0" applyAlignment="1" applyBorder="1" applyFont="1">
      <alignment horizontal="center"/>
    </xf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080" sheet="All (2)"/>
  </cacheSource>
  <cacheFields>
    <cacheField name="Year" numFmtId="0">
      <sharedItems containsSemiMixedTypes="0" containsString="0" containsNumber="1" containsInteger="1">
        <n v="2021.0"/>
        <n v="2020.0"/>
        <n v="2019.0"/>
        <n v="2018.0"/>
        <n v="2017.0"/>
        <n v="2016.0"/>
      </sharedItems>
    </cacheField>
    <cacheField name="Team" numFmtId="0">
      <sharedItems>
        <s v="Deshaun’s Happy Endings"/>
        <s v="Bishop Sycamore HS"/>
        <s v="The ItAlvin Stallion’s"/>
        <s v="The Tone Rangers"/>
        <s v="DellaPia"/>
        <s v="Dom and Chris"/>
        <s v="Team JoeBa"/>
        <s v="Dynasty"/>
        <s v="Ying Yang Twins"/>
        <s v="Quadzillas Killas"/>
        <s v="Rondro Enterprise"/>
        <s v="Rob and Bo*"/>
        <s v="Rob and Bo"/>
        <s v="Rondro Enterprise*"/>
        <s v="OJ's Parole Board"/>
        <s v="LEFTY &amp; LONG"/>
        <s v="LFTLR"/>
        <s v="2 Gurley's 1 Cup"/>
        <s v="Brady Bunch"/>
        <s v="Shake and Bakers"/>
        <s v="There Is A Godwin!"/>
        <s v="Zeke’s Freaks*"/>
        <s v="Anthony &amp; Ernie"/>
        <s v="Dynasty*"/>
        <s v="Prestige WorldWide"/>
        <s v="ScoobyDrewCrew"/>
        <s v="JuiceIsLoose"/>
        <s v="LEFTY &amp; LONG*"/>
        <s v="Taste the rainbow"/>
        <s v="Ben There Raped That"/>
        <s v="Dom and Chris*"/>
        <s v="GaTTa"/>
        <s v="LegionOfZoom"/>
        <s v="Robert's Team"/>
        <s v="The Dro's"/>
        <s v="Two Mannings One Cup"/>
      </sharedItems>
    </cacheField>
    <cacheField name="Owner" numFmtId="0">
      <sharedItems>
        <s v="Nolan Lawrence"/>
        <s v="Rich Nolfi"/>
        <s v="Michael Pungitore"/>
        <s v="John Juliano"/>
        <s v="Anthony DellaPia"/>
        <s v="Chris Juliano"/>
        <s v="Joseph Biancanello"/>
        <s v="Phil Baldino"/>
        <s v="Julian Podagrasi"/>
        <s v="Dante Cambria"/>
        <s v="Ron Malandro"/>
        <s v="Robert Flacco"/>
        <s v="Blaze DiGregorio"/>
        <s v="Vincent Gatta"/>
      </sharedItems>
    </cacheField>
    <cacheField name="Standings" numFmtId="0">
      <sharedItems containsSemiMixedTypes="0" containsString="0" containsNumber="1" containsInteger="1">
        <n v="7.0"/>
        <n v="11.0"/>
        <n v="4.0"/>
        <n v="5.0"/>
        <n v="8.0"/>
        <n v="6.0"/>
        <n v="12.0"/>
        <n v="3.0"/>
        <n v="9.0"/>
        <n v="10.0"/>
        <n v="2.0"/>
        <n v="1.0"/>
      </sharedItems>
    </cacheField>
    <cacheField name="Playoff or Not" numFmtId="0">
      <sharedItems>
        <s v="Non-Playoff Team"/>
        <s v="Playoff Team"/>
      </sharedItems>
    </cacheField>
    <cacheField name="Roun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</sharedItems>
    </cacheField>
    <cacheField name="Pick" numFmtId="0">
      <sharedItems containsSemiMixedTypes="0" containsString="0" containsNumber="1" containsInteger="1">
        <n v="1.0"/>
        <n v="24.0"/>
        <n v="25.0"/>
        <n v="48.0"/>
        <n v="49.0"/>
        <n v="72.0"/>
        <n v="73.0"/>
        <n v="96.0"/>
        <n v="97.0"/>
        <n v="120.0"/>
        <n v="121.0"/>
        <n v="144.0"/>
        <n v="145.0"/>
        <n v="168.0"/>
        <n v="169.0"/>
        <n v="2.0"/>
        <n v="23.0"/>
        <n v="26.0"/>
        <n v="47.0"/>
        <n v="50.0"/>
        <n v="71.0"/>
        <n v="74.0"/>
        <n v="95.0"/>
        <n v="98.0"/>
        <n v="119.0"/>
        <n v="122.0"/>
        <n v="143.0"/>
        <n v="146.0"/>
        <n v="167.0"/>
        <n v="170.0"/>
        <n v="3.0"/>
        <n v="22.0"/>
        <n v="27.0"/>
        <n v="46.0"/>
        <n v="51.0"/>
        <n v="70.0"/>
        <n v="75.0"/>
        <n v="94.0"/>
        <n v="99.0"/>
        <n v="118.0"/>
        <n v="123.0"/>
        <n v="142.0"/>
        <n v="147.0"/>
        <n v="166.0"/>
        <n v="171.0"/>
        <n v="4.0"/>
        <n v="21.0"/>
        <n v="28.0"/>
        <n v="45.0"/>
        <n v="52.0"/>
        <n v="69.0"/>
        <n v="76.0"/>
        <n v="93.0"/>
        <n v="100.0"/>
        <n v="117.0"/>
        <n v="124.0"/>
        <n v="141.0"/>
        <n v="148.0"/>
        <n v="165.0"/>
        <n v="172.0"/>
        <n v="5.0"/>
        <n v="20.0"/>
        <n v="29.0"/>
        <n v="44.0"/>
        <n v="53.0"/>
        <n v="68.0"/>
        <n v="77.0"/>
        <n v="92.0"/>
        <n v="101.0"/>
        <n v="116.0"/>
        <n v="125.0"/>
        <n v="140.0"/>
        <n v="149.0"/>
        <n v="164.0"/>
        <n v="173.0"/>
        <n v="6.0"/>
        <n v="19.0"/>
        <n v="30.0"/>
        <n v="43.0"/>
        <n v="54.0"/>
        <n v="67.0"/>
        <n v="78.0"/>
        <n v="91.0"/>
        <n v="102.0"/>
        <n v="115.0"/>
        <n v="126.0"/>
        <n v="139.0"/>
        <n v="150.0"/>
        <n v="163.0"/>
        <n v="174.0"/>
        <n v="7.0"/>
        <n v="18.0"/>
        <n v="31.0"/>
        <n v="42.0"/>
        <n v="55.0"/>
        <n v="66.0"/>
        <n v="79.0"/>
        <n v="90.0"/>
        <n v="103.0"/>
        <n v="114.0"/>
        <n v="127.0"/>
        <n v="138.0"/>
        <n v="151.0"/>
        <n v="162.0"/>
        <n v="175.0"/>
        <n v="8.0"/>
        <n v="17.0"/>
        <n v="32.0"/>
        <n v="41.0"/>
        <n v="56.0"/>
        <n v="65.0"/>
        <n v="80.0"/>
        <n v="89.0"/>
        <n v="104.0"/>
        <n v="113.0"/>
        <n v="128.0"/>
        <n v="137.0"/>
        <n v="152.0"/>
        <n v="161.0"/>
        <n v="176.0"/>
        <n v="9.0"/>
        <n v="16.0"/>
        <n v="33.0"/>
        <n v="40.0"/>
        <n v="57.0"/>
        <n v="64.0"/>
        <n v="81.0"/>
        <n v="88.0"/>
        <n v="105.0"/>
        <n v="112.0"/>
        <n v="129.0"/>
        <n v="136.0"/>
        <n v="153.0"/>
        <n v="160.0"/>
        <n v="177.0"/>
        <n v="10.0"/>
        <n v="15.0"/>
        <n v="34.0"/>
        <n v="39.0"/>
        <n v="58.0"/>
        <n v="63.0"/>
        <n v="82.0"/>
        <n v="87.0"/>
        <n v="106.0"/>
        <n v="111.0"/>
        <n v="130.0"/>
        <n v="135.0"/>
        <n v="154.0"/>
        <n v="159.0"/>
        <n v="178.0"/>
        <n v="11.0"/>
        <n v="14.0"/>
        <n v="35.0"/>
        <n v="38.0"/>
        <n v="59.0"/>
        <n v="62.0"/>
        <n v="83.0"/>
        <n v="86.0"/>
        <n v="107.0"/>
        <n v="110.0"/>
        <n v="131.0"/>
        <n v="134.0"/>
        <n v="155.0"/>
        <n v="158.0"/>
        <n v="179.0"/>
        <n v="12.0"/>
        <n v="13.0"/>
        <n v="36.0"/>
        <n v="37.0"/>
        <n v="60.0"/>
        <n v="61.0"/>
        <n v="84.0"/>
        <n v="85.0"/>
        <n v="108.0"/>
        <n v="109.0"/>
        <n v="132.0"/>
        <n v="133.0"/>
        <n v="156.0"/>
        <n v="157.0"/>
        <n v="180.0"/>
      </sharedItems>
    </cacheField>
    <cacheField name="Player" numFmtId="0">
      <sharedItems>
        <s v="Christian McCaffrey"/>
        <s v="Clyde Edwards-Helaire"/>
        <s v="Keenan Allen"/>
        <s v="Mark Andrews"/>
        <s v="Diontae Johnson"/>
        <s v="Jalen Hurts"/>
        <s v="Jerry Jeudy"/>
        <s v="James Conner"/>
        <s v="DeVonta Smith"/>
        <s v="Baltimore"/>
        <s v="Tony Pollard"/>
        <s v="Chuba Hubbard"/>
        <s v="Ryan Succop"/>
        <s v="Tyrell Williams"/>
        <s v="Devontae Booker "/>
        <s v="Dalvin Cook"/>
        <s v="Joe Mixon"/>
        <s v="Allen Robinson II"/>
        <s v="Julio Jones"/>
        <s v="Josh Jacobs"/>
        <s v="Deebo Samuel"/>
        <s v="Robbie Anderson"/>
        <s v="Trey Lance"/>
        <s v="Tyler Higbee"/>
        <s v="Nyheim Hines"/>
        <s v="Cole Beasley"/>
        <s v="Parris Campbell"/>
        <s v="Denver"/>
        <s v="Matt Gay"/>
        <s v="Matt Ryan "/>
        <s v="Alvin Kamara"/>
        <s v="Antonio Gibson"/>
        <s v="Patrick Mahomes"/>
        <s v="DJ Moore"/>
        <s v="Adam Thielen"/>
        <s v="Kareem Hunt"/>
        <s v="Tee Higgins"/>
        <s v="Tampa Bay"/>
        <s v="Marquez Callaway"/>
        <s v="Jarvis Landry"/>
        <s v="Mike Gesicki"/>
        <s v="Marquise Brown"/>
        <s v="J.D. McKissic"/>
        <s v="Jalen Reagor"/>
        <s v="Jason Sanders"/>
        <s v="Ezekiel Elliott"/>
        <s v="Justin Jefferson"/>
        <s v="Terry McLaurin"/>
        <s v="Kyle Pitts"/>
        <s v="Damien Harris"/>
        <s v="Justin Herbert"/>
        <s v="Trey Sermon"/>
        <s v="Kenny Golladay"/>
        <s v="Laviska Shenault Jr."/>
        <s v="Pittsburgh"/>
        <s v="David Johnson"/>
        <s v="Jonnu Smith"/>
        <s v="Ty Johnson"/>
        <s v="Nelson Agholor"/>
        <s v="Robbie Gould "/>
        <s v="Travis Kelce"/>
        <s v="A.J. Brown"/>
        <s v="Tyler Lockett"/>
        <s v="Chase Edmonds"/>
        <s v="Russell Wilson"/>
        <s v="Myles Gaskin"/>
        <s v="Sony Michel"/>
        <s v="Brandin Cooks"/>
        <s v="Zack Moss"/>
        <s v="Michael Gallup"/>
        <s v="Jakobi Meyers"/>
        <s v="Bryan Edwards"/>
        <s v="Tevin Coleman"/>
        <s v="Green Bay"/>
        <s v="Rodrigo Blankenship "/>
        <s v="Derrick Henry"/>
        <s v="Calvin Ridley"/>
        <s v="Chris Godwin"/>
        <s v="James Robinson"/>
        <s v="Kyler Murray"/>
        <s v="Odell Beckham Jr."/>
        <s v="Logan Thomas"/>
        <s v="Jamaal Williams"/>
        <s v="Justin Tucker"/>
        <s v="Washington"/>
        <s v="Curtis Samuel"/>
        <s v="Alexander Mattison"/>
        <s v="Evan Engram"/>
        <s v="Ty'Son Williams"/>
        <s v="Carlos Hyde"/>
        <s v="Davante Adams"/>
        <s v="DK Metcalf"/>
        <s v="Miles Sanders"/>
        <s v="D'Andre Swift"/>
        <s v="Lamar Jackson"/>
        <s v="T.J. Hockenson"/>
        <s v="Antonio Brown"/>
        <s v="Los Angeles"/>
        <s v="DJ Chark Jr."/>
        <s v="Devin Singletary"/>
        <s v="Justin Fields"/>
        <s v="Marvin Jones Jr."/>
        <s v="Darnell Mooney"/>
        <s v="Younghoe Koo"/>
        <s v="Irv Smith Jr. "/>
        <s v="Austin Ekeler"/>
        <s v="Darren Waller"/>
        <s v="David Montgomery"/>
        <s v="Amari Cooper"/>
        <s v="Darrell Henderson Jr."/>
        <s v="Tom Brady"/>
        <s v="Michael Thomas"/>
        <s v="Corey Davis"/>
        <s v="Courtland Sutton"/>
        <s v="AJ Dillon"/>
        <s v="San Francisco"/>
        <s v="Joe Burrow"/>
        <s v="Greg Zuerlein"/>
        <s v="Cole Kmet"/>
        <s v="Gabriel Davis "/>
        <s v="Aaron Jones"/>
        <s v="DeAndre Hopkins"/>
        <s v="CeeDee Lamb"/>
        <s v="Gus Edwards"/>
        <s v="Dak Prescott"/>
        <s v="Mike Davis"/>
        <s v="Ronald Jones II"/>
        <s v="Noah Fant"/>
        <s v="Will Fuller V"/>
        <s v="Mike Williams"/>
        <s v="Harrison Butker"/>
        <s v="Cleveland"/>
        <s v="Sterling Shepard"/>
        <s v="Kansas City"/>
        <s v="Randall Cobb"/>
        <s v="Tyreek Hill"/>
        <s v="Saquon Barkley"/>
        <s v="George Kittle"/>
        <s v="Chris Carson"/>
        <s v="Chase Claypool"/>
        <s v="Raheem Mostert"/>
        <s v="Ja'Marr Chase"/>
        <s v="Ryan Tannehill"/>
        <s v="Melvin Gordon III"/>
        <s v="Kenyan Drake"/>
        <s v="Matthew Stafford"/>
        <s v="New England"/>
        <s v="Elijah Moore"/>
        <s v="Rashaad Penny"/>
        <s v="Daniel Carlson "/>
        <s v="Jonathan Taylor"/>
        <s v="Najee Harris"/>
        <s v="Robert Woods"/>
        <s v="Mike Evans"/>
        <s v="Brandon Aiyuk"/>
        <s v="Aaron Rodgers"/>
        <s v="Robert Tonyan"/>
        <s v="Michael Pittman Jr."/>
        <s v="Leonard Fournette"/>
        <s v="Jaylen Waddle"/>
        <s v="Buffalo"/>
        <s v="Tyler Bass"/>
        <s v="Kirk Cousins"/>
        <s v="Terrace Marshall Jr."/>
        <s v="Jared Cook "/>
        <s v="Stefon Diggs"/>
        <s v="Nick Chubb"/>
        <s v="Josh Allen"/>
        <s v="Cooper Kupp"/>
        <s v="Javonte Williams"/>
        <s v="JuJu Smith-Schuster"/>
        <s v="Dallas Goedert"/>
        <s v="Tyler Boyd"/>
        <s v="Michael Carter"/>
        <s v="Gerald Everett"/>
        <s v="Henry Ruggs III"/>
        <s v="James White"/>
        <s v="Indianapolis"/>
        <s v="Trevor Lawrence"/>
        <s v="Jason Myers"/>
        <s v="DeVante Parker"/>
        <s v="Carson Wentz"/>
        <s v="John Brown"/>
        <s v="Jamison Crowder"/>
        <s v="Kerryon Johnson"/>
        <s v="Matt Breida"/>
        <s v="Duke Johnson"/>
        <s v="Minnesota"/>
        <s v="Jimmy Garoppolo"/>
        <s v="Matt Prater "/>
        <s v="Matt Ryan"/>
        <s v="Hunter Henry"/>
        <s v="Bryce Love"/>
        <s v="Preston Williams"/>
        <s v="Baker Mayfield"/>
        <s v="Tennessee "/>
        <s v="Cam Akers"/>
        <s v="N'Keal Harry"/>
        <s v="Philadelphia"/>
        <s v="Robbie Gould"/>
        <s v="Zane Gonzalez "/>
        <s v="Julian Edelman"/>
        <s v="Phillip Lindsay"/>
        <s v="Marlon Mack"/>
        <s v="Rodrigo Blankenship"/>
        <s v="Jared Goff "/>
        <s v="Rob Gronkowski"/>
        <s v="New Orleans"/>
        <s v="Wil Lutz"/>
        <s v="Chris Thompson"/>
        <s v="Alshon Jeffery"/>
        <s v="A.J. Green"/>
        <s v="Jared Cook"/>
        <s v="Jordan Howard"/>
        <s v="DeSean Jackson"/>
        <s v="Anthony Miller"/>
        <s v="Ben Roethlisberger"/>
        <s v="Jake Elliott "/>
        <s v="Darius Slayton"/>
        <s v="Drew Brees"/>
        <s v="Blake Jarwin"/>
        <s v="Adrian Peterson"/>
        <s v="Denver "/>
        <s v="Mark Ingram II"/>
        <s v="Deshaun Watson"/>
        <s v="Emmanuel Sanders"/>
        <s v="Cam Newton"/>
        <s v="Latavius Murray"/>
        <s v="LeSean McCoy"/>
        <s v="Dallas"/>
        <s v="Todd Gurley II"/>
        <s v="Mecole Hardman"/>
        <s v="Larry Fitzgerald"/>
        <s v="Austin Hooper"/>
        <s v="Stephen Gostkowski "/>
        <s v="Le'Veon Bell"/>
        <s v="Tarik Cohen"/>
        <s v="J.K. Dobbins"/>
        <s v="Chicago"/>
        <s v="Allen Lazard"/>
        <s v="Daniel Jones"/>
        <s v="Chris Herndon "/>
        <s v="Zach Ertz"/>
        <s v="T.Y. Hilton"/>
        <s v="Hayden Hurst"/>
        <s v="Christian Kirk"/>
        <s v="Boston Scott"/>
        <s v="Sammy Watkins"/>
        <s v="Devonta Freeman"/>
        <s v="Trey Burton"/>
        <s v="Ito Smith"/>
        <s v="Philip Rivers"/>
        <s v="Mohamed Sanu Sr."/>
        <s v="Mark Andrews "/>
        <s v="Derrius Guice"/>
        <s v="Stephen Gostkowski"/>
        <s v="Kalen Ballage"/>
        <s v="Ka'imi Fairbairn"/>
        <s v="O.J. Howard"/>
        <s v="Delanie Walker"/>
        <s v="Golden Tate"/>
        <s v="Jake Elliott"/>
        <s v="Seattle"/>
        <s v="Eric Ebron "/>
        <s v="Josh Gordon"/>
        <s v="Jared Goff"/>
        <s v="Donte Moncrief"/>
        <s v="Keke Coutee"/>
        <s v="Albert Wilson "/>
        <s v="David Njoku"/>
        <s v="Dante Pettis"/>
        <s v="Peyton Barber"/>
        <s v="Adam Vinatieri"/>
        <s v="Damien Williams"/>
        <s v="Royce Freeman"/>
        <s v="Greg Olsen"/>
        <s v="Jaylen Samuels"/>
        <s v="Mitch Trubisky "/>
        <s v="Dede Westbrook"/>
        <s v="Adam Humphries"/>
        <s v="Marquez Valdes-Scantling"/>
        <s v="Jacksonville"/>
        <s v="Derek Carr"/>
        <s v="Demaryius Thomas "/>
        <s v="Geronimo Allison"/>
        <s v="Jameis Winston"/>
        <s v="Justin Jackson"/>
        <s v="Darwin Thompson"/>
        <s v="Brett Maher "/>
        <s v="Kenny Stills"/>
        <s v="Dion Lewis"/>
        <s v="Giovani Bernard"/>
        <s v="Mason Crosby "/>
        <s v="Vance McDonald"/>
        <s v="Justice Hill"/>
        <s v="James Washington"/>
        <s v="Matt Bryant "/>
        <s v="Alex Collins"/>
        <s v="Matt Bryant"/>
        <s v="Anthony Miller "/>
        <s v="Josh Lambo "/>
        <s v="Rex Burkhead"/>
        <s v="Marquise Goodwin"/>
        <s v="Keelan Cole Sr."/>
        <s v="Antonio Gates"/>
        <s v="Kyle Rudolph"/>
        <s v="Pierre Garcon"/>
        <s v="Kelvin Benjamin"/>
        <s v="Corey Clement"/>
        <s v="Matt Prater"/>
        <s v="Pittsburgh "/>
        <s v="Marshawn Lynch"/>
        <s v="Jack Doyle"/>
        <s v="LeGarrette Blount"/>
        <s v="Dallas Goedert "/>
        <s v="Dez Bryant"/>
        <s v="Demaryius Thomas"/>
        <s v="Jay Ajayi"/>
        <s v="Michael Crabtree"/>
        <s v="Jordan Wilkins"/>
        <s v="Mason Crosby"/>
        <s v="Eric Ebron"/>
        <s v="Chris Hogan"/>
        <s v="Houston"/>
        <s v="Chris Boswell"/>
        <s v="John Ross III"/>
        <s v="Jordan Reed"/>
        <s v="Mike Gesicki "/>
        <s v="Lamar Miller"/>
        <s v="Jimmy Graham"/>
        <s v="Andrew Luck"/>
        <s v="Isaiah Crowell"/>
        <s v="Rishard Matthews"/>
        <s v="Allen Hurns"/>
        <s v="Bilal Powell "/>
        <s v="Doug Baldwin"/>
        <s v="Devin Funchess"/>
        <s v="Jordy Nelson"/>
        <s v="Alfred Morris"/>
        <s v="Devontae Booker"/>
        <s v="Ricky Seals-Jones"/>
        <s v="Dede Westbrook "/>
        <s v="Bilal Powell"/>
        <s v="Theo Riddick"/>
        <s v="Kenny Britt"/>
        <s v="Ted Ginn Jr."/>
        <s v="Mike Wallace"/>
        <s v="Cairo Santos "/>
        <s v="Terrelle Pryor Sr."/>
        <s v="Darren McFadden"/>
        <s v="Arizona"/>
        <s v="Vernon Davis"/>
        <s v="Torrey Smith"/>
        <s v="Dwayne Allen "/>
        <s v="Doug Martin"/>
        <s v="Rob Kelley"/>
        <s v="Kevin White"/>
        <s v="Zay Jones"/>
        <s v="Jacquizz Rodgers"/>
        <s v="Las Vegas"/>
        <s v="Sebastian Janikowski "/>
        <s v="Willie Snead IV"/>
        <s v="Danny Woodhead"/>
        <s v="Frank Gore"/>
        <s v="C.J. Prosise"/>
        <s v="Wil Lutz "/>
        <s v="Mike Gillislee"/>
        <s v="Matt Forte"/>
        <s v="New York"/>
        <s v="Carson Palmer"/>
        <s v="Ty Montgomery"/>
        <s v="Marcus Mariota"/>
        <s v="Wendell Smallwood"/>
        <s v="Mike Williams "/>
        <s v="Ameer Abdullah"/>
        <s v="Brandon Marshall"/>
        <s v="Jason Witten"/>
        <s v="Caleb Sturgis"/>
        <s v="Jonathan Stewart"/>
        <s v="Martellus Bennett"/>
        <s v="Darren Sproles"/>
        <s v="Jordan Matthews"/>
        <s v="Andy Dalton"/>
        <s v="Brandon McManus"/>
        <s v="Jeremy Maclin"/>
        <s v="Corey Coleman"/>
        <s v="Carolina"/>
        <s v="Dan Bailey"/>
        <s v="Cameron Brate"/>
        <s v="Tyrod Taylor"/>
        <s v="Paul Perkins"/>
        <s v="Eric Decker"/>
        <s v="Terrance West"/>
        <s v="Eli Manning"/>
        <s v="Jeremy Hill"/>
        <s v="Josh Doctson"/>
        <s v="Chris Boswell "/>
        <s v="DeMarco Murray"/>
        <s v="C.J. Anderson"/>
        <s v="Tyler Eifert"/>
        <s v="Julius Thomas"/>
        <s v="Samaje Perine"/>
        <s v="Martavis Bryant"/>
        <s v="Eddie Lacy"/>
        <s v="Jamaal Charles"/>
        <s v="Jacksonville "/>
        <s v="Tajae Sharpe"/>
        <s v="Stephen Hauschka"/>
        <s v="James Starks"/>
        <s v="Charles Sims"/>
        <s v="Davante Adams "/>
        <s v="Sammie Coates Jr."/>
        <s v="Steve Smith Sr."/>
        <s v="Dorial Green-Beckham"/>
        <s v="Vincent Jackson"/>
        <s v="Las Vegas "/>
        <s v="Jeremy Langford"/>
        <s v="Christine Michael"/>
        <s v="Jerick McKinnon"/>
        <s v="Markus Wheaton"/>
        <s v="Rashad Jennings"/>
        <s v="Zach Miller"/>
        <s v="Clive Walford"/>
        <s v="Josh Brown "/>
        <s v="DeAndre Washington"/>
        <s v="Nick Novak"/>
        <s v="Jordan Cameron "/>
        <s v="Matt Jones"/>
        <s v="DeAngelo Williams"/>
        <s v="Dwayne Allen"/>
        <s v="Tavon Austin"/>
        <s v="Ladarius Green"/>
        <s v="Cairo Santos"/>
        <s v="Ryan Mathews"/>
        <s v="Arian Foster"/>
        <s v="Chandler Catanzaro"/>
        <s v="Michael Floyd"/>
        <s v="Travis Benjamin"/>
        <s v="Chris Ivory"/>
        <s v="Blake Bortles"/>
        <s v="Robert Griffin III"/>
        <s v="Graham Gano"/>
        <s v="Phillip Dorsett II "/>
        <s v="Gary Barnidge"/>
        <s v="T.J. Yeldon"/>
        <s v="Cincinnati"/>
        <s v="Malcolm Mitchell"/>
        <s v="Alfred Morris "/>
        <s v="Theo Riddick "/>
        <s v="Thomas Rawls"/>
        <s v="Coby Fleener"/>
        <s v="Kamar Aiken"/>
        <s v="Justin Forsett"/>
      </sharedItems>
    </cacheField>
    <cacheField name="First" numFmtId="0">
      <sharedItems>
        <s v="Christian"/>
        <s v="Clyde"/>
        <s v="Keenan"/>
        <s v="Mark"/>
        <s v="Diontae"/>
        <s v="Jalen"/>
        <s v="Jerry"/>
        <s v="James"/>
        <s v="DeVonta"/>
        <e v="#VALUE!"/>
        <s v="Tony"/>
        <s v="Chuba"/>
        <s v="Ryan"/>
        <s v="Tyrell"/>
        <s v="Devontae"/>
        <s v="Dalvin"/>
        <s v="Joe"/>
        <s v="Allen"/>
        <s v="Julio"/>
        <s v="Josh"/>
        <s v="Deebo"/>
        <s v="Robbie"/>
        <s v="Trey"/>
        <s v="Tyler"/>
        <s v="Nyheim"/>
        <s v="Cole"/>
        <s v="Parris"/>
        <s v="Matt"/>
        <s v="Alvin"/>
        <s v="Antonio"/>
        <s v="Patrick"/>
        <s v="DJ"/>
        <s v="Adam"/>
        <s v="Kareem"/>
        <s v="Tee"/>
        <s v="Tampa"/>
        <s v="Marquez"/>
        <s v="Jarvis"/>
        <s v="Mike"/>
        <s v="Marquise"/>
        <s v="JD"/>
        <s v="Jason"/>
        <s v="Ezekiel"/>
        <s v="Justin"/>
        <s v="Terry"/>
        <s v="Kyle"/>
        <s v="Damien"/>
        <s v="Kenny"/>
        <s v="Laviska"/>
        <s v="David"/>
        <s v="Jonnu"/>
        <s v="Ty"/>
        <s v="Nelson"/>
        <s v="Travis"/>
        <s v="AJ"/>
        <s v="Chase"/>
        <s v="Russell"/>
        <s v="Myles"/>
        <s v="Sony"/>
        <s v="Brandin"/>
        <s v="Zack"/>
        <s v="Michael"/>
        <s v="Jakobi"/>
        <s v="Bryan"/>
        <s v="Tevin"/>
        <s v="Green"/>
        <s v="Rodrigo"/>
        <s v="Derrick"/>
        <s v="Calvin"/>
        <s v="Chris"/>
        <s v="Kyler"/>
        <s v="Odell"/>
        <s v="Logan"/>
        <s v="Jamaal"/>
        <s v="Curtis"/>
        <s v="Alexander"/>
        <s v="Evan"/>
        <s v="Ty'Son"/>
        <s v="Carlos"/>
        <s v="Davante"/>
        <s v="DK"/>
        <s v="Miles"/>
        <s v="D'Andre"/>
        <s v="Lamar"/>
        <s v="TJ"/>
        <s v="Los"/>
        <s v="Devin"/>
        <s v="Marvin"/>
        <s v="Darnell"/>
        <s v="Younghoe"/>
        <s v="Irv"/>
        <s v="Austin"/>
        <s v="Darren"/>
        <s v="Amari"/>
        <s v="Darrell"/>
        <s v="Tom"/>
        <s v="Corey"/>
        <s v="Courtland"/>
        <s v="San"/>
        <s v="Greg"/>
        <s v="Gabriel"/>
        <s v="Aaron"/>
        <s v="DeAndre"/>
        <s v="CeeDee"/>
        <s v="Gus"/>
        <s v="Dak"/>
        <s v="Ronald"/>
        <s v="Noah"/>
        <s v="Will"/>
        <s v="Harrison"/>
        <s v="Sterling"/>
        <s v="Kansas"/>
        <s v="Randall"/>
        <s v="Tyreek"/>
        <s v="Saquon"/>
        <s v="George"/>
        <s v="Raheem"/>
        <s v="Ja'Marr"/>
        <s v="Melvin"/>
        <s v="Kenyan"/>
        <s v="Matthew"/>
        <s v="New"/>
        <s v="Elijah"/>
        <s v="Rashaad"/>
        <s v="Daniel"/>
        <s v="Jonathan"/>
        <s v="Najee"/>
        <s v="Robert"/>
        <s v="Brandon"/>
        <s v="Leonard"/>
        <s v="Jaylen"/>
        <s v="Kirk"/>
        <s v="Terrace"/>
        <s v="Jared"/>
        <s v="Stefon"/>
        <s v="Nick"/>
        <s v="Cooper"/>
        <s v="Javonte"/>
        <s v="JuJu"/>
        <s v="Dallas"/>
        <s v="Gerald"/>
        <s v="Henry"/>
        <s v="Trevor"/>
        <s v="DeVante"/>
        <s v="Carson"/>
        <s v="John"/>
        <s v="Jamison"/>
        <s v="Kerryon"/>
        <s v="Duke"/>
        <s v="Jimmy"/>
        <s v="Hunter"/>
        <s v="Bryce"/>
        <s v="Preston"/>
        <s v="Baker"/>
        <s v="Tennessee"/>
        <s v="Cam"/>
        <s v="N'Keal"/>
        <s v="Zane"/>
        <s v="Julian"/>
        <s v="Phillip"/>
        <s v="Marlon"/>
        <s v="Rob"/>
        <s v="Wil"/>
        <s v="Alshon"/>
        <s v="Jordan"/>
        <s v="DeSean"/>
        <s v="Anthony"/>
        <s v="Ben"/>
        <s v="Jake"/>
        <s v="Darius"/>
        <s v="Drew"/>
        <s v="Blake"/>
        <s v="Adrian"/>
        <s v="Denver"/>
        <s v="Deshaun"/>
        <s v="Emmanuel"/>
        <s v="Latavius"/>
        <s v="LeSean"/>
        <s v="Todd"/>
        <s v="Mecole"/>
        <s v="Larry"/>
        <s v="Stephen"/>
        <s v="Le'Veon"/>
        <s v="Tarik"/>
        <s v="JK"/>
        <s v="Zach"/>
        <s v="Hayden"/>
        <s v="Boston"/>
        <s v="Sammy"/>
        <s v="Ito"/>
        <s v="Philip"/>
        <s v="Mohamed"/>
        <s v="Derrius"/>
        <s v="Kalen"/>
        <s v="Ka'imi"/>
        <s v="OJ"/>
        <s v="Delanie"/>
        <s v="Golden"/>
        <s v="Eric"/>
        <s v="Donte"/>
        <s v="Keke"/>
        <s v="Albert"/>
        <s v="Dante"/>
        <s v="Peyton"/>
        <s v="Royce"/>
        <s v="Mitch"/>
        <s v="Dede"/>
        <s v="Derek"/>
        <s v="Demaryius"/>
        <s v="Geronimo"/>
        <s v="Jameis"/>
        <s v="Darwin"/>
        <s v="Brett"/>
        <s v="Dion"/>
        <s v="Giovani"/>
        <s v="Mason"/>
        <s v="Vance"/>
        <s v="Justice"/>
        <s v="Alex"/>
        <s v="Rex"/>
        <s v="Keelan"/>
        <s v="Pierre"/>
        <s v="Kelvin"/>
        <s v="Pittsburgh"/>
        <s v="Marshawn"/>
        <s v="Jack"/>
        <s v="LeGarrette"/>
        <s v="Dez"/>
        <s v="Jay"/>
        <s v="Andrew"/>
        <s v="Isaiah"/>
        <s v="Rishard"/>
        <s v="Bilal"/>
        <s v="Doug"/>
        <s v="Jordy"/>
        <s v="Alfred"/>
        <s v="Ricky"/>
        <s v="Theo"/>
        <s v="Ted"/>
        <s v="Cairo"/>
        <s v="Terrelle"/>
        <s v="Vernon"/>
        <s v="Torrey"/>
        <s v="Dwayne"/>
        <s v="Kevin"/>
        <s v="Zay"/>
        <s v="Jacquizz"/>
        <s v="Las"/>
        <s v="Sebastian"/>
        <s v="Willie"/>
        <s v="Danny"/>
        <s v="Frank"/>
        <s v="CJ"/>
        <s v="Marcus"/>
        <s v="Wendell"/>
        <s v="Ameer"/>
        <s v="Caleb"/>
        <s v="Martellus"/>
        <s v="Andy"/>
        <s v="Jeremy"/>
        <s v="Dan"/>
        <s v="Cameron"/>
        <s v="Tyrod"/>
        <s v="Paul"/>
        <s v="Terrance"/>
        <s v="Eli"/>
        <s v="DeMarco"/>
        <s v="Julius"/>
        <s v="Samaje"/>
        <s v="Martavis"/>
        <s v="Eddie"/>
        <s v="Jacksonville"/>
        <s v="Tajae"/>
        <s v="Charles"/>
        <s v="Sammie"/>
        <s v="Steve"/>
        <s v="Dorial"/>
        <s v="Vincent"/>
        <s v="Christine"/>
        <s v="Jerick"/>
        <s v="Markus"/>
        <s v="Rashad"/>
        <s v="Clive"/>
        <s v="DeAngelo"/>
        <s v="Tavon"/>
        <s v="Ladarius"/>
        <s v="Arian"/>
        <s v="Chandler"/>
        <s v="Graham"/>
        <s v="Gary"/>
        <s v="Malcolm"/>
        <s v="Thomas"/>
        <s v="Coby"/>
        <s v="Kamar"/>
      </sharedItems>
    </cacheField>
    <cacheField name="Last" numFmtId="0">
      <sharedItems>
        <s v="McCaffrey"/>
        <s v="Edwards-Helaire"/>
        <s v="Allen"/>
        <s v="Andrews"/>
        <s v="Johnson"/>
        <s v="Hurts"/>
        <s v="Jeudy"/>
        <s v="Conner"/>
        <s v="Smith"/>
        <e v="#VALUE!"/>
        <s v="Pollard"/>
        <s v="Hubbard"/>
        <s v="Succop"/>
        <s v="Williams"/>
        <s v="Booker"/>
        <s v="Cook"/>
        <s v="Mixon"/>
        <s v="Robinson II"/>
        <s v="Jones"/>
        <s v="Jacobs"/>
        <s v="Samuel"/>
        <s v="Anderson"/>
        <s v="Lance"/>
        <s v="Higbee"/>
        <s v="Hines"/>
        <s v="Beasley"/>
        <s v="Campbell"/>
        <s v="Gay"/>
        <s v="Ryan"/>
        <s v="Kamara"/>
        <s v="Gibson"/>
        <s v="Mahomes"/>
        <s v="Moore"/>
        <s v="Thielen"/>
        <s v="Hunt"/>
        <s v="Higgins"/>
        <s v="Bay"/>
        <s v="Callaway"/>
        <s v="Landry"/>
        <s v="Gesicki"/>
        <s v="Brown"/>
        <s v="McKissic"/>
        <s v="Reagor"/>
        <s v="Sanders"/>
        <s v="Elliott"/>
        <s v="Jefferson"/>
        <s v="McLaurin"/>
        <s v="Pitts"/>
        <s v="Harris"/>
        <s v="Herbert"/>
        <s v="Sermon"/>
        <s v="Golladay"/>
        <s v="Shenault Jr"/>
        <s v="Agholor"/>
        <s v="Gould"/>
        <s v="Kelce"/>
        <s v="Lockett"/>
        <s v="Edmonds"/>
        <s v="Wilson"/>
        <s v="Gaskin"/>
        <s v="Michel"/>
        <s v="Cooks"/>
        <s v="Moss"/>
        <s v="Gallup"/>
        <s v="Meyers"/>
        <s v="Edwards"/>
        <s v="Coleman"/>
        <s v="Blankenship"/>
        <s v="Henry"/>
        <s v="Ridley"/>
        <s v="Godwin"/>
        <s v="Robinson"/>
        <s v="Murray"/>
        <s v="Beckham Jr"/>
        <s v="Thomas"/>
        <s v="Tucker"/>
        <s v="Mattison"/>
        <s v="Engram"/>
        <s v="Hyde"/>
        <s v="Adams"/>
        <s v="Metcalf"/>
        <s v="Swift"/>
        <s v="Jackson"/>
        <s v="Hockenson"/>
        <s v="Angeles"/>
        <s v="Chark Jr"/>
        <s v="Singletary"/>
        <s v="Fields"/>
        <s v="Jones Jr"/>
        <s v="Mooney"/>
        <s v="Koo"/>
        <s v="Smith Jr"/>
        <s v="Ekeler"/>
        <s v="Waller"/>
        <s v="Montgomery"/>
        <s v="Cooper"/>
        <s v="Henderson Jr"/>
        <s v="Brady"/>
        <s v="Davis"/>
        <s v="Sutton"/>
        <s v="Dillon"/>
        <s v="Francisco"/>
        <s v="Burrow"/>
        <s v="Zuerlein"/>
        <s v="Kmet"/>
        <s v="Hopkins"/>
        <s v="Lamb"/>
        <s v="Prescott"/>
        <s v="Jones II"/>
        <s v="Fant"/>
        <s v="Fuller V"/>
        <s v="Butker"/>
        <s v="Shepard"/>
        <s v="City"/>
        <s v="Cobb"/>
        <s v="Hill"/>
        <s v="Barkley"/>
        <s v="Kittle"/>
        <s v="Carson"/>
        <s v="Claypool"/>
        <s v="Mostert"/>
        <s v="Chase"/>
        <s v="Tannehill"/>
        <s v="Gordon III"/>
        <s v="Drake"/>
        <s v="Stafford"/>
        <s v="England"/>
        <s v="Penny"/>
        <s v="Carlson"/>
        <s v="Taylor"/>
        <s v="Woods"/>
        <s v="Evans"/>
        <s v="Aiyuk"/>
        <s v="Rodgers"/>
        <s v="Tonyan"/>
        <s v="Pittman Jr"/>
        <s v="Fournette"/>
        <s v="Waddle"/>
        <s v="Bass"/>
        <s v="Cousins"/>
        <s v="Marshall Jr"/>
        <s v="Diggs"/>
        <s v="Chubb"/>
        <s v="Kupp"/>
        <s v="Smith-Schuster"/>
        <s v="Goedert"/>
        <s v="Boyd"/>
        <s v="Carter"/>
        <s v="Everett"/>
        <s v="Ruggs III"/>
        <s v="White"/>
        <s v="Lawrence"/>
        <s v="Myers"/>
        <s v="Parker"/>
        <s v="Wentz"/>
        <s v="Crowder"/>
        <s v="Breida"/>
        <s v="Garoppolo"/>
        <s v="Prater"/>
        <s v="Love"/>
        <s v="Mayfield"/>
        <s v=""/>
        <s v="Akers"/>
        <s v="Harry"/>
        <s v="Gonzalez"/>
        <s v="Edelman"/>
        <s v="Lindsay"/>
        <s v="Mack"/>
        <s v="Goff"/>
        <s v="Gronkowski"/>
        <s v="Orleans"/>
        <s v="Lutz"/>
        <s v="Thompson"/>
        <s v="Jeffery"/>
        <s v="Green"/>
        <s v="Howard"/>
        <s v="Miller"/>
        <s v="Roethlisberger"/>
        <s v="Slayton"/>
        <s v="Brees"/>
        <s v="Jarwin"/>
        <s v="Peterson"/>
        <s v="Ingram II"/>
        <s v="Watson"/>
        <s v="Newton"/>
        <s v="McCoy"/>
        <s v="Gurley II"/>
        <s v="Hardman"/>
        <s v="Fitzgerald"/>
        <s v="Hooper"/>
        <s v="Gostkowski"/>
        <s v="Bell"/>
        <s v="Cohen"/>
        <s v="Dobbins"/>
        <s v="Lazard"/>
        <s v="Herndon"/>
        <s v="Ertz"/>
        <s v="Hilton"/>
        <s v="Hurst"/>
        <s v="Kirk"/>
        <s v="Scott"/>
        <s v="Watkins"/>
        <s v="Freeman"/>
        <s v="Burton"/>
        <s v="Rivers"/>
        <s v="Sanu Sr"/>
        <s v="Guice"/>
        <s v="Ballage"/>
        <s v="Fairbairn"/>
        <s v="Walker"/>
        <s v="Tate"/>
        <s v="Ebron"/>
        <s v="Gordon"/>
        <s v="Moncrief"/>
        <s v="Coutee"/>
        <s v="Njoku"/>
        <s v="Pettis"/>
        <s v="Barber"/>
        <s v="Vinatieri"/>
        <s v="Olsen"/>
        <s v="Samuels"/>
        <s v="Trubisky"/>
        <s v="Westbrook"/>
        <s v="Humphries"/>
        <s v="Valdes-Scantling"/>
        <s v="Carr"/>
        <s v="Allison"/>
        <s v="Winston"/>
        <s v="Maher"/>
        <s v="Stills"/>
        <s v="Lewis"/>
        <s v="Bernard"/>
        <s v="Crosby"/>
        <s v="McDonald"/>
        <s v="Washington"/>
        <s v="Bryant"/>
        <s v="Collins"/>
        <s v="Lambo"/>
        <s v="Burkhead"/>
        <s v="Goodwin"/>
        <s v="Cole Sr"/>
        <s v="Gates"/>
        <s v="Rudolph"/>
        <s v="Garcon"/>
        <s v="Benjamin"/>
        <s v="Clement"/>
        <s v="Lynch"/>
        <s v="Doyle"/>
        <s v="Blount"/>
        <s v="Ajayi"/>
        <s v="Crabtree"/>
        <s v="Wilkins"/>
        <s v="Hogan"/>
        <s v="Boswell"/>
        <s v="Ross III"/>
        <s v="Reed"/>
        <s v="Graham"/>
        <s v="Luck"/>
        <s v="Crowell"/>
        <s v="Matthews"/>
        <s v="Hurns"/>
        <s v="Powell"/>
        <s v="Baldwin"/>
        <s v="Funchess"/>
        <s v="Nelson"/>
        <s v="Morris"/>
        <s v="Seals-Jones"/>
        <s v="Riddick"/>
        <s v="Britt"/>
        <s v="Ginn Jr"/>
        <s v="Wallace"/>
        <s v="Santos"/>
        <s v="Pryor Sr"/>
        <s v="McFadden"/>
        <s v="Martin"/>
        <s v="Kelley"/>
        <s v="Vegas"/>
        <s v="Janikowski"/>
        <s v="Snead IV"/>
        <s v="Woodhead"/>
        <s v="Gore"/>
        <s v="Prosise"/>
        <s v="Gillislee"/>
        <s v="Forte"/>
        <s v="York"/>
        <s v="Palmer"/>
        <s v="Mariota"/>
        <s v="Smallwood"/>
        <s v="Abdullah"/>
        <s v="Marshall"/>
        <s v="Witten"/>
        <s v="Sturgis"/>
        <s v="Stewart"/>
        <s v="Bennett"/>
        <s v="Sproles"/>
        <s v="Dalton"/>
        <s v="McManus"/>
        <s v="Maclin"/>
        <s v="Bailey"/>
        <s v="Brate"/>
        <s v="Perkins"/>
        <s v="Decker"/>
        <s v="West"/>
        <s v="Manning"/>
        <s v="Doctson"/>
        <s v="Eifert"/>
        <s v="Perine"/>
        <s v="Lacy"/>
        <s v="Charles"/>
        <s v="Sharpe"/>
        <s v="Hauschka"/>
        <s v="Starks"/>
        <s v="Sims"/>
        <s v="Coates Jr"/>
        <s v="Smith Sr"/>
        <s v="Green-Beckham"/>
        <s v="Langford"/>
        <s v="Michael"/>
        <s v="McKinnon"/>
        <s v="Wheaton"/>
        <s v="Jennings"/>
        <s v="Walford"/>
        <s v="Novak"/>
        <s v="Cameron"/>
        <s v="Austin"/>
        <s v="Mathews"/>
        <s v="Foster"/>
        <s v="Catanzaro"/>
        <s v="Floyd"/>
        <s v="Ivory"/>
        <s v="Bortles"/>
        <s v="Griffin III"/>
        <s v="Gano"/>
        <s v="Dorsett II"/>
        <s v="Barnidge"/>
        <s v="Yeldon"/>
        <s v="Mitchell"/>
        <s v="Rawls"/>
        <s v="Fleener"/>
        <s v="Aiken"/>
        <s v="Forsett"/>
      </sharedItems>
    </cacheField>
    <cacheField name="Full Name" numFmtId="0">
      <sharedItems>
        <e v="#N/A"/>
      </sharedItems>
    </cacheField>
    <cacheField name="Position" numFmtId="0">
      <sharedItems>
        <s v="RB"/>
        <s v="WR"/>
        <s v="TE"/>
        <s v="QB"/>
        <s v="DEF"/>
        <s v="K"/>
        <e v="#N/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73" sheet="TeamOwners"/>
  </cacheSource>
  <cacheFields>
    <cacheField name="Year" numFmtId="0">
      <sharedItems containsSemiMixedTypes="0" containsString="0" containsNumber="1" containsInteger="1">
        <n v="2021.0"/>
        <n v="2020.0"/>
        <n v="2019.0"/>
        <n v="2018.0"/>
        <n v="2017.0"/>
        <n v="2016.0"/>
      </sharedItems>
    </cacheField>
    <cacheField name="Team" numFmtId="0">
      <sharedItems>
        <s v="Rob and Bo*"/>
        <s v="Rondro Enterprise"/>
        <s v="Dynasty"/>
        <s v="The ItAlvin Stallion’s"/>
        <s v="The Tone Rangers"/>
        <s v="Dom and Chris"/>
        <s v="Deshaun’s Happy Endings"/>
        <s v="DellaPia"/>
        <s v="Ying Yang Twins"/>
        <s v="Quadzillas Killas"/>
        <s v="Bishop Sycamore HS"/>
        <s v="Team JoeBa"/>
        <s v="Rondro Enterprise*"/>
        <s v="2 Gurley's 1 Cup"/>
        <s v="OJ's Parole Board"/>
        <s v="LFTLR"/>
        <s v="Brady Bunch"/>
        <s v="LEFTY &amp; LONG"/>
        <s v="Rob and Bo"/>
        <s v="Zeke’s Freaks*"/>
        <s v="There Is A Godwin!"/>
        <s v="Shake and Bakers"/>
        <s v="Dynasty*"/>
        <s v="ScoobyDrewCrew"/>
        <s v="Prestige WorldWide"/>
        <s v="Anthony &amp; Ernie"/>
        <s v="LEFTY &amp; LONG*"/>
        <s v="JuiceIsLoose"/>
        <s v="Taste the rainbow"/>
        <s v="Dom and Chris*"/>
        <s v="The Dro's"/>
        <s v="Two Mannings One Cup"/>
        <s v="Ben There Raped That"/>
        <s v="GaTTa"/>
        <s v="Robert's Team"/>
        <s v="LegionOfZoom"/>
      </sharedItems>
    </cacheField>
    <cacheField name="Owner" numFmtId="0">
      <sharedItems>
        <s v="Robert Flacco"/>
        <s v="Ron Malandro"/>
        <s v="Phil Baldino"/>
        <s v="Michael Pungitore"/>
        <s v="John Juliano"/>
        <s v="Chris Juliano"/>
        <s v="Nolan Lawrence"/>
        <s v="Anthony DellaPia"/>
        <s v="Julian Podagrasi"/>
        <s v="Dante Cambria"/>
        <s v="Rich Nolfi"/>
        <s v="Joseph Biancanello"/>
        <s v="Blaze DiGregorio"/>
        <s v="Vincent Gatta"/>
      </sharedItems>
    </cacheField>
    <cacheField name="Standings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3:I20" firstHeaderRow="0" firstDataRow="1" firstDataCol="1" rowPageCount="1" colPageCount="1"/>
  <pivotFields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Own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tanding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layoff or Not" axis="axisPage" compact="0" outline="0" multipleItemSelectionAllowed="1" showAll="0">
      <items>
        <item h="1" x="0"/>
        <item x="1"/>
        <item t="default"/>
      </items>
    </pivotField>
    <pivotField name="Round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i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Play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t="default"/>
      </items>
    </pivotField>
    <pivotField name="Fir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name="L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Full Name" compact="0" outline="0" multipleItemSelectionAllowed="1" showAll="0">
      <items>
        <item x="0"/>
        <item t="default"/>
      </items>
    </pivotField>
    <pivotField name="Position" axis="axisCol" dataField="1" compact="0" outline="0" multipleItemSelectionAllowed="1" showAll="0" sortType="ascending">
      <items>
        <item x="4"/>
        <item x="5"/>
        <item x="3"/>
        <item x="0"/>
        <item x="2"/>
        <item x="1"/>
        <item x="6"/>
        <item t="default"/>
      </items>
    </pivotField>
  </pivotFields>
  <rowFields>
    <field x="5"/>
  </rowFields>
  <colFields>
    <field x="11"/>
  </colFields>
  <pageFields>
    <pageField fld="4"/>
  </pageFields>
  <dataFields>
    <dataField name="Count of Position" fld="11" subtotal="count" baseField="0"/>
  </dataFields>
</pivotTableDefinition>
</file>

<file path=xl/pivotTables/pivotTable2.xml><?xml version="1.0" encoding="utf-8"?>
<pivotTableDefinition xmlns="http://schemas.openxmlformats.org/spreadsheetml/2006/main" name="Sheet6" cacheId="1" dataCaption="" compact="0" compactData="0">
  <location ref="A3:B18" firstHeaderRow="0" firstDataRow="1" firstDataCol="0"/>
  <pivotFields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Owne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anding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2"/>
  </rowFields>
  <dataFields>
    <dataField name="Average of Standings" fld="3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6.44"/>
    <col customWidth="1" min="3" max="3" width="12.0"/>
    <col customWidth="1" min="4" max="4" width="18.11"/>
    <col customWidth="1" min="5" max="5" width="37.67"/>
    <col customWidth="1" min="6" max="26" width="8.56"/>
  </cols>
  <sheetData>
    <row r="1" ht="15.75" customHeight="1">
      <c r="A1" s="1" t="s">
        <v>0</v>
      </c>
      <c r="B1" s="1" t="s">
        <v>2</v>
      </c>
      <c r="C1" s="4" t="s">
        <v>3</v>
      </c>
      <c r="E1" s="1" t="s">
        <v>5</v>
      </c>
      <c r="F1" s="1" t="s">
        <v>7</v>
      </c>
      <c r="G1" s="1" t="s">
        <v>9</v>
      </c>
    </row>
    <row r="2" ht="15.75" customHeight="1">
      <c r="A2" s="1">
        <v>1.0</v>
      </c>
      <c r="B2" s="7" t="s">
        <v>8</v>
      </c>
      <c r="D2" s="1" t="str">
        <f t="shared" ref="D2:D13" si="1">CONCAT($C$1,$B2,$C$1, " ")</f>
        <v>#N/A</v>
      </c>
      <c r="E2" s="1" t="str">
        <f>CONCAT($E$1,$D2,$F$1,$C$1,$A2,$C$1)</f>
        <v>#N/A</v>
      </c>
    </row>
    <row r="3" ht="15.75" customHeight="1">
      <c r="A3" s="1">
        <v>2.0</v>
      </c>
      <c r="B3" s="7" t="s">
        <v>10</v>
      </c>
      <c r="D3" s="1" t="str">
        <f t="shared" si="1"/>
        <v>#N/A</v>
      </c>
      <c r="E3" s="1" t="str">
        <f t="shared" ref="E3:E13" si="2">CONCAT($G$1,$D3,$F$1,$C$1,$A3,$C$1)</f>
        <v>#N/A</v>
      </c>
    </row>
    <row r="4" ht="15.75" customHeight="1">
      <c r="A4" s="1">
        <v>3.0</v>
      </c>
      <c r="B4" s="7" t="s">
        <v>12</v>
      </c>
      <c r="D4" s="1" t="str">
        <f t="shared" si="1"/>
        <v>#N/A</v>
      </c>
      <c r="E4" s="1" t="str">
        <f t="shared" si="2"/>
        <v>#N/A</v>
      </c>
    </row>
    <row r="5" ht="15.75" customHeight="1">
      <c r="A5" s="1">
        <v>4.0</v>
      </c>
      <c r="B5" s="7" t="s">
        <v>13</v>
      </c>
      <c r="C5" s="7" t="s">
        <v>38</v>
      </c>
      <c r="D5" s="1" t="str">
        <f t="shared" si="1"/>
        <v>#N/A</v>
      </c>
      <c r="E5" s="1" t="str">
        <f t="shared" si="2"/>
        <v>#N/A</v>
      </c>
    </row>
    <row r="6" ht="15.75" customHeight="1">
      <c r="A6" s="1">
        <v>5.0</v>
      </c>
      <c r="B6" s="7" t="s">
        <v>15</v>
      </c>
      <c r="D6" s="1" t="str">
        <f t="shared" si="1"/>
        <v>#N/A</v>
      </c>
      <c r="E6" s="1" t="str">
        <f t="shared" si="2"/>
        <v>#N/A</v>
      </c>
    </row>
    <row r="7" ht="15.75" customHeight="1">
      <c r="A7" s="1">
        <v>6.0</v>
      </c>
      <c r="B7" s="7" t="s">
        <v>17</v>
      </c>
      <c r="D7" s="1" t="str">
        <f t="shared" si="1"/>
        <v>#N/A</v>
      </c>
      <c r="E7" s="1" t="str">
        <f t="shared" si="2"/>
        <v>#N/A</v>
      </c>
    </row>
    <row r="8" ht="15.75" customHeight="1">
      <c r="A8" s="1">
        <v>7.0</v>
      </c>
      <c r="B8" s="7" t="s">
        <v>19</v>
      </c>
      <c r="D8" s="1" t="str">
        <f t="shared" si="1"/>
        <v>#N/A</v>
      </c>
      <c r="E8" s="1" t="str">
        <f t="shared" si="2"/>
        <v>#N/A</v>
      </c>
    </row>
    <row r="9" ht="15.75" customHeight="1">
      <c r="A9" s="1">
        <v>8.0</v>
      </c>
      <c r="B9" s="7" t="s">
        <v>20</v>
      </c>
      <c r="D9" s="1" t="str">
        <f t="shared" si="1"/>
        <v>#N/A</v>
      </c>
      <c r="E9" s="1" t="str">
        <f t="shared" si="2"/>
        <v>#N/A</v>
      </c>
    </row>
    <row r="10" ht="15.75" customHeight="1">
      <c r="A10" s="1">
        <v>9.0</v>
      </c>
      <c r="B10" s="7" t="s">
        <v>23</v>
      </c>
      <c r="D10" s="1" t="str">
        <f t="shared" si="1"/>
        <v>#N/A</v>
      </c>
      <c r="E10" s="1" t="str">
        <f t="shared" si="2"/>
        <v>#N/A</v>
      </c>
    </row>
    <row r="11" ht="15.75" customHeight="1">
      <c r="A11" s="1">
        <v>10.0</v>
      </c>
      <c r="B11" s="7" t="s">
        <v>25</v>
      </c>
      <c r="D11" s="1" t="str">
        <f t="shared" si="1"/>
        <v>#N/A</v>
      </c>
      <c r="E11" s="1" t="str">
        <f t="shared" si="2"/>
        <v>#N/A</v>
      </c>
    </row>
    <row r="12" ht="15.75" customHeight="1">
      <c r="A12" s="1">
        <v>11.0</v>
      </c>
      <c r="B12" s="7" t="s">
        <v>22</v>
      </c>
      <c r="D12" s="1" t="str">
        <f t="shared" si="1"/>
        <v>#N/A</v>
      </c>
      <c r="E12" s="1" t="str">
        <f t="shared" si="2"/>
        <v>#N/A</v>
      </c>
    </row>
    <row r="13" ht="15.75" customHeight="1">
      <c r="A13" s="1">
        <v>12.0</v>
      </c>
      <c r="B13" s="7" t="s">
        <v>26</v>
      </c>
      <c r="D13" s="1" t="str">
        <f t="shared" si="1"/>
        <v>#N/A</v>
      </c>
      <c r="E13" s="1" t="str">
        <f t="shared" si="2"/>
        <v>#N/A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6.44"/>
    <col customWidth="1" min="3" max="3" width="12.0"/>
    <col customWidth="1" min="4" max="4" width="18.11"/>
    <col customWidth="1" min="5" max="5" width="37.67"/>
    <col customWidth="1" min="6" max="26" width="8.56"/>
  </cols>
  <sheetData>
    <row r="1" ht="15.75" customHeight="1">
      <c r="A1" s="1" t="s">
        <v>0</v>
      </c>
      <c r="B1" s="1" t="s">
        <v>2</v>
      </c>
      <c r="C1" s="2"/>
    </row>
    <row r="2" ht="15.75" customHeight="1">
      <c r="A2" s="1">
        <v>1.0</v>
      </c>
      <c r="B2" s="7" t="s">
        <v>8</v>
      </c>
    </row>
    <row r="3" ht="15.75" customHeight="1">
      <c r="A3" s="1">
        <v>2.0</v>
      </c>
      <c r="B3" s="7" t="s">
        <v>10</v>
      </c>
    </row>
    <row r="4" ht="15.75" customHeight="1">
      <c r="A4" s="1">
        <v>3.0</v>
      </c>
      <c r="B4" s="7" t="s">
        <v>12</v>
      </c>
    </row>
    <row r="5" ht="15.75" customHeight="1">
      <c r="A5" s="1">
        <v>4.0</v>
      </c>
      <c r="B5" s="7" t="s">
        <v>13</v>
      </c>
      <c r="C5" s="7"/>
    </row>
    <row r="6" ht="15.75" customHeight="1">
      <c r="A6" s="1">
        <v>5.0</v>
      </c>
      <c r="B6" s="7" t="s">
        <v>15</v>
      </c>
    </row>
    <row r="7" ht="15.75" customHeight="1">
      <c r="A7" s="1">
        <v>6.0</v>
      </c>
      <c r="B7" s="7" t="s">
        <v>17</v>
      </c>
    </row>
    <row r="8" ht="15.75" customHeight="1">
      <c r="A8" s="1">
        <v>7.0</v>
      </c>
      <c r="B8" s="7" t="s">
        <v>19</v>
      </c>
    </row>
    <row r="9" ht="15.75" customHeight="1">
      <c r="A9" s="1">
        <v>8.0</v>
      </c>
      <c r="B9" s="7" t="s">
        <v>20</v>
      </c>
    </row>
    <row r="10" ht="15.75" customHeight="1">
      <c r="A10" s="1">
        <v>9.0</v>
      </c>
      <c r="B10" s="7" t="s">
        <v>23</v>
      </c>
    </row>
    <row r="11" ht="15.75" customHeight="1">
      <c r="A11" s="1">
        <v>10.0</v>
      </c>
      <c r="B11" s="7" t="s">
        <v>25</v>
      </c>
    </row>
    <row r="12" ht="15.75" customHeight="1">
      <c r="A12" s="1">
        <v>11.0</v>
      </c>
      <c r="B12" s="7" t="s">
        <v>22</v>
      </c>
    </row>
    <row r="13" ht="15.75" customHeight="1">
      <c r="A13" s="1">
        <v>12.0</v>
      </c>
      <c r="B13" s="7" t="s">
        <v>26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workbookViewId="0"/>
  </sheetViews>
  <sheetFormatPr customHeight="1" defaultColWidth="11.22" defaultRowHeight="15.0"/>
  <cols>
    <col customWidth="1" min="1" max="1" width="4.89"/>
    <col customWidth="1" min="2" max="3" width="22.22"/>
    <col customWidth="1" min="4" max="4" width="9.22"/>
    <col customWidth="1" min="5" max="8" width="8.56"/>
    <col customWidth="1" min="9" max="9" width="27.22"/>
    <col customWidth="1" min="10" max="10" width="22.0"/>
    <col customWidth="1" min="11" max="12" width="8.56"/>
    <col customWidth="1" min="13" max="13" width="4.89"/>
    <col customWidth="1" min="14" max="14" width="22.22"/>
    <col customWidth="1" min="15" max="26" width="8.56"/>
  </cols>
  <sheetData>
    <row r="1" ht="15.75" customHeight="1">
      <c r="A1" s="3" t="s">
        <v>1</v>
      </c>
      <c r="B1" s="3" t="s">
        <v>2</v>
      </c>
      <c r="C1" s="3" t="s">
        <v>4</v>
      </c>
      <c r="D1" s="6" t="s">
        <v>6</v>
      </c>
      <c r="I1" s="6" t="s">
        <v>2</v>
      </c>
      <c r="J1" s="6" t="s">
        <v>4</v>
      </c>
      <c r="M1" s="3"/>
      <c r="N1" s="3"/>
    </row>
    <row r="2" ht="15.75" customHeight="1">
      <c r="A2" s="1">
        <v>2021.0</v>
      </c>
      <c r="B2" s="1" t="s">
        <v>11</v>
      </c>
      <c r="C2" s="1" t="s">
        <v>8</v>
      </c>
      <c r="D2" s="8">
        <v>1.0</v>
      </c>
      <c r="I2" s="1" t="s">
        <v>14</v>
      </c>
      <c r="J2" s="1" t="s">
        <v>12</v>
      </c>
    </row>
    <row r="3" ht="15.75" customHeight="1">
      <c r="A3" s="1">
        <v>2021.0</v>
      </c>
      <c r="B3" s="1" t="s">
        <v>16</v>
      </c>
      <c r="C3" s="1" t="s">
        <v>15</v>
      </c>
      <c r="D3" s="8">
        <v>2.0</v>
      </c>
      <c r="I3" s="1" t="s">
        <v>18</v>
      </c>
      <c r="J3" s="1" t="s">
        <v>12</v>
      </c>
    </row>
    <row r="4" ht="15.75" customHeight="1">
      <c r="A4" s="1">
        <v>2021.0</v>
      </c>
      <c r="B4" s="1" t="s">
        <v>21</v>
      </c>
      <c r="C4" s="1" t="s">
        <v>22</v>
      </c>
      <c r="D4" s="8">
        <v>3.0</v>
      </c>
      <c r="I4" s="1" t="s">
        <v>24</v>
      </c>
      <c r="J4" s="1" t="s">
        <v>12</v>
      </c>
    </row>
    <row r="5" ht="15.75" customHeight="1">
      <c r="A5" s="1">
        <v>2021.0</v>
      </c>
      <c r="B5" s="1" t="s">
        <v>27</v>
      </c>
      <c r="C5" s="1" t="s">
        <v>23</v>
      </c>
      <c r="D5" s="8">
        <v>4.0</v>
      </c>
      <c r="I5" s="1" t="s">
        <v>28</v>
      </c>
      <c r="J5" s="1" t="s">
        <v>12</v>
      </c>
    </row>
    <row r="6" ht="15.75" customHeight="1">
      <c r="A6" s="1">
        <v>2021.0</v>
      </c>
      <c r="B6" s="1" t="s">
        <v>29</v>
      </c>
      <c r="C6" s="1" t="s">
        <v>20</v>
      </c>
      <c r="D6" s="8">
        <v>5.0</v>
      </c>
      <c r="I6" s="1" t="s">
        <v>30</v>
      </c>
      <c r="J6" s="1" t="s">
        <v>31</v>
      </c>
    </row>
    <row r="7" ht="15.75" customHeight="1">
      <c r="A7" s="1">
        <v>2021.0</v>
      </c>
      <c r="B7" s="1" t="s">
        <v>32</v>
      </c>
      <c r="C7" s="1" t="s">
        <v>25</v>
      </c>
      <c r="D7" s="8">
        <v>6.0</v>
      </c>
      <c r="I7" s="1" t="s">
        <v>32</v>
      </c>
      <c r="J7" s="1" t="s">
        <v>25</v>
      </c>
    </row>
    <row r="8" ht="15.75" customHeight="1">
      <c r="A8" s="1">
        <v>2021.0</v>
      </c>
      <c r="B8" s="1" t="s">
        <v>33</v>
      </c>
      <c r="C8" s="1" t="s">
        <v>13</v>
      </c>
      <c r="D8" s="8">
        <v>7.0</v>
      </c>
      <c r="I8" s="1" t="s">
        <v>34</v>
      </c>
      <c r="J8" s="1" t="s">
        <v>25</v>
      </c>
    </row>
    <row r="9" ht="15.75" customHeight="1">
      <c r="A9" s="1">
        <v>2021.0</v>
      </c>
      <c r="B9" s="1" t="s">
        <v>18</v>
      </c>
      <c r="C9" s="1" t="s">
        <v>12</v>
      </c>
      <c r="D9" s="8">
        <v>8.0</v>
      </c>
      <c r="I9" s="1" t="s">
        <v>35</v>
      </c>
      <c r="J9" s="1" t="s">
        <v>10</v>
      </c>
    </row>
    <row r="10" ht="15.75" customHeight="1">
      <c r="A10" s="1">
        <v>2021.0</v>
      </c>
      <c r="B10" s="1" t="s">
        <v>36</v>
      </c>
      <c r="C10" s="1" t="s">
        <v>17</v>
      </c>
      <c r="D10" s="8">
        <v>9.0</v>
      </c>
      <c r="I10" s="1" t="s">
        <v>37</v>
      </c>
      <c r="J10" s="1" t="s">
        <v>10</v>
      </c>
    </row>
    <row r="11" ht="15.75" customHeight="1">
      <c r="A11" s="1">
        <v>2021.0</v>
      </c>
      <c r="B11" s="1" t="s">
        <v>39</v>
      </c>
      <c r="C11" s="1" t="s">
        <v>10</v>
      </c>
      <c r="D11" s="8">
        <v>10.0</v>
      </c>
      <c r="I11" s="1" t="s">
        <v>39</v>
      </c>
      <c r="J11" s="1" t="s">
        <v>10</v>
      </c>
    </row>
    <row r="12" ht="15.75" customHeight="1">
      <c r="A12" s="1">
        <v>2021.0</v>
      </c>
      <c r="B12" s="1" t="s">
        <v>40</v>
      </c>
      <c r="C12" s="1" t="s">
        <v>19</v>
      </c>
      <c r="D12" s="8">
        <v>11.0</v>
      </c>
      <c r="I12" s="1" t="s">
        <v>41</v>
      </c>
      <c r="J12" s="1" t="s">
        <v>26</v>
      </c>
    </row>
    <row r="13" ht="15.75" customHeight="1">
      <c r="A13" s="1">
        <v>2021.0</v>
      </c>
      <c r="B13" s="1" t="s">
        <v>41</v>
      </c>
      <c r="C13" s="1" t="s">
        <v>26</v>
      </c>
      <c r="D13" s="8">
        <v>12.0</v>
      </c>
      <c r="I13" s="1" t="s">
        <v>36</v>
      </c>
      <c r="J13" s="1" t="s">
        <v>17</v>
      </c>
    </row>
    <row r="14" ht="15.75" customHeight="1">
      <c r="A14" s="1">
        <v>2020.0</v>
      </c>
      <c r="B14" s="1" t="s">
        <v>42</v>
      </c>
      <c r="C14" s="1" t="s">
        <v>15</v>
      </c>
      <c r="D14" s="8">
        <v>1.0</v>
      </c>
      <c r="I14" s="1" t="s">
        <v>43</v>
      </c>
      <c r="J14" s="1" t="s">
        <v>23</v>
      </c>
    </row>
    <row r="15" ht="15.75" customHeight="1">
      <c r="A15" s="1">
        <v>2020.0</v>
      </c>
      <c r="B15" s="1" t="s">
        <v>43</v>
      </c>
      <c r="C15" s="1" t="s">
        <v>23</v>
      </c>
      <c r="D15" s="8">
        <v>2.0</v>
      </c>
      <c r="I15" s="1" t="s">
        <v>44</v>
      </c>
      <c r="J15" s="1" t="s">
        <v>23</v>
      </c>
    </row>
    <row r="16" ht="15.75" customHeight="1">
      <c r="A16" s="1">
        <v>2020.0</v>
      </c>
      <c r="B16" s="1" t="s">
        <v>36</v>
      </c>
      <c r="C16" s="1" t="s">
        <v>17</v>
      </c>
      <c r="D16" s="8">
        <v>3.0</v>
      </c>
      <c r="I16" s="1" t="s">
        <v>45</v>
      </c>
      <c r="J16" s="1" t="s">
        <v>13</v>
      </c>
    </row>
    <row r="17" ht="15.75" customHeight="1">
      <c r="A17" s="1">
        <v>2020.0</v>
      </c>
      <c r="B17" s="1" t="s">
        <v>18</v>
      </c>
      <c r="C17" s="1" t="s">
        <v>12</v>
      </c>
      <c r="D17" s="8">
        <v>4.0</v>
      </c>
      <c r="I17" s="1" t="s">
        <v>33</v>
      </c>
      <c r="J17" s="1" t="s">
        <v>13</v>
      </c>
    </row>
    <row r="18" ht="15.75" customHeight="1">
      <c r="A18" s="1">
        <v>2020.0</v>
      </c>
      <c r="B18" s="1" t="s">
        <v>21</v>
      </c>
      <c r="C18" s="1" t="s">
        <v>22</v>
      </c>
      <c r="D18" s="8">
        <v>5.0</v>
      </c>
      <c r="I18" s="1" t="s">
        <v>46</v>
      </c>
      <c r="J18" s="1" t="s">
        <v>13</v>
      </c>
    </row>
    <row r="19" ht="15.75" customHeight="1">
      <c r="A19" s="1">
        <v>2020.0</v>
      </c>
      <c r="B19" s="1" t="s">
        <v>46</v>
      </c>
      <c r="C19" s="1" t="s">
        <v>13</v>
      </c>
      <c r="D19" s="8">
        <v>6.0</v>
      </c>
      <c r="I19" s="1" t="s">
        <v>21</v>
      </c>
      <c r="J19" s="1" t="s">
        <v>22</v>
      </c>
    </row>
    <row r="20" ht="15.75" customHeight="1">
      <c r="A20" s="1">
        <v>2020.0</v>
      </c>
      <c r="B20" s="1" t="s">
        <v>32</v>
      </c>
      <c r="C20" s="1" t="s">
        <v>25</v>
      </c>
      <c r="D20" s="8">
        <v>7.0</v>
      </c>
      <c r="I20" s="1" t="s">
        <v>47</v>
      </c>
      <c r="J20" s="1" t="s">
        <v>22</v>
      </c>
    </row>
    <row r="21" ht="15.75" customHeight="1">
      <c r="A21" s="1">
        <v>2020.0</v>
      </c>
      <c r="B21" s="1" t="s">
        <v>30</v>
      </c>
      <c r="C21" s="1" t="s">
        <v>31</v>
      </c>
      <c r="D21" s="8">
        <v>8.0</v>
      </c>
      <c r="I21" s="1" t="s">
        <v>40</v>
      </c>
      <c r="J21" s="1" t="s">
        <v>19</v>
      </c>
    </row>
    <row r="22" ht="15.75" customHeight="1">
      <c r="A22" s="1">
        <v>2020.0</v>
      </c>
      <c r="B22" s="1" t="s">
        <v>35</v>
      </c>
      <c r="C22" s="1" t="s">
        <v>10</v>
      </c>
      <c r="D22" s="8">
        <v>9.0</v>
      </c>
      <c r="I22" s="1" t="s">
        <v>48</v>
      </c>
      <c r="J22" s="1" t="s">
        <v>19</v>
      </c>
    </row>
    <row r="23" ht="15.75" customHeight="1">
      <c r="A23" s="1">
        <v>2020.0</v>
      </c>
      <c r="B23" s="1" t="s">
        <v>48</v>
      </c>
      <c r="C23" s="1" t="s">
        <v>19</v>
      </c>
      <c r="D23" s="8">
        <v>10.0</v>
      </c>
      <c r="I23" s="1" t="s">
        <v>49</v>
      </c>
      <c r="J23" s="1" t="s">
        <v>19</v>
      </c>
    </row>
    <row r="24" ht="15.75" customHeight="1">
      <c r="A24" s="1">
        <v>2020.0</v>
      </c>
      <c r="B24" s="1" t="s">
        <v>50</v>
      </c>
      <c r="C24" s="1" t="s">
        <v>8</v>
      </c>
      <c r="D24" s="8">
        <v>11.0</v>
      </c>
      <c r="I24" s="1" t="s">
        <v>50</v>
      </c>
      <c r="J24" s="1" t="s">
        <v>8</v>
      </c>
    </row>
    <row r="25" ht="15.75" customHeight="1">
      <c r="A25" s="1">
        <v>2020.0</v>
      </c>
      <c r="B25" s="1" t="s">
        <v>41</v>
      </c>
      <c r="C25" s="1" t="s">
        <v>26</v>
      </c>
      <c r="D25" s="8">
        <v>12.0</v>
      </c>
      <c r="I25" s="1" t="s">
        <v>11</v>
      </c>
      <c r="J25" s="1" t="s">
        <v>8</v>
      </c>
    </row>
    <row r="26" ht="15.75" customHeight="1">
      <c r="A26" s="1">
        <v>2019.0</v>
      </c>
      <c r="B26" s="1" t="s">
        <v>51</v>
      </c>
      <c r="C26" s="1" t="s">
        <v>10</v>
      </c>
      <c r="D26" s="8">
        <v>1.0</v>
      </c>
      <c r="I26" s="1" t="s">
        <v>52</v>
      </c>
      <c r="J26" s="1" t="s">
        <v>8</v>
      </c>
    </row>
    <row r="27" ht="15.75" customHeight="1">
      <c r="A27" s="1">
        <v>2019.0</v>
      </c>
      <c r="B27" s="1" t="s">
        <v>48</v>
      </c>
      <c r="C27" s="1" t="s">
        <v>19</v>
      </c>
      <c r="D27" s="8">
        <v>2.0</v>
      </c>
      <c r="I27" s="1" t="s">
        <v>16</v>
      </c>
      <c r="J27" s="1" t="s">
        <v>15</v>
      </c>
    </row>
    <row r="28" ht="15.75" customHeight="1">
      <c r="A28" s="1">
        <v>2019.0</v>
      </c>
      <c r="B28" s="1" t="s">
        <v>32</v>
      </c>
      <c r="C28" s="1" t="s">
        <v>25</v>
      </c>
      <c r="D28" s="8">
        <v>3.0</v>
      </c>
      <c r="I28" s="1" t="s">
        <v>42</v>
      </c>
      <c r="J28" s="1" t="s">
        <v>15</v>
      </c>
    </row>
    <row r="29" ht="15.75" customHeight="1">
      <c r="A29" s="1">
        <v>2019.0</v>
      </c>
      <c r="B29" s="1" t="s">
        <v>16</v>
      </c>
      <c r="C29" s="1" t="s">
        <v>15</v>
      </c>
      <c r="D29" s="8">
        <v>4.0</v>
      </c>
      <c r="I29" s="1" t="s">
        <v>53</v>
      </c>
      <c r="J29" s="1" t="s">
        <v>15</v>
      </c>
    </row>
    <row r="30" ht="15.75" customHeight="1">
      <c r="A30" s="1">
        <v>2019.0</v>
      </c>
      <c r="B30" s="1" t="s">
        <v>21</v>
      </c>
      <c r="C30" s="1" t="s">
        <v>22</v>
      </c>
      <c r="D30" s="8">
        <v>5.0</v>
      </c>
      <c r="I30" s="1" t="s">
        <v>54</v>
      </c>
      <c r="J30" s="1" t="s">
        <v>38</v>
      </c>
    </row>
    <row r="31" ht="15.75" customHeight="1">
      <c r="A31" s="1">
        <v>2019.0</v>
      </c>
      <c r="B31" s="1" t="s">
        <v>24</v>
      </c>
      <c r="C31" s="1" t="s">
        <v>12</v>
      </c>
      <c r="D31" s="8">
        <v>6.0</v>
      </c>
      <c r="I31" s="1" t="s">
        <v>57</v>
      </c>
      <c r="J31" s="1" t="s">
        <v>10</v>
      </c>
    </row>
    <row r="32" ht="15.75" customHeight="1">
      <c r="A32" s="1">
        <v>2019.0</v>
      </c>
      <c r="B32" s="1" t="s">
        <v>58</v>
      </c>
      <c r="C32" s="1" t="s">
        <v>23</v>
      </c>
      <c r="D32" s="8">
        <v>7.0</v>
      </c>
      <c r="I32" s="1" t="s">
        <v>59</v>
      </c>
      <c r="J32" s="1" t="s">
        <v>10</v>
      </c>
    </row>
    <row r="33" ht="15.75" customHeight="1">
      <c r="A33" s="1">
        <v>2019.0</v>
      </c>
      <c r="B33" s="1" t="s">
        <v>41</v>
      </c>
      <c r="C33" s="1" t="s">
        <v>26</v>
      </c>
      <c r="D33" s="8">
        <v>8.0</v>
      </c>
      <c r="I33" s="1" t="s">
        <v>58</v>
      </c>
      <c r="J33" s="1" t="s">
        <v>23</v>
      </c>
    </row>
    <row r="34" ht="15.75" customHeight="1">
      <c r="A34" s="1">
        <v>2019.0</v>
      </c>
      <c r="B34" s="1" t="s">
        <v>36</v>
      </c>
      <c r="C34" s="1" t="s">
        <v>17</v>
      </c>
      <c r="D34" s="8">
        <v>9.0</v>
      </c>
      <c r="I34" s="1" t="s">
        <v>67</v>
      </c>
      <c r="J34" s="1" t="s">
        <v>22</v>
      </c>
    </row>
    <row r="35" ht="15.75" customHeight="1">
      <c r="A35" s="1">
        <v>2019.0</v>
      </c>
      <c r="B35" s="1" t="s">
        <v>50</v>
      </c>
      <c r="C35" s="1" t="s">
        <v>8</v>
      </c>
      <c r="D35" s="8">
        <v>10.0</v>
      </c>
      <c r="I35" s="1" t="s">
        <v>27</v>
      </c>
      <c r="J35" s="1" t="s">
        <v>23</v>
      </c>
    </row>
    <row r="36" ht="15.75" customHeight="1">
      <c r="A36" s="1">
        <v>2019.0</v>
      </c>
      <c r="B36" s="1" t="s">
        <v>46</v>
      </c>
      <c r="C36" s="1" t="s">
        <v>13</v>
      </c>
      <c r="D36" s="8">
        <v>11.0</v>
      </c>
      <c r="I36" s="1" t="s">
        <v>29</v>
      </c>
      <c r="J36" s="1" t="s">
        <v>20</v>
      </c>
    </row>
    <row r="37" ht="15.75" customHeight="1">
      <c r="A37" s="1">
        <v>2019.0</v>
      </c>
      <c r="B37" s="1" t="s">
        <v>30</v>
      </c>
      <c r="C37" s="1" t="s">
        <v>31</v>
      </c>
      <c r="D37" s="8">
        <v>12.0</v>
      </c>
      <c r="I37" s="1" t="s">
        <v>51</v>
      </c>
      <c r="J37" s="1" t="s">
        <v>10</v>
      </c>
    </row>
    <row r="38" ht="15.75" customHeight="1">
      <c r="A38" s="1">
        <v>2018.0</v>
      </c>
      <c r="B38" s="1" t="s">
        <v>47</v>
      </c>
      <c r="C38" s="1" t="s">
        <v>22</v>
      </c>
      <c r="D38" s="8">
        <v>1.0</v>
      </c>
    </row>
    <row r="39" ht="15.75" customHeight="1">
      <c r="A39" s="1">
        <v>2018.0</v>
      </c>
      <c r="B39" s="1" t="s">
        <v>36</v>
      </c>
      <c r="C39" s="1" t="s">
        <v>17</v>
      </c>
      <c r="D39" s="8">
        <v>2.0</v>
      </c>
    </row>
    <row r="40" ht="15.75" customHeight="1">
      <c r="A40" s="1">
        <v>2018.0</v>
      </c>
      <c r="B40" s="1" t="s">
        <v>46</v>
      </c>
      <c r="C40" s="1" t="s">
        <v>13</v>
      </c>
      <c r="D40" s="8">
        <v>3.0</v>
      </c>
    </row>
    <row r="41" ht="15.75" customHeight="1">
      <c r="A41" s="1">
        <v>2018.0</v>
      </c>
      <c r="B41" s="1" t="s">
        <v>59</v>
      </c>
      <c r="C41" s="1" t="s">
        <v>10</v>
      </c>
      <c r="D41" s="8">
        <v>4.0</v>
      </c>
    </row>
    <row r="42" ht="15.75" customHeight="1">
      <c r="A42" s="1">
        <v>2018.0</v>
      </c>
      <c r="B42" s="1" t="s">
        <v>50</v>
      </c>
      <c r="C42" s="1" t="s">
        <v>8</v>
      </c>
      <c r="D42" s="8">
        <v>5.0</v>
      </c>
    </row>
    <row r="43" ht="15.75" customHeight="1">
      <c r="A43" s="1">
        <v>2018.0</v>
      </c>
      <c r="B43" s="1" t="s">
        <v>32</v>
      </c>
      <c r="C43" s="1" t="s">
        <v>25</v>
      </c>
      <c r="D43" s="8">
        <v>6.0</v>
      </c>
    </row>
    <row r="44" ht="15.75" customHeight="1">
      <c r="A44" s="1">
        <v>2018.0</v>
      </c>
      <c r="B44" s="1" t="s">
        <v>44</v>
      </c>
      <c r="C44" s="1" t="s">
        <v>23</v>
      </c>
      <c r="D44" s="8">
        <v>7.0</v>
      </c>
    </row>
    <row r="45" ht="15.75" customHeight="1">
      <c r="A45" s="1">
        <v>2018.0</v>
      </c>
      <c r="B45" s="1" t="s">
        <v>30</v>
      </c>
      <c r="C45" s="1" t="s">
        <v>31</v>
      </c>
      <c r="D45" s="8">
        <v>8.0</v>
      </c>
    </row>
    <row r="46" ht="15.75" customHeight="1">
      <c r="A46" s="1">
        <v>2018.0</v>
      </c>
      <c r="B46" s="1" t="s">
        <v>48</v>
      </c>
      <c r="C46" s="1" t="s">
        <v>19</v>
      </c>
      <c r="D46" s="8">
        <v>9.0</v>
      </c>
    </row>
    <row r="47" ht="15.75" customHeight="1">
      <c r="A47" s="1">
        <v>2018.0</v>
      </c>
      <c r="B47" s="1" t="s">
        <v>41</v>
      </c>
      <c r="C47" s="1" t="s">
        <v>26</v>
      </c>
      <c r="D47" s="8">
        <v>10.0</v>
      </c>
    </row>
    <row r="48" ht="15.75" customHeight="1">
      <c r="A48" s="1">
        <v>2018.0</v>
      </c>
      <c r="B48" s="1" t="s">
        <v>14</v>
      </c>
      <c r="C48" s="1" t="s">
        <v>12</v>
      </c>
      <c r="D48" s="8">
        <v>11.0</v>
      </c>
    </row>
    <row r="49" ht="15.75" customHeight="1">
      <c r="A49" s="1">
        <v>2018.0</v>
      </c>
      <c r="B49" s="1" t="s">
        <v>16</v>
      </c>
      <c r="C49" s="1" t="s">
        <v>15</v>
      </c>
      <c r="D49" s="8">
        <v>12.0</v>
      </c>
    </row>
    <row r="50" ht="15.75" customHeight="1">
      <c r="A50" s="1">
        <v>2017.0</v>
      </c>
      <c r="B50" s="1" t="s">
        <v>49</v>
      </c>
      <c r="C50" s="1" t="s">
        <v>19</v>
      </c>
      <c r="D50" s="8">
        <v>1.0</v>
      </c>
    </row>
    <row r="51" ht="15.75" customHeight="1">
      <c r="A51" s="1">
        <v>2017.0</v>
      </c>
      <c r="B51" s="1" t="s">
        <v>32</v>
      </c>
      <c r="C51" s="1" t="s">
        <v>25</v>
      </c>
      <c r="D51" s="8">
        <v>2.0</v>
      </c>
    </row>
    <row r="52" ht="15.75" customHeight="1">
      <c r="A52" s="1">
        <v>2017.0</v>
      </c>
      <c r="B52" s="1" t="s">
        <v>30</v>
      </c>
      <c r="C52" s="1" t="s">
        <v>31</v>
      </c>
      <c r="D52" s="8">
        <v>3.0</v>
      </c>
    </row>
    <row r="53" ht="15.75" customHeight="1">
      <c r="A53" s="1">
        <v>2017.0</v>
      </c>
      <c r="B53" s="1" t="s">
        <v>57</v>
      </c>
      <c r="C53" s="1" t="s">
        <v>10</v>
      </c>
      <c r="D53" s="8">
        <v>4.0</v>
      </c>
    </row>
    <row r="54" ht="15.75" customHeight="1">
      <c r="A54" s="1">
        <v>2017.0</v>
      </c>
      <c r="B54" s="1" t="s">
        <v>36</v>
      </c>
      <c r="C54" s="1" t="s">
        <v>17</v>
      </c>
      <c r="D54" s="8">
        <v>5.0</v>
      </c>
    </row>
    <row r="55" ht="15.75" customHeight="1">
      <c r="A55" s="1">
        <v>2017.0</v>
      </c>
      <c r="B55" s="1" t="s">
        <v>14</v>
      </c>
      <c r="C55" s="1" t="s">
        <v>12</v>
      </c>
      <c r="D55" s="8">
        <v>6.0</v>
      </c>
    </row>
    <row r="56" ht="15.75" customHeight="1">
      <c r="A56" s="1">
        <v>2017.0</v>
      </c>
      <c r="B56" s="1" t="s">
        <v>50</v>
      </c>
      <c r="C56" s="1" t="s">
        <v>8</v>
      </c>
      <c r="D56" s="8">
        <v>7.0</v>
      </c>
    </row>
    <row r="57" ht="15.75" customHeight="1">
      <c r="A57" s="1">
        <v>2017.0</v>
      </c>
      <c r="B57" s="1" t="s">
        <v>16</v>
      </c>
      <c r="C57" s="1" t="s">
        <v>15</v>
      </c>
      <c r="D57" s="8">
        <v>8.0</v>
      </c>
    </row>
    <row r="58" ht="15.75" customHeight="1">
      <c r="A58" s="1">
        <v>2017.0</v>
      </c>
      <c r="B58" s="1" t="s">
        <v>46</v>
      </c>
      <c r="C58" s="1" t="s">
        <v>13</v>
      </c>
      <c r="D58" s="8">
        <v>9.0</v>
      </c>
    </row>
    <row r="59" ht="15.75" customHeight="1">
      <c r="A59" s="1">
        <v>2017.0</v>
      </c>
      <c r="B59" s="1" t="s">
        <v>44</v>
      </c>
      <c r="C59" s="1" t="s">
        <v>23</v>
      </c>
      <c r="D59" s="8">
        <v>10.0</v>
      </c>
    </row>
    <row r="60" ht="15.75" customHeight="1">
      <c r="A60" s="1">
        <v>2017.0</v>
      </c>
      <c r="B60" s="1" t="s">
        <v>41</v>
      </c>
      <c r="C60" s="1" t="s">
        <v>26</v>
      </c>
      <c r="D60" s="8">
        <v>11.0</v>
      </c>
    </row>
    <row r="61" ht="15.75" customHeight="1">
      <c r="A61" s="1">
        <v>2017.0</v>
      </c>
      <c r="B61" s="1" t="s">
        <v>67</v>
      </c>
      <c r="C61" s="1" t="s">
        <v>22</v>
      </c>
      <c r="D61" s="8">
        <v>12.0</v>
      </c>
    </row>
    <row r="62" ht="15.75" customHeight="1">
      <c r="A62" s="1">
        <v>2016.0</v>
      </c>
      <c r="B62" s="1" t="s">
        <v>34</v>
      </c>
      <c r="C62" s="1" t="s">
        <v>25</v>
      </c>
      <c r="D62" s="8">
        <v>1.0</v>
      </c>
    </row>
    <row r="63" ht="15.75" customHeight="1">
      <c r="A63" s="1">
        <v>2016.0</v>
      </c>
      <c r="B63" s="1" t="s">
        <v>41</v>
      </c>
      <c r="C63" s="1" t="s">
        <v>26</v>
      </c>
      <c r="D63" s="8">
        <v>2.0</v>
      </c>
    </row>
    <row r="64" ht="15.75" customHeight="1">
      <c r="A64" s="1">
        <v>2016.0</v>
      </c>
      <c r="B64" s="1" t="s">
        <v>44</v>
      </c>
      <c r="C64" s="1" t="s">
        <v>23</v>
      </c>
      <c r="D64" s="8">
        <v>3.0</v>
      </c>
    </row>
    <row r="65" ht="15.75" customHeight="1">
      <c r="A65" s="1">
        <v>2016.0</v>
      </c>
      <c r="B65" s="1" t="s">
        <v>53</v>
      </c>
      <c r="C65" s="1" t="s">
        <v>15</v>
      </c>
      <c r="D65" s="8">
        <v>4.0</v>
      </c>
    </row>
    <row r="66" ht="15.75" customHeight="1">
      <c r="A66" s="1">
        <v>2016.0</v>
      </c>
      <c r="B66" s="1" t="s">
        <v>28</v>
      </c>
      <c r="C66" s="1" t="s">
        <v>12</v>
      </c>
      <c r="D66" s="8">
        <v>5.0</v>
      </c>
    </row>
    <row r="67" ht="15.75" customHeight="1">
      <c r="A67" s="1">
        <v>2016.0</v>
      </c>
      <c r="B67" s="1" t="s">
        <v>30</v>
      </c>
      <c r="C67" s="1" t="s">
        <v>31</v>
      </c>
      <c r="D67" s="8">
        <v>6.0</v>
      </c>
    </row>
    <row r="68" ht="15.75" customHeight="1">
      <c r="A68" s="1">
        <v>2016.0</v>
      </c>
      <c r="B68" s="1" t="s">
        <v>36</v>
      </c>
      <c r="C68" s="1" t="s">
        <v>17</v>
      </c>
      <c r="D68" s="8">
        <v>7.0</v>
      </c>
    </row>
    <row r="69" ht="15.75" customHeight="1">
      <c r="A69" s="1">
        <v>2016.0</v>
      </c>
      <c r="B69" s="1" t="s">
        <v>45</v>
      </c>
      <c r="C69" s="1" t="s">
        <v>13</v>
      </c>
      <c r="D69" s="8">
        <v>8.0</v>
      </c>
    </row>
    <row r="70" ht="15.75" customHeight="1">
      <c r="A70" s="1">
        <v>2016.0</v>
      </c>
      <c r="B70" s="1" t="s">
        <v>54</v>
      </c>
      <c r="C70" s="1" t="s">
        <v>38</v>
      </c>
      <c r="D70" s="8">
        <v>9.0</v>
      </c>
    </row>
    <row r="71" ht="15.75" customHeight="1">
      <c r="A71" s="1">
        <v>2016.0</v>
      </c>
      <c r="B71" s="1" t="s">
        <v>48</v>
      </c>
      <c r="C71" s="1" t="s">
        <v>19</v>
      </c>
      <c r="D71" s="8">
        <v>10.0</v>
      </c>
    </row>
    <row r="72" ht="15.75" customHeight="1">
      <c r="A72" s="1">
        <v>2016.0</v>
      </c>
      <c r="B72" s="1" t="s">
        <v>52</v>
      </c>
      <c r="C72" s="1" t="s">
        <v>8</v>
      </c>
      <c r="D72" s="8">
        <v>11.0</v>
      </c>
    </row>
    <row r="73" ht="15.75" customHeight="1">
      <c r="A73" s="1">
        <v>2016.0</v>
      </c>
      <c r="B73" s="1" t="s">
        <v>37</v>
      </c>
      <c r="C73" s="1" t="s">
        <v>10</v>
      </c>
      <c r="D73" s="8">
        <v>12.0</v>
      </c>
    </row>
    <row r="74" ht="15.75" customHeight="1">
      <c r="D74" s="8"/>
    </row>
    <row r="75" ht="15.75" customHeight="1">
      <c r="D75" s="8"/>
    </row>
    <row r="76" ht="15.75" customHeight="1">
      <c r="D76" s="8"/>
    </row>
    <row r="77" ht="15.75" customHeight="1">
      <c r="D77" s="8"/>
    </row>
    <row r="78" ht="15.75" customHeight="1">
      <c r="D78" s="8"/>
    </row>
    <row r="79" ht="15.75" customHeight="1">
      <c r="D79" s="8"/>
    </row>
    <row r="80" ht="15.75" customHeight="1">
      <c r="D80" s="8"/>
    </row>
    <row r="81" ht="15.75" customHeight="1">
      <c r="D81" s="8"/>
    </row>
    <row r="82" ht="15.75" customHeight="1">
      <c r="D82" s="8"/>
    </row>
    <row r="83" ht="15.75" customHeight="1">
      <c r="D83" s="8"/>
    </row>
    <row r="84" ht="15.75" customHeight="1">
      <c r="D84" s="8"/>
    </row>
    <row r="85" ht="15.75" customHeight="1">
      <c r="D85" s="8"/>
    </row>
    <row r="86" ht="15.75" customHeight="1">
      <c r="D86" s="8"/>
    </row>
    <row r="87" ht="15.75" customHeight="1">
      <c r="D87" s="8"/>
    </row>
    <row r="88" ht="15.75" customHeight="1">
      <c r="D88" s="8"/>
    </row>
    <row r="89" ht="15.75" customHeight="1">
      <c r="D89" s="8"/>
    </row>
    <row r="90" ht="15.75" customHeight="1">
      <c r="D90" s="8"/>
    </row>
    <row r="91" ht="15.75" customHeight="1">
      <c r="D91" s="8"/>
    </row>
    <row r="92" ht="15.75" customHeight="1">
      <c r="D92" s="8"/>
    </row>
    <row r="93" ht="15.75" customHeight="1">
      <c r="D93" s="8"/>
    </row>
    <row r="94" ht="15.75" customHeight="1">
      <c r="D94" s="8"/>
    </row>
    <row r="95" ht="15.75" customHeight="1">
      <c r="D95" s="8"/>
    </row>
    <row r="96" ht="15.75" customHeight="1">
      <c r="D96" s="8"/>
    </row>
    <row r="97" ht="15.75" customHeight="1">
      <c r="D97" s="8"/>
    </row>
    <row r="98" ht="15.75" customHeight="1">
      <c r="D98" s="8"/>
    </row>
    <row r="99" ht="15.75" customHeight="1">
      <c r="D99" s="8"/>
    </row>
    <row r="100" ht="15.75" customHeight="1">
      <c r="D100" s="8"/>
    </row>
    <row r="101" ht="15.75" customHeight="1">
      <c r="D101" s="8"/>
    </row>
    <row r="102" ht="15.75" customHeight="1">
      <c r="D102" s="8"/>
    </row>
    <row r="103" ht="15.75" customHeight="1">
      <c r="D103" s="8"/>
    </row>
    <row r="104" ht="15.75" customHeight="1">
      <c r="D104" s="8"/>
    </row>
    <row r="105" ht="15.75" customHeight="1">
      <c r="D105" s="8"/>
    </row>
    <row r="106" ht="15.75" customHeight="1">
      <c r="D106" s="8"/>
    </row>
    <row r="107" ht="15.75" customHeight="1">
      <c r="D107" s="8"/>
    </row>
    <row r="108" ht="15.75" customHeight="1">
      <c r="D108" s="8"/>
    </row>
    <row r="109" ht="15.75" customHeight="1">
      <c r="D109" s="8"/>
    </row>
    <row r="110" ht="15.75" customHeight="1">
      <c r="D110" s="8"/>
    </row>
    <row r="111" ht="15.75" customHeight="1">
      <c r="D111" s="8"/>
    </row>
    <row r="112" ht="15.75" customHeight="1">
      <c r="D112" s="8"/>
    </row>
    <row r="113" ht="15.75" customHeight="1">
      <c r="D113" s="8"/>
    </row>
    <row r="114" ht="15.75" customHeight="1">
      <c r="D114" s="8"/>
    </row>
    <row r="115" ht="15.75" customHeight="1">
      <c r="D115" s="8"/>
    </row>
    <row r="116" ht="15.75" customHeight="1">
      <c r="D116" s="8"/>
    </row>
    <row r="117" ht="15.75" customHeight="1">
      <c r="D117" s="8"/>
    </row>
    <row r="118" ht="15.75" customHeight="1">
      <c r="D118" s="8"/>
    </row>
    <row r="119" ht="15.75" customHeight="1">
      <c r="D119" s="8"/>
    </row>
    <row r="120" ht="15.75" customHeight="1">
      <c r="D120" s="8"/>
    </row>
    <row r="121" ht="15.75" customHeight="1">
      <c r="D121" s="8"/>
    </row>
    <row r="122" ht="15.75" customHeight="1">
      <c r="D122" s="8"/>
    </row>
    <row r="123" ht="15.75" customHeight="1">
      <c r="D123" s="8"/>
    </row>
    <row r="124" ht="15.75" customHeight="1">
      <c r="D124" s="8"/>
    </row>
    <row r="125" ht="15.75" customHeight="1">
      <c r="D125" s="8"/>
    </row>
    <row r="126" ht="15.75" customHeight="1">
      <c r="D126" s="8"/>
    </row>
    <row r="127" ht="15.75" customHeight="1">
      <c r="D127" s="8"/>
    </row>
    <row r="128" ht="15.75" customHeight="1">
      <c r="D128" s="8"/>
    </row>
    <row r="129" ht="15.75" customHeight="1">
      <c r="D129" s="8"/>
    </row>
    <row r="130" ht="15.75" customHeight="1">
      <c r="D130" s="8"/>
    </row>
    <row r="131" ht="15.75" customHeight="1">
      <c r="D131" s="8"/>
    </row>
    <row r="132" ht="15.75" customHeight="1">
      <c r="D132" s="8"/>
    </row>
    <row r="133" ht="15.75" customHeight="1">
      <c r="D133" s="8"/>
    </row>
    <row r="134" ht="15.75" customHeight="1">
      <c r="D134" s="8"/>
    </row>
    <row r="135" ht="15.75" customHeight="1">
      <c r="D135" s="8"/>
    </row>
    <row r="136" ht="15.75" customHeight="1">
      <c r="D136" s="8"/>
    </row>
    <row r="137" ht="15.75" customHeight="1">
      <c r="D137" s="8"/>
    </row>
    <row r="138" ht="15.75" customHeight="1">
      <c r="D138" s="8"/>
    </row>
    <row r="139" ht="15.75" customHeight="1">
      <c r="D139" s="8"/>
    </row>
    <row r="140" ht="15.75" customHeight="1">
      <c r="D140" s="8"/>
    </row>
    <row r="141" ht="15.75" customHeight="1">
      <c r="D141" s="8"/>
    </row>
    <row r="142" ht="15.75" customHeight="1">
      <c r="D142" s="8"/>
    </row>
    <row r="143" ht="15.75" customHeight="1">
      <c r="D143" s="8"/>
    </row>
    <row r="144" ht="15.75" customHeight="1">
      <c r="D144" s="8"/>
    </row>
    <row r="145" ht="15.75" customHeight="1">
      <c r="D145" s="8"/>
    </row>
    <row r="146" ht="15.75" customHeight="1">
      <c r="D146" s="8"/>
    </row>
    <row r="147" ht="15.75" customHeight="1">
      <c r="D147" s="8"/>
    </row>
    <row r="148" ht="15.75" customHeight="1">
      <c r="D148" s="8"/>
    </row>
    <row r="149" ht="15.75" customHeight="1">
      <c r="D149" s="8"/>
    </row>
    <row r="150" ht="15.75" customHeight="1">
      <c r="D150" s="8"/>
    </row>
    <row r="151" ht="15.75" customHeight="1">
      <c r="D151" s="8"/>
    </row>
    <row r="152" ht="15.75" customHeight="1">
      <c r="D152" s="8"/>
    </row>
    <row r="153" ht="15.75" customHeight="1">
      <c r="D153" s="8"/>
    </row>
    <row r="154" ht="15.75" customHeight="1">
      <c r="D154" s="8"/>
    </row>
    <row r="155" ht="15.75" customHeight="1">
      <c r="D155" s="8"/>
    </row>
    <row r="156" ht="15.75" customHeight="1">
      <c r="D156" s="8"/>
    </row>
    <row r="157" ht="15.75" customHeight="1">
      <c r="D157" s="8"/>
    </row>
    <row r="158" ht="15.75" customHeight="1">
      <c r="D158" s="8"/>
    </row>
    <row r="159" ht="15.75" customHeight="1">
      <c r="D159" s="8"/>
    </row>
    <row r="160" ht="15.75" customHeight="1">
      <c r="D160" s="8"/>
    </row>
    <row r="161" ht="15.75" customHeight="1">
      <c r="D161" s="8"/>
    </row>
    <row r="162" ht="15.75" customHeight="1">
      <c r="D162" s="8"/>
    </row>
    <row r="163" ht="15.75" customHeight="1">
      <c r="D163" s="8"/>
    </row>
    <row r="164" ht="15.75" customHeight="1">
      <c r="D164" s="8"/>
    </row>
    <row r="165" ht="15.75" customHeight="1">
      <c r="D165" s="8"/>
    </row>
    <row r="166" ht="15.75" customHeight="1">
      <c r="D166" s="8"/>
    </row>
    <row r="167" ht="15.75" customHeight="1">
      <c r="D167" s="8"/>
    </row>
    <row r="168" ht="15.75" customHeight="1">
      <c r="D168" s="8"/>
    </row>
    <row r="169" ht="15.75" customHeight="1">
      <c r="D169" s="8"/>
    </row>
    <row r="170" ht="15.75" customHeight="1">
      <c r="D170" s="8"/>
    </row>
    <row r="171" ht="15.75" customHeight="1">
      <c r="D171" s="8"/>
    </row>
    <row r="172" ht="15.75" customHeight="1">
      <c r="D172" s="8"/>
    </row>
    <row r="173" ht="15.75" customHeight="1">
      <c r="D173" s="8"/>
    </row>
    <row r="174" ht="15.75" customHeight="1">
      <c r="D174" s="8"/>
    </row>
    <row r="175" ht="15.75" customHeight="1">
      <c r="D175" s="8"/>
    </row>
    <row r="176" ht="15.75" customHeight="1">
      <c r="D176" s="8"/>
    </row>
    <row r="177" ht="15.75" customHeight="1">
      <c r="D177" s="8"/>
    </row>
    <row r="178" ht="15.75" customHeight="1">
      <c r="D178" s="8"/>
    </row>
    <row r="179" ht="15.75" customHeight="1">
      <c r="D179" s="8"/>
    </row>
    <row r="180" ht="15.75" customHeight="1">
      <c r="D180" s="8"/>
    </row>
    <row r="181" ht="15.75" customHeight="1">
      <c r="D181" s="8"/>
    </row>
    <row r="182" ht="15.75" customHeight="1">
      <c r="D182" s="8"/>
    </row>
    <row r="183" ht="15.75" customHeight="1">
      <c r="D183" s="8"/>
    </row>
    <row r="184" ht="15.75" customHeight="1">
      <c r="D184" s="8"/>
    </row>
    <row r="185" ht="15.75" customHeight="1">
      <c r="D185" s="8"/>
    </row>
    <row r="186" ht="15.75" customHeight="1">
      <c r="D186" s="8"/>
    </row>
    <row r="187" ht="15.75" customHeight="1">
      <c r="D187" s="8"/>
    </row>
    <row r="188" ht="15.75" customHeight="1">
      <c r="D188" s="8"/>
    </row>
    <row r="189" ht="15.75" customHeight="1">
      <c r="D189" s="8"/>
    </row>
    <row r="190" ht="15.75" customHeight="1">
      <c r="D190" s="8"/>
    </row>
    <row r="191" ht="15.75" customHeight="1">
      <c r="D191" s="8"/>
    </row>
    <row r="192" ht="15.75" customHeight="1">
      <c r="D192" s="8"/>
    </row>
    <row r="193" ht="15.75" customHeight="1">
      <c r="D193" s="8"/>
    </row>
    <row r="194" ht="15.75" customHeight="1">
      <c r="D194" s="8"/>
    </row>
    <row r="195" ht="15.75" customHeight="1">
      <c r="D195" s="8"/>
    </row>
    <row r="196" ht="15.75" customHeight="1">
      <c r="D196" s="8"/>
    </row>
    <row r="197" ht="15.75" customHeight="1">
      <c r="D197" s="8"/>
    </row>
    <row r="198" ht="15.75" customHeight="1">
      <c r="D198" s="8"/>
    </row>
    <row r="199" ht="15.75" customHeight="1">
      <c r="D199" s="8"/>
    </row>
    <row r="200" ht="15.75" customHeight="1">
      <c r="D200" s="8"/>
    </row>
    <row r="201" ht="15.75" customHeight="1">
      <c r="D201" s="8"/>
    </row>
    <row r="202" ht="15.75" customHeight="1">
      <c r="D202" s="8"/>
    </row>
    <row r="203" ht="15.75" customHeight="1">
      <c r="D203" s="8"/>
    </row>
    <row r="204" ht="15.75" customHeight="1">
      <c r="D204" s="8"/>
    </row>
    <row r="205" ht="15.75" customHeight="1">
      <c r="D205" s="8"/>
    </row>
    <row r="206" ht="15.75" customHeight="1">
      <c r="D206" s="8"/>
    </row>
    <row r="207" ht="15.75" customHeight="1">
      <c r="D207" s="8"/>
    </row>
    <row r="208" ht="15.75" customHeight="1">
      <c r="D208" s="8"/>
    </row>
    <row r="209" ht="15.75" customHeight="1">
      <c r="D209" s="8"/>
    </row>
    <row r="210" ht="15.75" customHeight="1">
      <c r="D210" s="8"/>
    </row>
    <row r="211" ht="15.75" customHeight="1">
      <c r="D211" s="8"/>
    </row>
    <row r="212" ht="15.75" customHeight="1">
      <c r="D212" s="8"/>
    </row>
    <row r="213" ht="15.75" customHeight="1">
      <c r="D213" s="8"/>
    </row>
    <row r="214" ht="15.75" customHeight="1">
      <c r="D214" s="8"/>
    </row>
    <row r="215" ht="15.75" customHeight="1">
      <c r="D215" s="8"/>
    </row>
    <row r="216" ht="15.75" customHeight="1">
      <c r="D216" s="8"/>
    </row>
    <row r="217" ht="15.75" customHeight="1">
      <c r="D217" s="8"/>
    </row>
    <row r="218" ht="15.75" customHeight="1">
      <c r="D218" s="8"/>
    </row>
    <row r="219" ht="15.75" customHeight="1">
      <c r="D219" s="8"/>
    </row>
    <row r="220" ht="15.75" customHeight="1">
      <c r="D220" s="8"/>
    </row>
    <row r="221" ht="15.75" customHeight="1">
      <c r="D221" s="8"/>
    </row>
    <row r="222" ht="15.75" customHeight="1">
      <c r="D222" s="8"/>
    </row>
    <row r="223" ht="15.75" customHeight="1">
      <c r="D223" s="8"/>
    </row>
    <row r="224" ht="15.75" customHeight="1">
      <c r="D224" s="8"/>
    </row>
    <row r="225" ht="15.75" customHeight="1">
      <c r="D225" s="8"/>
    </row>
    <row r="226" ht="15.75" customHeight="1">
      <c r="D226" s="8"/>
    </row>
    <row r="227" ht="15.75" customHeight="1">
      <c r="D227" s="8"/>
    </row>
    <row r="228" ht="15.75" customHeight="1">
      <c r="D228" s="8"/>
    </row>
    <row r="229" ht="15.75" customHeight="1">
      <c r="D229" s="8"/>
    </row>
    <row r="230" ht="15.75" customHeight="1">
      <c r="D230" s="8"/>
    </row>
    <row r="231" ht="15.75" customHeight="1">
      <c r="D231" s="8"/>
    </row>
    <row r="232" ht="15.75" customHeight="1">
      <c r="D232" s="8"/>
    </row>
    <row r="233" ht="15.75" customHeight="1">
      <c r="D233" s="8"/>
    </row>
    <row r="234" ht="15.75" customHeight="1">
      <c r="D234" s="8"/>
    </row>
    <row r="235" ht="15.75" customHeight="1">
      <c r="D235" s="8"/>
    </row>
    <row r="236" ht="15.75" customHeight="1">
      <c r="D236" s="8"/>
    </row>
    <row r="237" ht="15.75" customHeight="1">
      <c r="D237" s="8"/>
    </row>
    <row r="238" ht="15.75" customHeight="1">
      <c r="D238" s="8"/>
    </row>
    <row r="239" ht="15.75" customHeight="1">
      <c r="D239" s="8"/>
    </row>
    <row r="240" ht="15.75" customHeight="1">
      <c r="D240" s="8"/>
    </row>
    <row r="241" ht="15.75" customHeight="1">
      <c r="D241" s="8"/>
    </row>
    <row r="242" ht="15.75" customHeight="1">
      <c r="D242" s="8"/>
    </row>
    <row r="243" ht="15.75" customHeight="1">
      <c r="D243" s="8"/>
    </row>
    <row r="244" ht="15.75" customHeight="1">
      <c r="D244" s="8"/>
    </row>
    <row r="245" ht="15.75" customHeight="1">
      <c r="D245" s="8"/>
    </row>
    <row r="246" ht="15.75" customHeight="1">
      <c r="D246" s="8"/>
    </row>
    <row r="247" ht="15.75" customHeight="1">
      <c r="D247" s="8"/>
    </row>
    <row r="248" ht="15.75" customHeight="1">
      <c r="D248" s="8"/>
    </row>
    <row r="249" ht="15.75" customHeight="1">
      <c r="D249" s="8"/>
    </row>
    <row r="250" ht="15.75" customHeight="1">
      <c r="D250" s="8"/>
    </row>
    <row r="251" ht="15.75" customHeight="1">
      <c r="D251" s="8"/>
    </row>
    <row r="252" ht="15.75" customHeight="1">
      <c r="D252" s="8"/>
    </row>
    <row r="253" ht="15.75" customHeight="1">
      <c r="D253" s="8"/>
    </row>
    <row r="254" ht="15.75" customHeight="1">
      <c r="D254" s="8"/>
    </row>
    <row r="255" ht="15.75" customHeight="1">
      <c r="D255" s="8"/>
    </row>
    <row r="256" ht="15.75" customHeight="1">
      <c r="D256" s="8"/>
    </row>
    <row r="257" ht="15.75" customHeight="1">
      <c r="D257" s="8"/>
    </row>
    <row r="258" ht="15.75" customHeight="1">
      <c r="D258" s="8"/>
    </row>
    <row r="259" ht="15.75" customHeight="1">
      <c r="D259" s="8"/>
    </row>
    <row r="260" ht="15.75" customHeight="1">
      <c r="D260" s="8"/>
    </row>
    <row r="261" ht="15.75" customHeight="1">
      <c r="D261" s="8"/>
    </row>
    <row r="262" ht="15.75" customHeight="1">
      <c r="D262" s="8"/>
    </row>
    <row r="263" ht="15.75" customHeight="1">
      <c r="D263" s="8"/>
    </row>
    <row r="264" ht="15.75" customHeight="1">
      <c r="D264" s="8"/>
    </row>
    <row r="265" ht="15.75" customHeight="1">
      <c r="D265" s="8"/>
    </row>
    <row r="266" ht="15.75" customHeight="1">
      <c r="D266" s="8"/>
    </row>
    <row r="267" ht="15.75" customHeight="1">
      <c r="D267" s="8"/>
    </row>
    <row r="268" ht="15.75" customHeight="1">
      <c r="D268" s="8"/>
    </row>
    <row r="269" ht="15.75" customHeight="1">
      <c r="D269" s="8"/>
    </row>
    <row r="270" ht="15.75" customHeight="1">
      <c r="D270" s="8"/>
    </row>
    <row r="271" ht="15.75" customHeight="1">
      <c r="D271" s="8"/>
    </row>
    <row r="272" ht="15.75" customHeight="1">
      <c r="D272" s="8"/>
    </row>
    <row r="273" ht="15.75" customHeight="1">
      <c r="D273" s="8"/>
    </row>
    <row r="274" ht="15.75" customHeight="1">
      <c r="D274" s="8"/>
    </row>
    <row r="275" ht="15.75" customHeight="1">
      <c r="D275" s="8"/>
    </row>
    <row r="276" ht="15.75" customHeight="1">
      <c r="D276" s="8"/>
    </row>
    <row r="277" ht="15.75" customHeight="1">
      <c r="D277" s="8"/>
    </row>
    <row r="278" ht="15.75" customHeight="1">
      <c r="D278" s="8"/>
    </row>
    <row r="279" ht="15.75" customHeight="1">
      <c r="D279" s="8"/>
    </row>
    <row r="280" ht="15.75" customHeight="1">
      <c r="D280" s="8"/>
    </row>
    <row r="281" ht="15.75" customHeight="1">
      <c r="D281" s="8"/>
    </row>
    <row r="282" ht="15.75" customHeight="1">
      <c r="D282" s="8"/>
    </row>
    <row r="283" ht="15.75" customHeight="1">
      <c r="D283" s="8"/>
    </row>
    <row r="284" ht="15.75" customHeight="1">
      <c r="D284" s="8"/>
    </row>
    <row r="285" ht="15.75" customHeight="1">
      <c r="D285" s="8"/>
    </row>
    <row r="286" ht="15.75" customHeight="1">
      <c r="D286" s="8"/>
    </row>
    <row r="287" ht="15.75" customHeight="1">
      <c r="D287" s="8"/>
    </row>
    <row r="288" ht="15.75" customHeight="1">
      <c r="D288" s="8"/>
    </row>
    <row r="289" ht="15.75" customHeight="1">
      <c r="D289" s="8"/>
    </row>
    <row r="290" ht="15.75" customHeight="1">
      <c r="D290" s="8"/>
    </row>
    <row r="291" ht="15.75" customHeight="1">
      <c r="D291" s="8"/>
    </row>
    <row r="292" ht="15.75" customHeight="1">
      <c r="D292" s="8"/>
    </row>
    <row r="293" ht="15.75" customHeight="1">
      <c r="D293" s="8"/>
    </row>
    <row r="294" ht="15.75" customHeight="1">
      <c r="D294" s="8"/>
    </row>
    <row r="295" ht="15.75" customHeight="1">
      <c r="D295" s="8"/>
    </row>
    <row r="296" ht="15.75" customHeight="1">
      <c r="D296" s="8"/>
    </row>
    <row r="297" ht="15.75" customHeight="1">
      <c r="D297" s="8"/>
    </row>
    <row r="298" ht="15.75" customHeight="1">
      <c r="D298" s="8"/>
    </row>
    <row r="299" ht="15.75" customHeight="1">
      <c r="D299" s="8"/>
    </row>
    <row r="300" ht="15.75" customHeight="1">
      <c r="D300" s="8"/>
    </row>
    <row r="301" ht="15.75" customHeight="1">
      <c r="D301" s="8"/>
    </row>
    <row r="302" ht="15.75" customHeight="1">
      <c r="D302" s="8"/>
    </row>
    <row r="303" ht="15.75" customHeight="1">
      <c r="D303" s="8"/>
    </row>
    <row r="304" ht="15.75" customHeight="1">
      <c r="D304" s="8"/>
    </row>
    <row r="305" ht="15.75" customHeight="1">
      <c r="D305" s="8"/>
    </row>
    <row r="306" ht="15.75" customHeight="1">
      <c r="D306" s="8"/>
    </row>
    <row r="307" ht="15.75" customHeight="1">
      <c r="D307" s="8"/>
    </row>
    <row r="308" ht="15.75" customHeight="1">
      <c r="D308" s="8"/>
    </row>
    <row r="309" ht="15.75" customHeight="1">
      <c r="D309" s="8"/>
    </row>
    <row r="310" ht="15.75" customHeight="1">
      <c r="D310" s="8"/>
    </row>
    <row r="311" ht="15.75" customHeight="1">
      <c r="D311" s="8"/>
    </row>
    <row r="312" ht="15.75" customHeight="1">
      <c r="D312" s="8"/>
    </row>
    <row r="313" ht="15.75" customHeight="1">
      <c r="D313" s="8"/>
    </row>
    <row r="314" ht="15.75" customHeight="1">
      <c r="D314" s="8"/>
    </row>
    <row r="315" ht="15.75" customHeight="1">
      <c r="D315" s="8"/>
    </row>
    <row r="316" ht="15.75" customHeight="1">
      <c r="D316" s="8"/>
    </row>
    <row r="317" ht="15.75" customHeight="1">
      <c r="D317" s="8"/>
    </row>
    <row r="318" ht="15.75" customHeight="1">
      <c r="D318" s="8"/>
    </row>
    <row r="319" ht="15.75" customHeight="1">
      <c r="D319" s="8"/>
    </row>
    <row r="320" ht="15.75" customHeight="1">
      <c r="D320" s="8"/>
    </row>
    <row r="321" ht="15.75" customHeight="1">
      <c r="D321" s="8"/>
    </row>
    <row r="322" ht="15.75" customHeight="1">
      <c r="D322" s="8"/>
    </row>
    <row r="323" ht="15.75" customHeight="1">
      <c r="D323" s="8"/>
    </row>
    <row r="324" ht="15.75" customHeight="1">
      <c r="D324" s="8"/>
    </row>
    <row r="325" ht="15.75" customHeight="1">
      <c r="D325" s="8"/>
    </row>
    <row r="326" ht="15.75" customHeight="1">
      <c r="D326" s="8"/>
    </row>
    <row r="327" ht="15.75" customHeight="1">
      <c r="D327" s="8"/>
    </row>
    <row r="328" ht="15.75" customHeight="1">
      <c r="D328" s="8"/>
    </row>
    <row r="329" ht="15.75" customHeight="1">
      <c r="D329" s="8"/>
    </row>
    <row r="330" ht="15.75" customHeight="1">
      <c r="D330" s="8"/>
    </row>
    <row r="331" ht="15.75" customHeight="1">
      <c r="D331" s="8"/>
    </row>
    <row r="332" ht="15.75" customHeight="1">
      <c r="D332" s="8"/>
    </row>
    <row r="333" ht="15.75" customHeight="1">
      <c r="D333" s="8"/>
    </row>
    <row r="334" ht="15.75" customHeight="1">
      <c r="D334" s="8"/>
    </row>
    <row r="335" ht="15.75" customHeight="1">
      <c r="D335" s="8"/>
    </row>
    <row r="336" ht="15.75" customHeight="1">
      <c r="D336" s="8"/>
    </row>
    <row r="337" ht="15.75" customHeight="1">
      <c r="D337" s="8"/>
    </row>
    <row r="338" ht="15.75" customHeight="1">
      <c r="D338" s="8"/>
    </row>
    <row r="339" ht="15.75" customHeight="1">
      <c r="D339" s="8"/>
    </row>
    <row r="340" ht="15.75" customHeight="1">
      <c r="D340" s="8"/>
    </row>
    <row r="341" ht="15.75" customHeight="1">
      <c r="D341" s="8"/>
    </row>
    <row r="342" ht="15.75" customHeight="1">
      <c r="D342" s="8"/>
    </row>
    <row r="343" ht="15.75" customHeight="1">
      <c r="D343" s="8"/>
    </row>
    <row r="344" ht="15.75" customHeight="1">
      <c r="D344" s="8"/>
    </row>
    <row r="345" ht="15.75" customHeight="1">
      <c r="D345" s="8"/>
    </row>
    <row r="346" ht="15.75" customHeight="1">
      <c r="D346" s="8"/>
    </row>
    <row r="347" ht="15.75" customHeight="1">
      <c r="D347" s="8"/>
    </row>
    <row r="348" ht="15.75" customHeight="1">
      <c r="D348" s="8"/>
    </row>
    <row r="349" ht="15.75" customHeight="1">
      <c r="D349" s="8"/>
    </row>
    <row r="350" ht="15.75" customHeight="1">
      <c r="D350" s="8"/>
    </row>
    <row r="351" ht="15.75" customHeight="1">
      <c r="D351" s="8"/>
    </row>
    <row r="352" ht="15.75" customHeight="1">
      <c r="D352" s="8"/>
    </row>
    <row r="353" ht="15.75" customHeight="1">
      <c r="D353" s="8"/>
    </row>
    <row r="354" ht="15.75" customHeight="1">
      <c r="D354" s="8"/>
    </row>
    <row r="355" ht="15.75" customHeight="1">
      <c r="D355" s="8"/>
    </row>
    <row r="356" ht="15.75" customHeight="1">
      <c r="D356" s="8"/>
    </row>
    <row r="357" ht="15.75" customHeight="1">
      <c r="D357" s="8"/>
    </row>
    <row r="358" ht="15.75" customHeight="1">
      <c r="D358" s="8"/>
    </row>
    <row r="359" ht="15.75" customHeight="1">
      <c r="D359" s="8"/>
    </row>
    <row r="360" ht="15.75" customHeight="1">
      <c r="D360" s="8"/>
    </row>
    <row r="361" ht="15.75" customHeight="1">
      <c r="D361" s="8"/>
    </row>
    <row r="362" ht="15.75" customHeight="1">
      <c r="D362" s="8"/>
    </row>
    <row r="363" ht="15.75" customHeight="1">
      <c r="D363" s="8"/>
    </row>
    <row r="364" ht="15.75" customHeight="1">
      <c r="D364" s="8"/>
    </row>
    <row r="365" ht="15.75" customHeight="1">
      <c r="D365" s="8"/>
    </row>
    <row r="366" ht="15.75" customHeight="1">
      <c r="D366" s="8"/>
    </row>
    <row r="367" ht="15.75" customHeight="1">
      <c r="D367" s="8"/>
    </row>
    <row r="368" ht="15.75" customHeight="1">
      <c r="D368" s="8"/>
    </row>
    <row r="369" ht="15.75" customHeight="1">
      <c r="D369" s="8"/>
    </row>
    <row r="370" ht="15.75" customHeight="1">
      <c r="D370" s="8"/>
    </row>
    <row r="371" ht="15.75" customHeight="1">
      <c r="D371" s="8"/>
    </row>
    <row r="372" ht="15.75" customHeight="1">
      <c r="D372" s="8"/>
    </row>
    <row r="373" ht="15.75" customHeight="1">
      <c r="D373" s="8"/>
    </row>
    <row r="374" ht="15.75" customHeight="1">
      <c r="D374" s="8"/>
    </row>
    <row r="375" ht="15.75" customHeight="1">
      <c r="D375" s="8"/>
    </row>
    <row r="376" ht="15.75" customHeight="1">
      <c r="D376" s="8"/>
    </row>
    <row r="377" ht="15.75" customHeight="1">
      <c r="D377" s="8"/>
    </row>
    <row r="378" ht="15.75" customHeight="1">
      <c r="D378" s="8"/>
    </row>
    <row r="379" ht="15.75" customHeight="1">
      <c r="D379" s="8"/>
    </row>
    <row r="380" ht="15.75" customHeight="1">
      <c r="D380" s="8"/>
    </row>
    <row r="381" ht="15.75" customHeight="1">
      <c r="D381" s="8"/>
    </row>
    <row r="382" ht="15.75" customHeight="1">
      <c r="D382" s="8"/>
    </row>
    <row r="383" ht="15.75" customHeight="1">
      <c r="D383" s="8"/>
    </row>
    <row r="384" ht="15.75" customHeight="1">
      <c r="D384" s="8"/>
    </row>
    <row r="385" ht="15.75" customHeight="1">
      <c r="D385" s="8"/>
    </row>
    <row r="386" ht="15.75" customHeight="1">
      <c r="D386" s="8"/>
    </row>
    <row r="387" ht="15.75" customHeight="1">
      <c r="D387" s="8"/>
    </row>
    <row r="388" ht="15.75" customHeight="1">
      <c r="D388" s="8"/>
    </row>
    <row r="389" ht="15.75" customHeight="1">
      <c r="D389" s="8"/>
    </row>
    <row r="390" ht="15.75" customHeight="1">
      <c r="D390" s="8"/>
    </row>
    <row r="391" ht="15.75" customHeight="1">
      <c r="D391" s="8"/>
    </row>
    <row r="392" ht="15.75" customHeight="1">
      <c r="D392" s="8"/>
    </row>
    <row r="393" ht="15.75" customHeight="1">
      <c r="D393" s="8"/>
    </row>
    <row r="394" ht="15.75" customHeight="1">
      <c r="D394" s="8"/>
    </row>
    <row r="395" ht="15.75" customHeight="1">
      <c r="D395" s="8"/>
    </row>
    <row r="396" ht="15.75" customHeight="1">
      <c r="D396" s="8"/>
    </row>
    <row r="397" ht="15.75" customHeight="1">
      <c r="D397" s="8"/>
    </row>
    <row r="398" ht="15.75" customHeight="1">
      <c r="D398" s="8"/>
    </row>
    <row r="399" ht="15.75" customHeight="1">
      <c r="D399" s="8"/>
    </row>
    <row r="400" ht="15.75" customHeight="1">
      <c r="D400" s="8"/>
    </row>
    <row r="401" ht="15.75" customHeight="1">
      <c r="D401" s="8"/>
    </row>
    <row r="402" ht="15.75" customHeight="1">
      <c r="D402" s="8"/>
    </row>
    <row r="403" ht="15.75" customHeight="1">
      <c r="D403" s="8"/>
    </row>
    <row r="404" ht="15.75" customHeight="1">
      <c r="D404" s="8"/>
    </row>
    <row r="405" ht="15.75" customHeight="1">
      <c r="D405" s="8"/>
    </row>
    <row r="406" ht="15.75" customHeight="1">
      <c r="D406" s="8"/>
    </row>
    <row r="407" ht="15.75" customHeight="1">
      <c r="D407" s="8"/>
    </row>
    <row r="408" ht="15.75" customHeight="1">
      <c r="D408" s="8"/>
    </row>
    <row r="409" ht="15.75" customHeight="1">
      <c r="D409" s="8"/>
    </row>
    <row r="410" ht="15.75" customHeight="1">
      <c r="D410" s="8"/>
    </row>
    <row r="411" ht="15.75" customHeight="1">
      <c r="D411" s="8"/>
    </row>
    <row r="412" ht="15.75" customHeight="1">
      <c r="D412" s="8"/>
    </row>
    <row r="413" ht="15.75" customHeight="1">
      <c r="D413" s="8"/>
    </row>
    <row r="414" ht="15.75" customHeight="1">
      <c r="D414" s="8"/>
    </row>
    <row r="415" ht="15.75" customHeight="1">
      <c r="D415" s="8"/>
    </row>
    <row r="416" ht="15.75" customHeight="1">
      <c r="D416" s="8"/>
    </row>
    <row r="417" ht="15.75" customHeight="1">
      <c r="D417" s="8"/>
    </row>
    <row r="418" ht="15.75" customHeight="1">
      <c r="D418" s="8"/>
    </row>
    <row r="419" ht="15.75" customHeight="1">
      <c r="D419" s="8"/>
    </row>
    <row r="420" ht="15.75" customHeight="1">
      <c r="D420" s="8"/>
    </row>
    <row r="421" ht="15.75" customHeight="1">
      <c r="D421" s="8"/>
    </row>
    <row r="422" ht="15.75" customHeight="1">
      <c r="D422" s="8"/>
    </row>
    <row r="423" ht="15.75" customHeight="1">
      <c r="D423" s="8"/>
    </row>
    <row r="424" ht="15.75" customHeight="1">
      <c r="D424" s="8"/>
    </row>
    <row r="425" ht="15.75" customHeight="1">
      <c r="D425" s="8"/>
    </row>
    <row r="426" ht="15.75" customHeight="1">
      <c r="D426" s="8"/>
    </row>
    <row r="427" ht="15.75" customHeight="1">
      <c r="D427" s="8"/>
    </row>
    <row r="428" ht="15.75" customHeight="1">
      <c r="D428" s="8"/>
    </row>
    <row r="429" ht="15.75" customHeight="1">
      <c r="D429" s="8"/>
    </row>
    <row r="430" ht="15.75" customHeight="1">
      <c r="D430" s="8"/>
    </row>
    <row r="431" ht="15.75" customHeight="1">
      <c r="D431" s="8"/>
    </row>
    <row r="432" ht="15.75" customHeight="1">
      <c r="D432" s="8"/>
    </row>
    <row r="433" ht="15.75" customHeight="1">
      <c r="D433" s="8"/>
    </row>
    <row r="434" ht="15.75" customHeight="1">
      <c r="D434" s="8"/>
    </row>
    <row r="435" ht="15.75" customHeight="1">
      <c r="D435" s="8"/>
    </row>
    <row r="436" ht="15.75" customHeight="1">
      <c r="D436" s="8"/>
    </row>
    <row r="437" ht="15.75" customHeight="1">
      <c r="D437" s="8"/>
    </row>
    <row r="438" ht="15.75" customHeight="1">
      <c r="D438" s="8"/>
    </row>
    <row r="439" ht="15.75" customHeight="1">
      <c r="D439" s="8"/>
    </row>
    <row r="440" ht="15.75" customHeight="1">
      <c r="D440" s="8"/>
    </row>
    <row r="441" ht="15.75" customHeight="1">
      <c r="D441" s="8"/>
    </row>
    <row r="442" ht="15.75" customHeight="1">
      <c r="D442" s="8"/>
    </row>
    <row r="443" ht="15.75" customHeight="1">
      <c r="D443" s="8"/>
    </row>
    <row r="444" ht="15.75" customHeight="1">
      <c r="D444" s="8"/>
    </row>
    <row r="445" ht="15.75" customHeight="1">
      <c r="D445" s="8"/>
    </row>
    <row r="446" ht="15.75" customHeight="1">
      <c r="D446" s="8"/>
    </row>
    <row r="447" ht="15.75" customHeight="1">
      <c r="D447" s="8"/>
    </row>
    <row r="448" ht="15.75" customHeight="1">
      <c r="D448" s="8"/>
    </row>
    <row r="449" ht="15.75" customHeight="1">
      <c r="D449" s="8"/>
    </row>
    <row r="450" ht="15.75" customHeight="1">
      <c r="D450" s="8"/>
    </row>
    <row r="451" ht="15.75" customHeight="1">
      <c r="D451" s="8"/>
    </row>
    <row r="452" ht="15.75" customHeight="1">
      <c r="D452" s="8"/>
    </row>
    <row r="453" ht="15.75" customHeight="1">
      <c r="D453" s="8"/>
    </row>
    <row r="454" ht="15.75" customHeight="1">
      <c r="D454" s="8"/>
    </row>
    <row r="455" ht="15.75" customHeight="1">
      <c r="D455" s="8"/>
    </row>
    <row r="456" ht="15.75" customHeight="1">
      <c r="D456" s="8"/>
    </row>
    <row r="457" ht="15.75" customHeight="1">
      <c r="D457" s="8"/>
    </row>
    <row r="458" ht="15.75" customHeight="1">
      <c r="D458" s="8"/>
    </row>
    <row r="459" ht="15.75" customHeight="1">
      <c r="D459" s="8"/>
    </row>
    <row r="460" ht="15.75" customHeight="1">
      <c r="D460" s="8"/>
    </row>
    <row r="461" ht="15.75" customHeight="1">
      <c r="D461" s="8"/>
    </row>
    <row r="462" ht="15.75" customHeight="1">
      <c r="D462" s="8"/>
    </row>
    <row r="463" ht="15.75" customHeight="1">
      <c r="D463" s="8"/>
    </row>
    <row r="464" ht="15.75" customHeight="1">
      <c r="D464" s="8"/>
    </row>
    <row r="465" ht="15.75" customHeight="1">
      <c r="D465" s="8"/>
    </row>
    <row r="466" ht="15.75" customHeight="1">
      <c r="D466" s="8"/>
    </row>
    <row r="467" ht="15.75" customHeight="1">
      <c r="D467" s="8"/>
    </row>
    <row r="468" ht="15.75" customHeight="1">
      <c r="D468" s="8"/>
    </row>
    <row r="469" ht="15.75" customHeight="1">
      <c r="D469" s="8"/>
    </row>
    <row r="470" ht="15.75" customHeight="1">
      <c r="D470" s="8"/>
    </row>
    <row r="471" ht="15.75" customHeight="1">
      <c r="D471" s="8"/>
    </row>
    <row r="472" ht="15.75" customHeight="1">
      <c r="D472" s="8"/>
    </row>
    <row r="473" ht="15.75" customHeight="1">
      <c r="D473" s="8"/>
    </row>
    <row r="474" ht="15.75" customHeight="1">
      <c r="D474" s="8"/>
    </row>
    <row r="475" ht="15.75" customHeight="1">
      <c r="D475" s="8"/>
    </row>
    <row r="476" ht="15.75" customHeight="1">
      <c r="D476" s="8"/>
    </row>
    <row r="477" ht="15.75" customHeight="1">
      <c r="D477" s="8"/>
    </row>
    <row r="478" ht="15.75" customHeight="1">
      <c r="D478" s="8"/>
    </row>
    <row r="479" ht="15.75" customHeight="1">
      <c r="D479" s="8"/>
    </row>
    <row r="480" ht="15.75" customHeight="1">
      <c r="D480" s="8"/>
    </row>
    <row r="481" ht="15.75" customHeight="1">
      <c r="D481" s="8"/>
    </row>
    <row r="482" ht="15.75" customHeight="1">
      <c r="D482" s="8"/>
    </row>
    <row r="483" ht="15.75" customHeight="1">
      <c r="D483" s="8"/>
    </row>
    <row r="484" ht="15.75" customHeight="1">
      <c r="D484" s="8"/>
    </row>
    <row r="485" ht="15.75" customHeight="1">
      <c r="D485" s="8"/>
    </row>
    <row r="486" ht="15.75" customHeight="1">
      <c r="D486" s="8"/>
    </row>
    <row r="487" ht="15.75" customHeight="1">
      <c r="D487" s="8"/>
    </row>
    <row r="488" ht="15.75" customHeight="1">
      <c r="D488" s="8"/>
    </row>
    <row r="489" ht="15.75" customHeight="1">
      <c r="D489" s="8"/>
    </row>
    <row r="490" ht="15.75" customHeight="1">
      <c r="D490" s="8"/>
    </row>
    <row r="491" ht="15.75" customHeight="1">
      <c r="D491" s="8"/>
    </row>
    <row r="492" ht="15.75" customHeight="1">
      <c r="D492" s="8"/>
    </row>
    <row r="493" ht="15.75" customHeight="1">
      <c r="D493" s="8"/>
    </row>
    <row r="494" ht="15.75" customHeight="1">
      <c r="D494" s="8"/>
    </row>
    <row r="495" ht="15.75" customHeight="1">
      <c r="D495" s="8"/>
    </row>
    <row r="496" ht="15.75" customHeight="1">
      <c r="D496" s="8"/>
    </row>
    <row r="497" ht="15.75" customHeight="1">
      <c r="D497" s="8"/>
    </row>
    <row r="498" ht="15.75" customHeight="1">
      <c r="D498" s="8"/>
    </row>
    <row r="499" ht="15.75" customHeight="1">
      <c r="D499" s="8"/>
    </row>
    <row r="500" ht="15.75" customHeight="1">
      <c r="D500" s="8"/>
    </row>
    <row r="501" ht="15.75" customHeight="1">
      <c r="D501" s="8"/>
    </row>
    <row r="502" ht="15.75" customHeight="1">
      <c r="D502" s="8"/>
    </row>
    <row r="503" ht="15.75" customHeight="1">
      <c r="D503" s="8"/>
    </row>
    <row r="504" ht="15.75" customHeight="1">
      <c r="D504" s="8"/>
    </row>
    <row r="505" ht="15.75" customHeight="1">
      <c r="D505" s="8"/>
    </row>
    <row r="506" ht="15.75" customHeight="1">
      <c r="D506" s="8"/>
    </row>
    <row r="507" ht="15.75" customHeight="1">
      <c r="D507" s="8"/>
    </row>
    <row r="508" ht="15.75" customHeight="1">
      <c r="D508" s="8"/>
    </row>
    <row r="509" ht="15.75" customHeight="1">
      <c r="D509" s="8"/>
    </row>
    <row r="510" ht="15.75" customHeight="1">
      <c r="D510" s="8"/>
    </row>
    <row r="511" ht="15.75" customHeight="1">
      <c r="D511" s="8"/>
    </row>
    <row r="512" ht="15.75" customHeight="1">
      <c r="D512" s="8"/>
    </row>
    <row r="513" ht="15.75" customHeight="1">
      <c r="D513" s="8"/>
    </row>
    <row r="514" ht="15.75" customHeight="1">
      <c r="D514" s="8"/>
    </row>
    <row r="515" ht="15.75" customHeight="1">
      <c r="D515" s="8"/>
    </row>
    <row r="516" ht="15.75" customHeight="1">
      <c r="D516" s="8"/>
    </row>
    <row r="517" ht="15.75" customHeight="1">
      <c r="D517" s="8"/>
    </row>
    <row r="518" ht="15.75" customHeight="1">
      <c r="D518" s="8"/>
    </row>
    <row r="519" ht="15.75" customHeight="1">
      <c r="D519" s="8"/>
    </row>
    <row r="520" ht="15.75" customHeight="1">
      <c r="D520" s="8"/>
    </row>
    <row r="521" ht="15.75" customHeight="1">
      <c r="D521" s="8"/>
    </row>
    <row r="522" ht="15.75" customHeight="1">
      <c r="D522" s="8"/>
    </row>
    <row r="523" ht="15.75" customHeight="1">
      <c r="D523" s="8"/>
    </row>
    <row r="524" ht="15.75" customHeight="1">
      <c r="D524" s="8"/>
    </row>
    <row r="525" ht="15.75" customHeight="1">
      <c r="D525" s="8"/>
    </row>
    <row r="526" ht="15.75" customHeight="1">
      <c r="D526" s="8"/>
    </row>
    <row r="527" ht="15.75" customHeight="1">
      <c r="D527" s="8"/>
    </row>
    <row r="528" ht="15.75" customHeight="1">
      <c r="D528" s="8"/>
    </row>
    <row r="529" ht="15.75" customHeight="1">
      <c r="D529" s="8"/>
    </row>
    <row r="530" ht="15.75" customHeight="1">
      <c r="D530" s="8"/>
    </row>
    <row r="531" ht="15.75" customHeight="1">
      <c r="D531" s="8"/>
    </row>
    <row r="532" ht="15.75" customHeight="1">
      <c r="D532" s="8"/>
    </row>
    <row r="533" ht="15.75" customHeight="1">
      <c r="D533" s="8"/>
    </row>
    <row r="534" ht="15.75" customHeight="1">
      <c r="D534" s="8"/>
    </row>
    <row r="535" ht="15.75" customHeight="1">
      <c r="D535" s="8"/>
    </row>
    <row r="536" ht="15.75" customHeight="1">
      <c r="D536" s="8"/>
    </row>
    <row r="537" ht="15.75" customHeight="1">
      <c r="D537" s="8"/>
    </row>
    <row r="538" ht="15.75" customHeight="1">
      <c r="D538" s="8"/>
    </row>
    <row r="539" ht="15.75" customHeight="1">
      <c r="D539" s="8"/>
    </row>
    <row r="540" ht="15.75" customHeight="1">
      <c r="D540" s="8"/>
    </row>
    <row r="541" ht="15.75" customHeight="1">
      <c r="D541" s="8"/>
    </row>
    <row r="542" ht="15.75" customHeight="1">
      <c r="D542" s="8"/>
    </row>
    <row r="543" ht="15.75" customHeight="1">
      <c r="D543" s="8"/>
    </row>
    <row r="544" ht="15.75" customHeight="1">
      <c r="D544" s="8"/>
    </row>
    <row r="545" ht="15.75" customHeight="1">
      <c r="D545" s="8"/>
    </row>
    <row r="546" ht="15.75" customHeight="1">
      <c r="D546" s="8"/>
    </row>
    <row r="547" ht="15.75" customHeight="1">
      <c r="D547" s="8"/>
    </row>
    <row r="548" ht="15.75" customHeight="1">
      <c r="D548" s="8"/>
    </row>
    <row r="549" ht="15.75" customHeight="1">
      <c r="D549" s="8"/>
    </row>
    <row r="550" ht="15.75" customHeight="1">
      <c r="D550" s="8"/>
    </row>
    <row r="551" ht="15.75" customHeight="1">
      <c r="D551" s="8"/>
    </row>
    <row r="552" ht="15.75" customHeight="1">
      <c r="D552" s="8"/>
    </row>
    <row r="553" ht="15.75" customHeight="1">
      <c r="D553" s="8"/>
    </row>
    <row r="554" ht="15.75" customHeight="1">
      <c r="D554" s="8"/>
    </row>
    <row r="555" ht="15.75" customHeight="1">
      <c r="D555" s="8"/>
    </row>
    <row r="556" ht="15.75" customHeight="1">
      <c r="D556" s="8"/>
    </row>
    <row r="557" ht="15.75" customHeight="1">
      <c r="D557" s="8"/>
    </row>
    <row r="558" ht="15.75" customHeight="1">
      <c r="D558" s="8"/>
    </row>
    <row r="559" ht="15.75" customHeight="1">
      <c r="D559" s="8"/>
    </row>
    <row r="560" ht="15.75" customHeight="1">
      <c r="D560" s="8"/>
    </row>
    <row r="561" ht="15.75" customHeight="1">
      <c r="D561" s="8"/>
    </row>
    <row r="562" ht="15.75" customHeight="1">
      <c r="D562" s="8"/>
    </row>
    <row r="563" ht="15.75" customHeight="1">
      <c r="D563" s="8"/>
    </row>
    <row r="564" ht="15.75" customHeight="1">
      <c r="D564" s="8"/>
    </row>
    <row r="565" ht="15.75" customHeight="1">
      <c r="D565" s="8"/>
    </row>
    <row r="566" ht="15.75" customHeight="1">
      <c r="D566" s="8"/>
    </row>
    <row r="567" ht="15.75" customHeight="1">
      <c r="D567" s="8"/>
    </row>
    <row r="568" ht="15.75" customHeight="1">
      <c r="D568" s="8"/>
    </row>
    <row r="569" ht="15.75" customHeight="1">
      <c r="D569" s="8"/>
    </row>
    <row r="570" ht="15.75" customHeight="1">
      <c r="D570" s="8"/>
    </row>
    <row r="571" ht="15.75" customHeight="1">
      <c r="D571" s="8"/>
    </row>
    <row r="572" ht="15.75" customHeight="1">
      <c r="D572" s="8"/>
    </row>
    <row r="573" ht="15.75" customHeight="1">
      <c r="D573" s="8"/>
    </row>
    <row r="574" ht="15.75" customHeight="1">
      <c r="D574" s="8"/>
    </row>
    <row r="575" ht="15.75" customHeight="1">
      <c r="D575" s="8"/>
    </row>
    <row r="576" ht="15.75" customHeight="1">
      <c r="D576" s="8"/>
    </row>
    <row r="577" ht="15.75" customHeight="1">
      <c r="D577" s="8"/>
    </row>
    <row r="578" ht="15.75" customHeight="1">
      <c r="D578" s="8"/>
    </row>
    <row r="579" ht="15.75" customHeight="1">
      <c r="D579" s="8"/>
    </row>
    <row r="580" ht="15.75" customHeight="1">
      <c r="D580" s="8"/>
    </row>
    <row r="581" ht="15.75" customHeight="1">
      <c r="D581" s="8"/>
    </row>
    <row r="582" ht="15.75" customHeight="1">
      <c r="D582" s="8"/>
    </row>
    <row r="583" ht="15.75" customHeight="1">
      <c r="D583" s="8"/>
    </row>
    <row r="584" ht="15.75" customHeight="1">
      <c r="D584" s="8"/>
    </row>
    <row r="585" ht="15.75" customHeight="1">
      <c r="D585" s="8"/>
    </row>
    <row r="586" ht="15.75" customHeight="1">
      <c r="D586" s="8"/>
    </row>
    <row r="587" ht="15.75" customHeight="1">
      <c r="D587" s="8"/>
    </row>
    <row r="588" ht="15.75" customHeight="1">
      <c r="D588" s="8"/>
    </row>
    <row r="589" ht="15.75" customHeight="1">
      <c r="D589" s="8"/>
    </row>
    <row r="590" ht="15.75" customHeight="1">
      <c r="D590" s="8"/>
    </row>
    <row r="591" ht="15.75" customHeight="1">
      <c r="D591" s="8"/>
    </row>
    <row r="592" ht="15.75" customHeight="1">
      <c r="D592" s="8"/>
    </row>
    <row r="593" ht="15.75" customHeight="1">
      <c r="D593" s="8"/>
    </row>
    <row r="594" ht="15.75" customHeight="1">
      <c r="D594" s="8"/>
    </row>
    <row r="595" ht="15.75" customHeight="1">
      <c r="D595" s="8"/>
    </row>
    <row r="596" ht="15.75" customHeight="1">
      <c r="D596" s="8"/>
    </row>
    <row r="597" ht="15.75" customHeight="1">
      <c r="D597" s="8"/>
    </row>
    <row r="598" ht="15.75" customHeight="1">
      <c r="D598" s="8"/>
    </row>
    <row r="599" ht="15.75" customHeight="1">
      <c r="D599" s="8"/>
    </row>
    <row r="600" ht="15.75" customHeight="1">
      <c r="D600" s="8"/>
    </row>
    <row r="601" ht="15.75" customHeight="1">
      <c r="D601" s="8"/>
    </row>
    <row r="602" ht="15.75" customHeight="1">
      <c r="D602" s="8"/>
    </row>
    <row r="603" ht="15.75" customHeight="1">
      <c r="D603" s="8"/>
    </row>
    <row r="604" ht="15.75" customHeight="1">
      <c r="D604" s="8"/>
    </row>
    <row r="605" ht="15.75" customHeight="1">
      <c r="D605" s="8"/>
    </row>
    <row r="606" ht="15.75" customHeight="1">
      <c r="D606" s="8"/>
    </row>
    <row r="607" ht="15.75" customHeight="1">
      <c r="D607" s="8"/>
    </row>
    <row r="608" ht="15.75" customHeight="1">
      <c r="D608" s="8"/>
    </row>
    <row r="609" ht="15.75" customHeight="1">
      <c r="D609" s="8"/>
    </row>
    <row r="610" ht="15.75" customHeight="1">
      <c r="D610" s="8"/>
    </row>
    <row r="611" ht="15.75" customHeight="1">
      <c r="D611" s="8"/>
    </row>
    <row r="612" ht="15.75" customHeight="1">
      <c r="D612" s="8"/>
    </row>
    <row r="613" ht="15.75" customHeight="1">
      <c r="D613" s="8"/>
    </row>
    <row r="614" ht="15.75" customHeight="1">
      <c r="D614" s="8"/>
    </row>
    <row r="615" ht="15.75" customHeight="1">
      <c r="D615" s="8"/>
    </row>
    <row r="616" ht="15.75" customHeight="1">
      <c r="D616" s="8"/>
    </row>
    <row r="617" ht="15.75" customHeight="1">
      <c r="D617" s="8"/>
    </row>
    <row r="618" ht="15.75" customHeight="1">
      <c r="D618" s="8"/>
    </row>
    <row r="619" ht="15.75" customHeight="1">
      <c r="D619" s="8"/>
    </row>
    <row r="620" ht="15.75" customHeight="1">
      <c r="D620" s="8"/>
    </row>
    <row r="621" ht="15.75" customHeight="1">
      <c r="D621" s="8"/>
    </row>
    <row r="622" ht="15.75" customHeight="1">
      <c r="D622" s="8"/>
    </row>
    <row r="623" ht="15.75" customHeight="1">
      <c r="D623" s="8"/>
    </row>
    <row r="624" ht="15.75" customHeight="1">
      <c r="D624" s="8"/>
    </row>
    <row r="625" ht="15.75" customHeight="1">
      <c r="D625" s="8"/>
    </row>
    <row r="626" ht="15.75" customHeight="1">
      <c r="D626" s="8"/>
    </row>
    <row r="627" ht="15.75" customHeight="1">
      <c r="D627" s="8"/>
    </row>
    <row r="628" ht="15.75" customHeight="1">
      <c r="D628" s="8"/>
    </row>
    <row r="629" ht="15.75" customHeight="1">
      <c r="D629" s="8"/>
    </row>
    <row r="630" ht="15.75" customHeight="1">
      <c r="D630" s="8"/>
    </row>
    <row r="631" ht="15.75" customHeight="1">
      <c r="D631" s="8"/>
    </row>
    <row r="632" ht="15.75" customHeight="1">
      <c r="D632" s="8"/>
    </row>
    <row r="633" ht="15.75" customHeight="1">
      <c r="D633" s="8"/>
    </row>
    <row r="634" ht="15.75" customHeight="1">
      <c r="D634" s="8"/>
    </row>
    <row r="635" ht="15.75" customHeight="1">
      <c r="D635" s="8"/>
    </row>
    <row r="636" ht="15.75" customHeight="1">
      <c r="D636" s="8"/>
    </row>
    <row r="637" ht="15.75" customHeight="1">
      <c r="D637" s="8"/>
    </row>
    <row r="638" ht="15.75" customHeight="1">
      <c r="D638" s="8"/>
    </row>
    <row r="639" ht="15.75" customHeight="1">
      <c r="D639" s="8"/>
    </row>
    <row r="640" ht="15.75" customHeight="1">
      <c r="D640" s="8"/>
    </row>
    <row r="641" ht="15.75" customHeight="1">
      <c r="D641" s="8"/>
    </row>
    <row r="642" ht="15.75" customHeight="1">
      <c r="D642" s="8"/>
    </row>
    <row r="643" ht="15.75" customHeight="1">
      <c r="D643" s="8"/>
    </row>
    <row r="644" ht="15.75" customHeight="1">
      <c r="D644" s="8"/>
    </row>
    <row r="645" ht="15.75" customHeight="1">
      <c r="D645" s="8"/>
    </row>
    <row r="646" ht="15.75" customHeight="1">
      <c r="D646" s="8"/>
    </row>
    <row r="647" ht="15.75" customHeight="1">
      <c r="D647" s="8"/>
    </row>
    <row r="648" ht="15.75" customHeight="1">
      <c r="D648" s="8"/>
    </row>
    <row r="649" ht="15.75" customHeight="1">
      <c r="D649" s="8"/>
    </row>
    <row r="650" ht="15.75" customHeight="1">
      <c r="D650" s="8"/>
    </row>
    <row r="651" ht="15.75" customHeight="1">
      <c r="D651" s="8"/>
    </row>
    <row r="652" ht="15.75" customHeight="1">
      <c r="D652" s="8"/>
    </row>
    <row r="653" ht="15.75" customHeight="1">
      <c r="D653" s="8"/>
    </row>
    <row r="654" ht="15.75" customHeight="1">
      <c r="D654" s="8"/>
    </row>
    <row r="655" ht="15.75" customHeight="1">
      <c r="D655" s="8"/>
    </row>
    <row r="656" ht="15.75" customHeight="1">
      <c r="D656" s="8"/>
    </row>
    <row r="657" ht="15.75" customHeight="1">
      <c r="D657" s="8"/>
    </row>
    <row r="658" ht="15.75" customHeight="1">
      <c r="D658" s="8"/>
    </row>
    <row r="659" ht="15.75" customHeight="1">
      <c r="D659" s="8"/>
    </row>
    <row r="660" ht="15.75" customHeight="1">
      <c r="D660" s="8"/>
    </row>
    <row r="661" ht="15.75" customHeight="1">
      <c r="D661" s="8"/>
    </row>
    <row r="662" ht="15.75" customHeight="1">
      <c r="D662" s="8"/>
    </row>
    <row r="663" ht="15.75" customHeight="1">
      <c r="D663" s="8"/>
    </row>
    <row r="664" ht="15.75" customHeight="1">
      <c r="D664" s="8"/>
    </row>
    <row r="665" ht="15.75" customHeight="1">
      <c r="D665" s="8"/>
    </row>
    <row r="666" ht="15.75" customHeight="1">
      <c r="D666" s="8"/>
    </row>
    <row r="667" ht="15.75" customHeight="1">
      <c r="D667" s="8"/>
    </row>
    <row r="668" ht="15.75" customHeight="1">
      <c r="D668" s="8"/>
    </row>
    <row r="669" ht="15.75" customHeight="1">
      <c r="D669" s="8"/>
    </row>
    <row r="670" ht="15.75" customHeight="1">
      <c r="D670" s="8"/>
    </row>
    <row r="671" ht="15.75" customHeight="1">
      <c r="D671" s="8"/>
    </row>
    <row r="672" ht="15.75" customHeight="1">
      <c r="D672" s="8"/>
    </row>
    <row r="673" ht="15.75" customHeight="1">
      <c r="D673" s="8"/>
    </row>
    <row r="674" ht="15.75" customHeight="1">
      <c r="D674" s="8"/>
    </row>
    <row r="675" ht="15.75" customHeight="1">
      <c r="D675" s="8"/>
    </row>
    <row r="676" ht="15.75" customHeight="1">
      <c r="D676" s="8"/>
    </row>
    <row r="677" ht="15.75" customHeight="1">
      <c r="D677" s="8"/>
    </row>
    <row r="678" ht="15.75" customHeight="1">
      <c r="D678" s="8"/>
    </row>
    <row r="679" ht="15.75" customHeight="1">
      <c r="D679" s="8"/>
    </row>
    <row r="680" ht="15.75" customHeight="1">
      <c r="D680" s="8"/>
    </row>
    <row r="681" ht="15.75" customHeight="1">
      <c r="D681" s="8"/>
    </row>
    <row r="682" ht="15.75" customHeight="1">
      <c r="D682" s="8"/>
    </row>
    <row r="683" ht="15.75" customHeight="1">
      <c r="D683" s="8"/>
    </row>
    <row r="684" ht="15.75" customHeight="1">
      <c r="D684" s="8"/>
    </row>
    <row r="685" ht="15.75" customHeight="1">
      <c r="D685" s="8"/>
    </row>
    <row r="686" ht="15.75" customHeight="1">
      <c r="D686" s="8"/>
    </row>
    <row r="687" ht="15.75" customHeight="1">
      <c r="D687" s="8"/>
    </row>
    <row r="688" ht="15.75" customHeight="1">
      <c r="D688" s="8"/>
    </row>
    <row r="689" ht="15.75" customHeight="1">
      <c r="D689" s="8"/>
    </row>
    <row r="690" ht="15.75" customHeight="1">
      <c r="D690" s="8"/>
    </row>
    <row r="691" ht="15.75" customHeight="1">
      <c r="D691" s="8"/>
    </row>
    <row r="692" ht="15.75" customHeight="1">
      <c r="D692" s="8"/>
    </row>
    <row r="693" ht="15.75" customHeight="1">
      <c r="D693" s="8"/>
    </row>
    <row r="694" ht="15.75" customHeight="1">
      <c r="D694" s="8"/>
    </row>
    <row r="695" ht="15.75" customHeight="1">
      <c r="D695" s="8"/>
    </row>
    <row r="696" ht="15.75" customHeight="1">
      <c r="D696" s="8"/>
    </row>
    <row r="697" ht="15.75" customHeight="1">
      <c r="D697" s="8"/>
    </row>
    <row r="698" ht="15.75" customHeight="1">
      <c r="D698" s="8"/>
    </row>
    <row r="699" ht="15.75" customHeight="1">
      <c r="D699" s="8"/>
    </row>
    <row r="700" ht="15.75" customHeight="1">
      <c r="D700" s="8"/>
    </row>
    <row r="701" ht="15.75" customHeight="1">
      <c r="D701" s="8"/>
    </row>
    <row r="702" ht="15.75" customHeight="1">
      <c r="D702" s="8"/>
    </row>
    <row r="703" ht="15.75" customHeight="1">
      <c r="D703" s="8"/>
    </row>
    <row r="704" ht="15.75" customHeight="1">
      <c r="D704" s="8"/>
    </row>
    <row r="705" ht="15.75" customHeight="1">
      <c r="D705" s="8"/>
    </row>
    <row r="706" ht="15.75" customHeight="1">
      <c r="D706" s="8"/>
    </row>
    <row r="707" ht="15.75" customHeight="1">
      <c r="D707" s="8"/>
    </row>
    <row r="708" ht="15.75" customHeight="1">
      <c r="D708" s="8"/>
    </row>
    <row r="709" ht="15.75" customHeight="1">
      <c r="D709" s="8"/>
    </row>
    <row r="710" ht="15.75" customHeight="1">
      <c r="D710" s="8"/>
    </row>
    <row r="711" ht="15.75" customHeight="1">
      <c r="D711" s="8"/>
    </row>
    <row r="712" ht="15.75" customHeight="1">
      <c r="D712" s="8"/>
    </row>
    <row r="713" ht="15.75" customHeight="1">
      <c r="D713" s="8"/>
    </row>
    <row r="714" ht="15.75" customHeight="1">
      <c r="D714" s="8"/>
    </row>
    <row r="715" ht="15.75" customHeight="1">
      <c r="D715" s="8"/>
    </row>
    <row r="716" ht="15.75" customHeight="1">
      <c r="D716" s="8"/>
    </row>
    <row r="717" ht="15.75" customHeight="1">
      <c r="D717" s="8"/>
    </row>
    <row r="718" ht="15.75" customHeight="1">
      <c r="D718" s="8"/>
    </row>
    <row r="719" ht="15.75" customHeight="1">
      <c r="D719" s="8"/>
    </row>
    <row r="720" ht="15.75" customHeight="1">
      <c r="D720" s="8"/>
    </row>
    <row r="721" ht="15.75" customHeight="1">
      <c r="D721" s="8"/>
    </row>
    <row r="722" ht="15.75" customHeight="1">
      <c r="D722" s="8"/>
    </row>
    <row r="723" ht="15.75" customHeight="1">
      <c r="D723" s="8"/>
    </row>
    <row r="724" ht="15.75" customHeight="1">
      <c r="D724" s="8"/>
    </row>
    <row r="725" ht="15.75" customHeight="1">
      <c r="D725" s="8"/>
    </row>
    <row r="726" ht="15.75" customHeight="1">
      <c r="D726" s="8"/>
    </row>
    <row r="727" ht="15.75" customHeight="1">
      <c r="D727" s="8"/>
    </row>
    <row r="728" ht="15.75" customHeight="1">
      <c r="D728" s="8"/>
    </row>
    <row r="729" ht="15.75" customHeight="1">
      <c r="D729" s="8"/>
    </row>
    <row r="730" ht="15.75" customHeight="1">
      <c r="D730" s="8"/>
    </row>
    <row r="731" ht="15.75" customHeight="1">
      <c r="D731" s="8"/>
    </row>
    <row r="732" ht="15.75" customHeight="1">
      <c r="D732" s="8"/>
    </row>
    <row r="733" ht="15.75" customHeight="1">
      <c r="D733" s="8"/>
    </row>
    <row r="734" ht="15.75" customHeight="1">
      <c r="D734" s="8"/>
    </row>
    <row r="735" ht="15.75" customHeight="1">
      <c r="D735" s="8"/>
    </row>
    <row r="736" ht="15.75" customHeight="1">
      <c r="D736" s="8"/>
    </row>
    <row r="737" ht="15.75" customHeight="1">
      <c r="D737" s="8"/>
    </row>
    <row r="738" ht="15.75" customHeight="1">
      <c r="D738" s="8"/>
    </row>
    <row r="739" ht="15.75" customHeight="1">
      <c r="D739" s="8"/>
    </row>
    <row r="740" ht="15.75" customHeight="1">
      <c r="D740" s="8"/>
    </row>
    <row r="741" ht="15.75" customHeight="1">
      <c r="D741" s="8"/>
    </row>
    <row r="742" ht="15.75" customHeight="1">
      <c r="D742" s="8"/>
    </row>
    <row r="743" ht="15.75" customHeight="1">
      <c r="D743" s="8"/>
    </row>
    <row r="744" ht="15.75" customHeight="1">
      <c r="D744" s="8"/>
    </row>
    <row r="745" ht="15.75" customHeight="1">
      <c r="D745" s="8"/>
    </row>
    <row r="746" ht="15.75" customHeight="1">
      <c r="D746" s="8"/>
    </row>
    <row r="747" ht="15.75" customHeight="1">
      <c r="D747" s="8"/>
    </row>
    <row r="748" ht="15.75" customHeight="1">
      <c r="D748" s="8"/>
    </row>
    <row r="749" ht="15.75" customHeight="1">
      <c r="D749" s="8"/>
    </row>
    <row r="750" ht="15.75" customHeight="1">
      <c r="D750" s="8"/>
    </row>
    <row r="751" ht="15.75" customHeight="1">
      <c r="D751" s="8"/>
    </row>
    <row r="752" ht="15.75" customHeight="1">
      <c r="D752" s="8"/>
    </row>
    <row r="753" ht="15.75" customHeight="1">
      <c r="D753" s="8"/>
    </row>
    <row r="754" ht="15.75" customHeight="1">
      <c r="D754" s="8"/>
    </row>
    <row r="755" ht="15.75" customHeight="1">
      <c r="D755" s="8"/>
    </row>
    <row r="756" ht="15.75" customHeight="1">
      <c r="D756" s="8"/>
    </row>
    <row r="757" ht="15.75" customHeight="1">
      <c r="D757" s="8"/>
    </row>
    <row r="758" ht="15.75" customHeight="1">
      <c r="D758" s="8"/>
    </row>
    <row r="759" ht="15.75" customHeight="1">
      <c r="D759" s="8"/>
    </row>
    <row r="760" ht="15.75" customHeight="1">
      <c r="D760" s="8"/>
    </row>
    <row r="761" ht="15.75" customHeight="1">
      <c r="D761" s="8"/>
    </row>
    <row r="762" ht="15.75" customHeight="1">
      <c r="D762" s="8"/>
    </row>
    <row r="763" ht="15.75" customHeight="1">
      <c r="D763" s="8"/>
    </row>
    <row r="764" ht="15.75" customHeight="1">
      <c r="D764" s="8"/>
    </row>
    <row r="765" ht="15.75" customHeight="1">
      <c r="D765" s="8"/>
    </row>
    <row r="766" ht="15.75" customHeight="1">
      <c r="D766" s="8"/>
    </row>
    <row r="767" ht="15.75" customHeight="1">
      <c r="D767" s="8"/>
    </row>
    <row r="768" ht="15.75" customHeight="1">
      <c r="D768" s="8"/>
    </row>
    <row r="769" ht="15.75" customHeight="1">
      <c r="D769" s="8"/>
    </row>
    <row r="770" ht="15.75" customHeight="1">
      <c r="D770" s="8"/>
    </row>
    <row r="771" ht="15.75" customHeight="1">
      <c r="D771" s="8"/>
    </row>
    <row r="772" ht="15.75" customHeight="1">
      <c r="D772" s="8"/>
    </row>
    <row r="773" ht="15.75" customHeight="1">
      <c r="D773" s="8"/>
    </row>
    <row r="774" ht="15.75" customHeight="1">
      <c r="D774" s="8"/>
    </row>
    <row r="775" ht="15.75" customHeight="1">
      <c r="D775" s="8"/>
    </row>
    <row r="776" ht="15.75" customHeight="1">
      <c r="D776" s="8"/>
    </row>
    <row r="777" ht="15.75" customHeight="1">
      <c r="D777" s="8"/>
    </row>
    <row r="778" ht="15.75" customHeight="1">
      <c r="D778" s="8"/>
    </row>
    <row r="779" ht="15.75" customHeight="1">
      <c r="D779" s="8"/>
    </row>
    <row r="780" ht="15.75" customHeight="1">
      <c r="D780" s="8"/>
    </row>
    <row r="781" ht="15.75" customHeight="1">
      <c r="D781" s="8"/>
    </row>
    <row r="782" ht="15.75" customHeight="1">
      <c r="D782" s="8"/>
    </row>
    <row r="783" ht="15.75" customHeight="1">
      <c r="D783" s="8"/>
    </row>
    <row r="784" ht="15.75" customHeight="1">
      <c r="D784" s="8"/>
    </row>
    <row r="785" ht="15.75" customHeight="1">
      <c r="D785" s="8"/>
    </row>
    <row r="786" ht="15.75" customHeight="1">
      <c r="D786" s="8"/>
    </row>
    <row r="787" ht="15.75" customHeight="1">
      <c r="D787" s="8"/>
    </row>
    <row r="788" ht="15.75" customHeight="1">
      <c r="D788" s="8"/>
    </row>
    <row r="789" ht="15.75" customHeight="1">
      <c r="D789" s="8"/>
    </row>
    <row r="790" ht="15.75" customHeight="1">
      <c r="D790" s="8"/>
    </row>
    <row r="791" ht="15.75" customHeight="1">
      <c r="D791" s="8"/>
    </row>
    <row r="792" ht="15.75" customHeight="1">
      <c r="D792" s="8"/>
    </row>
    <row r="793" ht="15.75" customHeight="1">
      <c r="D793" s="8"/>
    </row>
    <row r="794" ht="15.75" customHeight="1">
      <c r="D794" s="8"/>
    </row>
    <row r="795" ht="15.75" customHeight="1">
      <c r="D795" s="8"/>
    </row>
    <row r="796" ht="15.75" customHeight="1">
      <c r="D796" s="8"/>
    </row>
    <row r="797" ht="15.75" customHeight="1">
      <c r="D797" s="8"/>
    </row>
    <row r="798" ht="15.75" customHeight="1">
      <c r="D798" s="8"/>
    </row>
    <row r="799" ht="15.75" customHeight="1">
      <c r="D799" s="8"/>
    </row>
    <row r="800" ht="15.75" customHeight="1">
      <c r="D800" s="8"/>
    </row>
    <row r="801" ht="15.75" customHeight="1">
      <c r="D801" s="8"/>
    </row>
    <row r="802" ht="15.75" customHeight="1">
      <c r="D802" s="8"/>
    </row>
    <row r="803" ht="15.75" customHeight="1">
      <c r="D803" s="8"/>
    </row>
    <row r="804" ht="15.75" customHeight="1">
      <c r="D804" s="8"/>
    </row>
    <row r="805" ht="15.75" customHeight="1">
      <c r="D805" s="8"/>
    </row>
    <row r="806" ht="15.75" customHeight="1">
      <c r="D806" s="8"/>
    </row>
    <row r="807" ht="15.75" customHeight="1">
      <c r="D807" s="8"/>
    </row>
    <row r="808" ht="15.75" customHeight="1">
      <c r="D808" s="8"/>
    </row>
    <row r="809" ht="15.75" customHeight="1">
      <c r="D809" s="8"/>
    </row>
    <row r="810" ht="15.75" customHeight="1">
      <c r="D810" s="8"/>
    </row>
    <row r="811" ht="15.75" customHeight="1">
      <c r="D811" s="8"/>
    </row>
    <row r="812" ht="15.75" customHeight="1">
      <c r="D812" s="8"/>
    </row>
    <row r="813" ht="15.75" customHeight="1">
      <c r="D813" s="8"/>
    </row>
    <row r="814" ht="15.75" customHeight="1">
      <c r="D814" s="8"/>
    </row>
    <row r="815" ht="15.75" customHeight="1">
      <c r="D815" s="8"/>
    </row>
    <row r="816" ht="15.75" customHeight="1">
      <c r="D816" s="8"/>
    </row>
    <row r="817" ht="15.75" customHeight="1">
      <c r="D817" s="8"/>
    </row>
    <row r="818" ht="15.75" customHeight="1">
      <c r="D818" s="8"/>
    </row>
    <row r="819" ht="15.75" customHeight="1">
      <c r="D819" s="8"/>
    </row>
    <row r="820" ht="15.75" customHeight="1">
      <c r="D820" s="8"/>
    </row>
    <row r="821" ht="15.75" customHeight="1">
      <c r="D821" s="8"/>
    </row>
    <row r="822" ht="15.75" customHeight="1">
      <c r="D822" s="8"/>
    </row>
    <row r="823" ht="15.75" customHeight="1">
      <c r="D823" s="8"/>
    </row>
    <row r="824" ht="15.75" customHeight="1">
      <c r="D824" s="8"/>
    </row>
    <row r="825" ht="15.75" customHeight="1">
      <c r="D825" s="8"/>
    </row>
    <row r="826" ht="15.75" customHeight="1">
      <c r="D826" s="8"/>
    </row>
    <row r="827" ht="15.75" customHeight="1">
      <c r="D827" s="8"/>
    </row>
    <row r="828" ht="15.75" customHeight="1">
      <c r="D828" s="8"/>
    </row>
    <row r="829" ht="15.75" customHeight="1">
      <c r="D829" s="8"/>
    </row>
    <row r="830" ht="15.75" customHeight="1">
      <c r="D830" s="8"/>
    </row>
    <row r="831" ht="15.75" customHeight="1">
      <c r="D831" s="8"/>
    </row>
    <row r="832" ht="15.75" customHeight="1">
      <c r="D832" s="8"/>
    </row>
    <row r="833" ht="15.75" customHeight="1">
      <c r="D833" s="8"/>
    </row>
    <row r="834" ht="15.75" customHeight="1">
      <c r="D834" s="8"/>
    </row>
    <row r="835" ht="15.75" customHeight="1">
      <c r="D835" s="8"/>
    </row>
    <row r="836" ht="15.75" customHeight="1">
      <c r="D836" s="8"/>
    </row>
    <row r="837" ht="15.75" customHeight="1">
      <c r="D837" s="8"/>
    </row>
    <row r="838" ht="15.75" customHeight="1">
      <c r="D838" s="8"/>
    </row>
    <row r="839" ht="15.75" customHeight="1">
      <c r="D839" s="8"/>
    </row>
    <row r="840" ht="15.75" customHeight="1">
      <c r="D840" s="8"/>
    </row>
    <row r="841" ht="15.75" customHeight="1">
      <c r="D841" s="8"/>
    </row>
    <row r="842" ht="15.75" customHeight="1">
      <c r="D842" s="8"/>
    </row>
    <row r="843" ht="15.75" customHeight="1">
      <c r="D843" s="8"/>
    </row>
    <row r="844" ht="15.75" customHeight="1">
      <c r="D844" s="8"/>
    </row>
    <row r="845" ht="15.75" customHeight="1">
      <c r="D845" s="8"/>
    </row>
    <row r="846" ht="15.75" customHeight="1">
      <c r="D846" s="8"/>
    </row>
    <row r="847" ht="15.75" customHeight="1">
      <c r="D847" s="8"/>
    </row>
    <row r="848" ht="15.75" customHeight="1">
      <c r="D848" s="8"/>
    </row>
    <row r="849" ht="15.75" customHeight="1">
      <c r="D849" s="8"/>
    </row>
    <row r="850" ht="15.75" customHeight="1">
      <c r="D850" s="8"/>
    </row>
    <row r="851" ht="15.75" customHeight="1">
      <c r="D851" s="8"/>
    </row>
    <row r="852" ht="15.75" customHeight="1">
      <c r="D852" s="8"/>
    </row>
    <row r="853" ht="15.75" customHeight="1">
      <c r="D853" s="8"/>
    </row>
    <row r="854" ht="15.75" customHeight="1">
      <c r="D854" s="8"/>
    </row>
    <row r="855" ht="15.75" customHeight="1">
      <c r="D855" s="8"/>
    </row>
    <row r="856" ht="15.75" customHeight="1">
      <c r="D856" s="8"/>
    </row>
    <row r="857" ht="15.75" customHeight="1">
      <c r="D857" s="8"/>
    </row>
    <row r="858" ht="15.75" customHeight="1">
      <c r="D858" s="8"/>
    </row>
    <row r="859" ht="15.75" customHeight="1">
      <c r="D859" s="8"/>
    </row>
    <row r="860" ht="15.75" customHeight="1">
      <c r="D860" s="8"/>
    </row>
    <row r="861" ht="15.75" customHeight="1">
      <c r="D861" s="8"/>
    </row>
    <row r="862" ht="15.75" customHeight="1">
      <c r="D862" s="8"/>
    </row>
    <row r="863" ht="15.75" customHeight="1">
      <c r="D863" s="8"/>
    </row>
    <row r="864" ht="15.75" customHeight="1">
      <c r="D864" s="8"/>
    </row>
    <row r="865" ht="15.75" customHeight="1">
      <c r="D865" s="8"/>
    </row>
    <row r="866" ht="15.75" customHeight="1">
      <c r="D866" s="8"/>
    </row>
    <row r="867" ht="15.75" customHeight="1">
      <c r="D867" s="8"/>
    </row>
    <row r="868" ht="15.75" customHeight="1">
      <c r="D868" s="8"/>
    </row>
    <row r="869" ht="15.75" customHeight="1">
      <c r="D869" s="8"/>
    </row>
    <row r="870" ht="15.75" customHeight="1">
      <c r="D870" s="8"/>
    </row>
    <row r="871" ht="15.75" customHeight="1">
      <c r="D871" s="8"/>
    </row>
    <row r="872" ht="15.75" customHeight="1">
      <c r="D872" s="8"/>
    </row>
    <row r="873" ht="15.75" customHeight="1">
      <c r="D873" s="8"/>
    </row>
    <row r="874" ht="15.75" customHeight="1">
      <c r="D874" s="8"/>
    </row>
    <row r="875" ht="15.75" customHeight="1">
      <c r="D875" s="8"/>
    </row>
    <row r="876" ht="15.75" customHeight="1">
      <c r="D876" s="8"/>
    </row>
    <row r="877" ht="15.75" customHeight="1">
      <c r="D877" s="8"/>
    </row>
    <row r="878" ht="15.75" customHeight="1">
      <c r="D878" s="8"/>
    </row>
    <row r="879" ht="15.75" customHeight="1">
      <c r="D879" s="8"/>
    </row>
    <row r="880" ht="15.75" customHeight="1">
      <c r="D880" s="8"/>
    </row>
    <row r="881" ht="15.75" customHeight="1">
      <c r="D881" s="8"/>
    </row>
    <row r="882" ht="15.75" customHeight="1">
      <c r="D882" s="8"/>
    </row>
    <row r="883" ht="15.75" customHeight="1">
      <c r="D883" s="8"/>
    </row>
    <row r="884" ht="15.75" customHeight="1">
      <c r="D884" s="8"/>
    </row>
    <row r="885" ht="15.75" customHeight="1">
      <c r="D885" s="8"/>
    </row>
    <row r="886" ht="15.75" customHeight="1">
      <c r="D886" s="8"/>
    </row>
    <row r="887" ht="15.75" customHeight="1">
      <c r="D887" s="8"/>
    </row>
    <row r="888" ht="15.75" customHeight="1">
      <c r="D888" s="8"/>
    </row>
    <row r="889" ht="15.75" customHeight="1">
      <c r="D889" s="8"/>
    </row>
    <row r="890" ht="15.75" customHeight="1">
      <c r="D890" s="8"/>
    </row>
    <row r="891" ht="15.75" customHeight="1">
      <c r="D891" s="8"/>
    </row>
    <row r="892" ht="15.75" customHeight="1">
      <c r="D892" s="8"/>
    </row>
    <row r="893" ht="15.75" customHeight="1">
      <c r="D893" s="8"/>
    </row>
    <row r="894" ht="15.75" customHeight="1">
      <c r="D894" s="8"/>
    </row>
    <row r="895" ht="15.75" customHeight="1">
      <c r="D895" s="8"/>
    </row>
    <row r="896" ht="15.75" customHeight="1">
      <c r="D896" s="8"/>
    </row>
    <row r="897" ht="15.75" customHeight="1">
      <c r="D897" s="8"/>
    </row>
    <row r="898" ht="15.75" customHeight="1">
      <c r="D898" s="8"/>
    </row>
    <row r="899" ht="15.75" customHeight="1">
      <c r="D899" s="8"/>
    </row>
    <row r="900" ht="15.75" customHeight="1">
      <c r="D900" s="8"/>
    </row>
    <row r="901" ht="15.75" customHeight="1">
      <c r="D901" s="8"/>
    </row>
    <row r="902" ht="15.75" customHeight="1">
      <c r="D902" s="8"/>
    </row>
    <row r="903" ht="15.75" customHeight="1">
      <c r="D903" s="8"/>
    </row>
    <row r="904" ht="15.75" customHeight="1">
      <c r="D904" s="8"/>
    </row>
    <row r="905" ht="15.75" customHeight="1">
      <c r="D905" s="8"/>
    </row>
    <row r="906" ht="15.75" customHeight="1">
      <c r="D906" s="8"/>
    </row>
    <row r="907" ht="15.75" customHeight="1">
      <c r="D907" s="8"/>
    </row>
    <row r="908" ht="15.75" customHeight="1">
      <c r="D908" s="8"/>
    </row>
    <row r="909" ht="15.75" customHeight="1">
      <c r="D909" s="8"/>
    </row>
    <row r="910" ht="15.75" customHeight="1">
      <c r="D910" s="8"/>
    </row>
    <row r="911" ht="15.75" customHeight="1">
      <c r="D911" s="8"/>
    </row>
    <row r="912" ht="15.75" customHeight="1">
      <c r="D912" s="8"/>
    </row>
    <row r="913" ht="15.75" customHeight="1">
      <c r="D913" s="8"/>
    </row>
    <row r="914" ht="15.75" customHeight="1">
      <c r="D914" s="8"/>
    </row>
    <row r="915" ht="15.75" customHeight="1">
      <c r="D915" s="8"/>
    </row>
    <row r="916" ht="15.75" customHeight="1">
      <c r="D916" s="8"/>
    </row>
    <row r="917" ht="15.75" customHeight="1">
      <c r="D917" s="8"/>
    </row>
    <row r="918" ht="15.75" customHeight="1">
      <c r="D918" s="8"/>
    </row>
    <row r="919" ht="15.75" customHeight="1">
      <c r="D919" s="8"/>
    </row>
    <row r="920" ht="15.75" customHeight="1">
      <c r="D920" s="8"/>
    </row>
    <row r="921" ht="15.75" customHeight="1">
      <c r="D921" s="8"/>
    </row>
    <row r="922" ht="15.75" customHeight="1">
      <c r="D922" s="8"/>
    </row>
    <row r="923" ht="15.75" customHeight="1">
      <c r="D923" s="8"/>
    </row>
    <row r="924" ht="15.75" customHeight="1">
      <c r="D924" s="8"/>
    </row>
    <row r="925" ht="15.75" customHeight="1">
      <c r="D925" s="8"/>
    </row>
    <row r="926" ht="15.75" customHeight="1">
      <c r="D926" s="8"/>
    </row>
    <row r="927" ht="15.75" customHeight="1">
      <c r="D927" s="8"/>
    </row>
    <row r="928" ht="15.75" customHeight="1">
      <c r="D928" s="8"/>
    </row>
    <row r="929" ht="15.75" customHeight="1">
      <c r="D929" s="8"/>
    </row>
    <row r="930" ht="15.75" customHeight="1">
      <c r="D930" s="8"/>
    </row>
    <row r="931" ht="15.75" customHeight="1">
      <c r="D931" s="8"/>
    </row>
    <row r="932" ht="15.75" customHeight="1">
      <c r="D932" s="8"/>
    </row>
    <row r="933" ht="15.75" customHeight="1">
      <c r="D933" s="8"/>
    </row>
    <row r="934" ht="15.75" customHeight="1">
      <c r="D934" s="8"/>
    </row>
    <row r="935" ht="15.75" customHeight="1">
      <c r="D935" s="8"/>
    </row>
    <row r="936" ht="15.75" customHeight="1">
      <c r="D936" s="8"/>
    </row>
    <row r="937" ht="15.75" customHeight="1">
      <c r="D937" s="8"/>
    </row>
    <row r="938" ht="15.75" customHeight="1">
      <c r="D938" s="8"/>
    </row>
    <row r="939" ht="15.75" customHeight="1">
      <c r="D939" s="8"/>
    </row>
    <row r="940" ht="15.75" customHeight="1">
      <c r="D940" s="8"/>
    </row>
    <row r="941" ht="15.75" customHeight="1">
      <c r="D941" s="8"/>
    </row>
    <row r="942" ht="15.75" customHeight="1">
      <c r="D942" s="8"/>
    </row>
    <row r="943" ht="15.75" customHeight="1">
      <c r="D943" s="8"/>
    </row>
    <row r="944" ht="15.75" customHeight="1">
      <c r="D944" s="8"/>
    </row>
    <row r="945" ht="15.75" customHeight="1">
      <c r="D945" s="8"/>
    </row>
    <row r="946" ht="15.75" customHeight="1">
      <c r="D946" s="8"/>
    </row>
    <row r="947" ht="15.75" customHeight="1">
      <c r="D947" s="8"/>
    </row>
    <row r="948" ht="15.75" customHeight="1">
      <c r="D948" s="8"/>
    </row>
    <row r="949" ht="15.75" customHeight="1">
      <c r="D949" s="8"/>
    </row>
    <row r="950" ht="15.75" customHeight="1">
      <c r="D950" s="8"/>
    </row>
    <row r="951" ht="15.75" customHeight="1">
      <c r="D951" s="8"/>
    </row>
    <row r="952" ht="15.75" customHeight="1">
      <c r="D952" s="8"/>
    </row>
    <row r="953" ht="15.75" customHeight="1">
      <c r="D953" s="8"/>
    </row>
    <row r="954" ht="15.75" customHeight="1">
      <c r="D954" s="8"/>
    </row>
    <row r="955" ht="15.75" customHeight="1">
      <c r="D955" s="8"/>
    </row>
    <row r="956" ht="15.75" customHeight="1">
      <c r="D956" s="8"/>
    </row>
    <row r="957" ht="15.75" customHeight="1">
      <c r="D957" s="8"/>
    </row>
    <row r="958" ht="15.75" customHeight="1">
      <c r="D958" s="8"/>
    </row>
    <row r="959" ht="15.75" customHeight="1">
      <c r="D959" s="8"/>
    </row>
    <row r="960" ht="15.75" customHeight="1">
      <c r="D960" s="8"/>
    </row>
    <row r="961" ht="15.75" customHeight="1">
      <c r="D961" s="8"/>
    </row>
    <row r="962" ht="15.75" customHeight="1">
      <c r="D962" s="8"/>
    </row>
    <row r="963" ht="15.75" customHeight="1">
      <c r="D963" s="8"/>
    </row>
    <row r="964" ht="15.75" customHeight="1">
      <c r="D964" s="8"/>
    </row>
    <row r="965" ht="15.75" customHeight="1">
      <c r="D965" s="8"/>
    </row>
    <row r="966" ht="15.75" customHeight="1">
      <c r="D966" s="8"/>
    </row>
    <row r="967" ht="15.75" customHeight="1">
      <c r="D967" s="8"/>
    </row>
    <row r="968" ht="15.75" customHeight="1">
      <c r="D968" s="8"/>
    </row>
    <row r="969" ht="15.75" customHeight="1">
      <c r="D969" s="8"/>
    </row>
    <row r="970" ht="15.75" customHeight="1">
      <c r="D970" s="8"/>
    </row>
    <row r="971" ht="15.75" customHeight="1">
      <c r="D971" s="8"/>
    </row>
    <row r="972" ht="15.75" customHeight="1">
      <c r="D972" s="8"/>
    </row>
    <row r="973" ht="15.75" customHeight="1">
      <c r="D973" s="8"/>
    </row>
    <row r="974" ht="15.75" customHeight="1">
      <c r="D974" s="8"/>
    </row>
    <row r="975" ht="15.75" customHeight="1">
      <c r="D975" s="8"/>
    </row>
    <row r="976" ht="15.75" customHeight="1">
      <c r="D976" s="8"/>
    </row>
    <row r="977" ht="15.75" customHeight="1">
      <c r="D977" s="8"/>
    </row>
    <row r="978" ht="15.75" customHeight="1">
      <c r="D978" s="8"/>
    </row>
    <row r="979" ht="15.75" customHeight="1">
      <c r="D979" s="8"/>
    </row>
    <row r="980" ht="15.75" customHeight="1">
      <c r="D980" s="8"/>
    </row>
    <row r="981" ht="15.75" customHeight="1">
      <c r="D981" s="8"/>
    </row>
    <row r="982" ht="15.75" customHeight="1">
      <c r="D982" s="8"/>
    </row>
    <row r="983" ht="15.75" customHeight="1">
      <c r="D983" s="8"/>
    </row>
    <row r="984" ht="15.75" customHeight="1">
      <c r="D984" s="8"/>
    </row>
    <row r="985" ht="15.75" customHeight="1">
      <c r="D985" s="8"/>
    </row>
    <row r="986" ht="15.75" customHeight="1">
      <c r="D986" s="8"/>
    </row>
    <row r="987" ht="15.75" customHeight="1">
      <c r="D987" s="8"/>
    </row>
    <row r="988" ht="15.75" customHeight="1">
      <c r="D988" s="8"/>
    </row>
    <row r="989" ht="15.75" customHeight="1">
      <c r="D989" s="8"/>
    </row>
    <row r="990" ht="15.75" customHeight="1">
      <c r="D990" s="8"/>
    </row>
    <row r="991" ht="15.75" customHeight="1">
      <c r="D991" s="8"/>
    </row>
    <row r="992" ht="15.75" customHeight="1">
      <c r="D992" s="8"/>
    </row>
    <row r="993" ht="15.75" customHeight="1">
      <c r="D993" s="8"/>
    </row>
    <row r="994" ht="15.75" customHeight="1">
      <c r="D994" s="8"/>
    </row>
    <row r="995" ht="15.75" customHeight="1">
      <c r="D995" s="8"/>
    </row>
    <row r="996" ht="15.75" customHeight="1">
      <c r="D996" s="8"/>
    </row>
    <row r="997" ht="15.75" customHeight="1">
      <c r="D997" s="8"/>
    </row>
    <row r="998" ht="15.75" customHeight="1">
      <c r="D998" s="8"/>
    </row>
    <row r="999" ht="15.75" customHeight="1">
      <c r="D999" s="8"/>
    </row>
    <row r="1000" ht="15.75" customHeight="1">
      <c r="D1000" s="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89"/>
    <col customWidth="1" min="2" max="2" width="15.22"/>
    <col customWidth="1" min="3" max="9" width="11.89"/>
    <col customWidth="1" min="10" max="10" width="14.89"/>
    <col customWidth="1" min="11" max="11" width="12.78"/>
    <col customWidth="1" min="12" max="16" width="11.89"/>
    <col customWidth="1" min="17" max="17" width="10.33"/>
    <col customWidth="1" min="18" max="18" width="8.56"/>
    <col customWidth="1" min="19" max="19" width="3.11"/>
    <col customWidth="1" min="20" max="25" width="5.67"/>
    <col customWidth="1" min="26" max="26" width="11.0"/>
  </cols>
  <sheetData>
    <row r="1" ht="15.75" customHeight="1">
      <c r="A1" s="2"/>
      <c r="T1" s="5"/>
      <c r="U1" s="5"/>
      <c r="V1" s="5"/>
      <c r="W1" s="5"/>
      <c r="X1" s="5"/>
      <c r="Y1" s="5"/>
    </row>
    <row r="2" ht="15.75" customHeight="1">
      <c r="T2" s="5"/>
      <c r="U2" s="5"/>
      <c r="V2" s="5"/>
      <c r="W2" s="5"/>
      <c r="X2" s="5"/>
      <c r="Y2" s="5"/>
    </row>
    <row r="3" ht="15.75" customHeight="1">
      <c r="J3" s="1" t="s">
        <v>60</v>
      </c>
      <c r="K3" s="1" t="s">
        <v>61</v>
      </c>
      <c r="T3" s="5"/>
      <c r="U3" s="5"/>
      <c r="V3" s="5"/>
      <c r="W3" s="5"/>
      <c r="X3" s="5"/>
      <c r="Y3" s="5"/>
    </row>
    <row r="4" ht="15.75" customHeight="1">
      <c r="T4" s="5"/>
      <c r="U4" s="5"/>
      <c r="V4" s="5"/>
      <c r="W4" s="5"/>
      <c r="X4" s="5"/>
      <c r="Y4" s="5"/>
    </row>
    <row r="5" ht="15.75" customHeight="1">
      <c r="J5" s="1" t="s">
        <v>55</v>
      </c>
      <c r="K5" s="1" t="s">
        <v>71</v>
      </c>
      <c r="T5" s="5"/>
      <c r="U5" s="5"/>
      <c r="V5" s="5"/>
      <c r="W5" s="5"/>
      <c r="X5" s="5"/>
      <c r="Y5" s="5"/>
    </row>
    <row r="6" ht="15.75" customHeight="1">
      <c r="J6" s="1" t="s">
        <v>72</v>
      </c>
      <c r="K6" s="1" t="s">
        <v>63</v>
      </c>
      <c r="L6" s="1" t="s">
        <v>64</v>
      </c>
      <c r="M6" s="1" t="s">
        <v>65</v>
      </c>
      <c r="N6" s="1" t="s">
        <v>66</v>
      </c>
      <c r="O6" s="1" t="s">
        <v>68</v>
      </c>
      <c r="P6" s="1" t="s">
        <v>69</v>
      </c>
      <c r="Q6" s="1" t="s">
        <v>70</v>
      </c>
      <c r="S6" s="9" t="s">
        <v>73</v>
      </c>
      <c r="T6" s="10" t="s">
        <v>63</v>
      </c>
      <c r="U6" s="10" t="s">
        <v>64</v>
      </c>
      <c r="V6" s="10" t="s">
        <v>65</v>
      </c>
      <c r="W6" s="10" t="s">
        <v>66</v>
      </c>
      <c r="X6" s="10" t="s">
        <v>68</v>
      </c>
      <c r="Y6" s="10" t="s">
        <v>69</v>
      </c>
      <c r="Z6" s="9" t="s">
        <v>70</v>
      </c>
    </row>
    <row r="7" ht="15.75" customHeight="1">
      <c r="J7" s="7">
        <v>1.0</v>
      </c>
      <c r="K7" s="2"/>
      <c r="L7" s="2"/>
      <c r="M7" s="2"/>
      <c r="N7" s="2">
        <v>21.0</v>
      </c>
      <c r="O7" s="2"/>
      <c r="P7" s="2">
        <v>15.0</v>
      </c>
      <c r="Q7" s="2">
        <v>36.0</v>
      </c>
      <c r="S7" s="9">
        <v>1.0</v>
      </c>
      <c r="T7" s="11">
        <f t="shared" ref="T7:Y7" si="1">K7/$Z$7</f>
        <v>0</v>
      </c>
      <c r="U7" s="11">
        <f t="shared" si="1"/>
        <v>0</v>
      </c>
      <c r="V7" s="11">
        <f t="shared" si="1"/>
        <v>0</v>
      </c>
      <c r="W7" s="11">
        <f t="shared" si="1"/>
        <v>0.5833333333</v>
      </c>
      <c r="X7" s="11">
        <f t="shared" si="1"/>
        <v>0</v>
      </c>
      <c r="Y7" s="11">
        <f t="shared" si="1"/>
        <v>0.4166666667</v>
      </c>
      <c r="Z7" s="1">
        <v>36.0</v>
      </c>
    </row>
    <row r="8" ht="15.75" customHeight="1">
      <c r="J8" s="7">
        <v>2.0</v>
      </c>
      <c r="K8" s="2"/>
      <c r="L8" s="2"/>
      <c r="M8" s="2">
        <v>3.0</v>
      </c>
      <c r="N8" s="2">
        <v>14.0</v>
      </c>
      <c r="O8" s="2">
        <v>3.0</v>
      </c>
      <c r="P8" s="2">
        <v>16.0</v>
      </c>
      <c r="Q8" s="2">
        <v>36.0</v>
      </c>
      <c r="S8" s="9">
        <v>2.0</v>
      </c>
      <c r="T8" s="11">
        <f t="shared" ref="T8:Y8" si="2">K8/$Z$7</f>
        <v>0</v>
      </c>
      <c r="U8" s="11">
        <f t="shared" si="2"/>
        <v>0</v>
      </c>
      <c r="V8" s="11">
        <f t="shared" si="2"/>
        <v>0.08333333333</v>
      </c>
      <c r="W8" s="11">
        <f t="shared" si="2"/>
        <v>0.3888888889</v>
      </c>
      <c r="X8" s="11">
        <f t="shared" si="2"/>
        <v>0.08333333333</v>
      </c>
      <c r="Y8" s="11">
        <f t="shared" si="2"/>
        <v>0.4444444444</v>
      </c>
      <c r="Z8" s="1">
        <v>36.0</v>
      </c>
    </row>
    <row r="9" ht="15.75" customHeight="1">
      <c r="J9" s="7">
        <v>3.0</v>
      </c>
      <c r="K9" s="2"/>
      <c r="L9" s="2"/>
      <c r="M9" s="2">
        <v>5.0</v>
      </c>
      <c r="N9" s="2">
        <v>13.0</v>
      </c>
      <c r="O9" s="2">
        <v>6.0</v>
      </c>
      <c r="P9" s="2">
        <v>12.0</v>
      </c>
      <c r="Q9" s="2">
        <v>36.0</v>
      </c>
      <c r="S9" s="9">
        <v>3.0</v>
      </c>
      <c r="T9" s="11">
        <f t="shared" ref="T9:Y9" si="3">K9/$Z$7</f>
        <v>0</v>
      </c>
      <c r="U9" s="11">
        <f t="shared" si="3"/>
        <v>0</v>
      </c>
      <c r="V9" s="11">
        <f t="shared" si="3"/>
        <v>0.1388888889</v>
      </c>
      <c r="W9" s="11">
        <f t="shared" si="3"/>
        <v>0.3611111111</v>
      </c>
      <c r="X9" s="11">
        <f t="shared" si="3"/>
        <v>0.1666666667</v>
      </c>
      <c r="Y9" s="11">
        <f t="shared" si="3"/>
        <v>0.3333333333</v>
      </c>
      <c r="Z9" s="1">
        <v>36.0</v>
      </c>
    </row>
    <row r="10" ht="15.75" customHeight="1">
      <c r="J10" s="7">
        <v>4.0</v>
      </c>
      <c r="K10" s="2"/>
      <c r="L10" s="2"/>
      <c r="M10" s="2">
        <v>2.0</v>
      </c>
      <c r="N10" s="2">
        <v>10.0</v>
      </c>
      <c r="O10" s="2">
        <v>3.0</v>
      </c>
      <c r="P10" s="2">
        <v>21.0</v>
      </c>
      <c r="Q10" s="2">
        <v>36.0</v>
      </c>
      <c r="S10" s="9">
        <v>4.0</v>
      </c>
      <c r="T10" s="11">
        <f t="shared" ref="T10:Y10" si="4">K10/$Z$7</f>
        <v>0</v>
      </c>
      <c r="U10" s="11">
        <f t="shared" si="4"/>
        <v>0</v>
      </c>
      <c r="V10" s="11">
        <f t="shared" si="4"/>
        <v>0.05555555556</v>
      </c>
      <c r="W10" s="11">
        <f t="shared" si="4"/>
        <v>0.2777777778</v>
      </c>
      <c r="X10" s="11">
        <f t="shared" si="4"/>
        <v>0.08333333333</v>
      </c>
      <c r="Y10" s="11">
        <f t="shared" si="4"/>
        <v>0.5833333333</v>
      </c>
      <c r="Z10" s="1">
        <v>36.0</v>
      </c>
    </row>
    <row r="11" ht="15.75" customHeight="1">
      <c r="J11" s="7">
        <v>5.0</v>
      </c>
      <c r="K11" s="2"/>
      <c r="L11" s="2"/>
      <c r="M11" s="2">
        <v>3.0</v>
      </c>
      <c r="N11" s="2">
        <v>13.0</v>
      </c>
      <c r="O11" s="2">
        <v>2.0</v>
      </c>
      <c r="P11" s="2">
        <v>18.0</v>
      </c>
      <c r="Q11" s="2">
        <v>36.0</v>
      </c>
      <c r="S11" s="9">
        <v>5.0</v>
      </c>
      <c r="T11" s="11">
        <f t="shared" ref="T11:Y11" si="5">K11/$Z$7</f>
        <v>0</v>
      </c>
      <c r="U11" s="11">
        <f t="shared" si="5"/>
        <v>0</v>
      </c>
      <c r="V11" s="11">
        <f t="shared" si="5"/>
        <v>0.08333333333</v>
      </c>
      <c r="W11" s="11">
        <f t="shared" si="5"/>
        <v>0.3611111111</v>
      </c>
      <c r="X11" s="11">
        <f t="shared" si="5"/>
        <v>0.05555555556</v>
      </c>
      <c r="Y11" s="11">
        <f t="shared" si="5"/>
        <v>0.5</v>
      </c>
      <c r="Z11" s="1">
        <v>36.0</v>
      </c>
    </row>
    <row r="12" ht="15.75" customHeight="1">
      <c r="J12" s="7">
        <v>6.0</v>
      </c>
      <c r="K12" s="2"/>
      <c r="L12" s="2"/>
      <c r="M12" s="2">
        <v>6.0</v>
      </c>
      <c r="N12" s="2">
        <v>12.0</v>
      </c>
      <c r="O12" s="2">
        <v>3.0</v>
      </c>
      <c r="P12" s="2">
        <v>15.0</v>
      </c>
      <c r="Q12" s="2">
        <v>36.0</v>
      </c>
      <c r="S12" s="9">
        <v>6.0</v>
      </c>
      <c r="T12" s="11">
        <f t="shared" ref="T12:Y12" si="6">K12/$Z$7</f>
        <v>0</v>
      </c>
      <c r="U12" s="11">
        <f t="shared" si="6"/>
        <v>0</v>
      </c>
      <c r="V12" s="11">
        <f t="shared" si="6"/>
        <v>0.1666666667</v>
      </c>
      <c r="W12" s="11">
        <f t="shared" si="6"/>
        <v>0.3333333333</v>
      </c>
      <c r="X12" s="11">
        <f t="shared" si="6"/>
        <v>0.08333333333</v>
      </c>
      <c r="Y12" s="11">
        <f t="shared" si="6"/>
        <v>0.4166666667</v>
      </c>
      <c r="Z12" s="1">
        <v>36.0</v>
      </c>
    </row>
    <row r="13" ht="15.75" customHeight="1">
      <c r="J13" s="7">
        <v>7.0</v>
      </c>
      <c r="K13" s="2"/>
      <c r="L13" s="2"/>
      <c r="M13" s="2">
        <v>4.0</v>
      </c>
      <c r="N13" s="2">
        <v>10.0</v>
      </c>
      <c r="O13" s="2">
        <v>8.0</v>
      </c>
      <c r="P13" s="2">
        <v>14.0</v>
      </c>
      <c r="Q13" s="2">
        <v>36.0</v>
      </c>
      <c r="S13" s="9">
        <v>7.0</v>
      </c>
      <c r="T13" s="11">
        <f t="shared" ref="T13:Y13" si="7">K13/$Z$7</f>
        <v>0</v>
      </c>
      <c r="U13" s="11">
        <f t="shared" si="7"/>
        <v>0</v>
      </c>
      <c r="V13" s="11">
        <f t="shared" si="7"/>
        <v>0.1111111111</v>
      </c>
      <c r="W13" s="11">
        <f t="shared" si="7"/>
        <v>0.2777777778</v>
      </c>
      <c r="X13" s="11">
        <f t="shared" si="7"/>
        <v>0.2222222222</v>
      </c>
      <c r="Y13" s="11">
        <f t="shared" si="7"/>
        <v>0.3888888889</v>
      </c>
      <c r="Z13" s="1">
        <v>36.0</v>
      </c>
    </row>
    <row r="14" ht="15.75" customHeight="1">
      <c r="J14" s="7">
        <v>8.0</v>
      </c>
      <c r="K14" s="2">
        <v>4.0</v>
      </c>
      <c r="L14" s="2"/>
      <c r="M14" s="2">
        <v>6.0</v>
      </c>
      <c r="N14" s="2">
        <v>14.0</v>
      </c>
      <c r="O14" s="2">
        <v>2.0</v>
      </c>
      <c r="P14" s="2">
        <v>10.0</v>
      </c>
      <c r="Q14" s="2">
        <v>36.0</v>
      </c>
      <c r="S14" s="9">
        <v>8.0</v>
      </c>
      <c r="T14" s="11">
        <f t="shared" ref="T14:Y14" si="8">K14/$Z$7</f>
        <v>0.1111111111</v>
      </c>
      <c r="U14" s="11">
        <f t="shared" si="8"/>
        <v>0</v>
      </c>
      <c r="V14" s="11">
        <f t="shared" si="8"/>
        <v>0.1666666667</v>
      </c>
      <c r="W14" s="11">
        <f t="shared" si="8"/>
        <v>0.3888888889</v>
      </c>
      <c r="X14" s="11">
        <f t="shared" si="8"/>
        <v>0.05555555556</v>
      </c>
      <c r="Y14" s="11">
        <f t="shared" si="8"/>
        <v>0.2777777778</v>
      </c>
      <c r="Z14" s="1">
        <v>36.0</v>
      </c>
    </row>
    <row r="15" ht="15.75" customHeight="1">
      <c r="J15" s="7">
        <v>9.0</v>
      </c>
      <c r="K15" s="2">
        <v>5.0</v>
      </c>
      <c r="L15" s="2">
        <v>1.0</v>
      </c>
      <c r="M15" s="2">
        <v>5.0</v>
      </c>
      <c r="N15" s="2">
        <v>8.0</v>
      </c>
      <c r="O15" s="2">
        <v>3.0</v>
      </c>
      <c r="P15" s="2">
        <v>14.0</v>
      </c>
      <c r="Q15" s="2">
        <v>36.0</v>
      </c>
      <c r="S15" s="9">
        <v>9.0</v>
      </c>
      <c r="T15" s="11">
        <f t="shared" ref="T15:Y15" si="9">K15/$Z$7</f>
        <v>0.1388888889</v>
      </c>
      <c r="U15" s="11">
        <f t="shared" si="9"/>
        <v>0.02777777778</v>
      </c>
      <c r="V15" s="11">
        <f t="shared" si="9"/>
        <v>0.1388888889</v>
      </c>
      <c r="W15" s="11">
        <f t="shared" si="9"/>
        <v>0.2222222222</v>
      </c>
      <c r="X15" s="11">
        <f t="shared" si="9"/>
        <v>0.08333333333</v>
      </c>
      <c r="Y15" s="11">
        <f t="shared" si="9"/>
        <v>0.3888888889</v>
      </c>
      <c r="Z15" s="1">
        <v>36.0</v>
      </c>
    </row>
    <row r="16" ht="15.75" customHeight="1">
      <c r="J16" s="7">
        <v>10.0</v>
      </c>
      <c r="K16" s="2">
        <v>5.0</v>
      </c>
      <c r="L16" s="2">
        <v>2.0</v>
      </c>
      <c r="M16" s="2">
        <v>3.0</v>
      </c>
      <c r="N16" s="2">
        <v>9.0</v>
      </c>
      <c r="O16" s="2">
        <v>9.0</v>
      </c>
      <c r="P16" s="2">
        <v>8.0</v>
      </c>
      <c r="Q16" s="2">
        <v>36.0</v>
      </c>
      <c r="S16" s="9">
        <v>10.0</v>
      </c>
      <c r="T16" s="11">
        <f t="shared" ref="T16:Y16" si="10">K16/$Z$7</f>
        <v>0.1388888889</v>
      </c>
      <c r="U16" s="11">
        <f t="shared" si="10"/>
        <v>0.05555555556</v>
      </c>
      <c r="V16" s="11">
        <f t="shared" si="10"/>
        <v>0.08333333333</v>
      </c>
      <c r="W16" s="11">
        <f t="shared" si="10"/>
        <v>0.25</v>
      </c>
      <c r="X16" s="11">
        <f t="shared" si="10"/>
        <v>0.25</v>
      </c>
      <c r="Y16" s="11">
        <f t="shared" si="10"/>
        <v>0.2222222222</v>
      </c>
      <c r="Z16" s="1">
        <v>36.0</v>
      </c>
    </row>
    <row r="17" ht="15.75" customHeight="1">
      <c r="J17" s="7">
        <v>11.0</v>
      </c>
      <c r="K17" s="2">
        <v>4.0</v>
      </c>
      <c r="L17" s="2">
        <v>5.0</v>
      </c>
      <c r="M17" s="2">
        <v>2.0</v>
      </c>
      <c r="N17" s="2">
        <v>10.0</v>
      </c>
      <c r="O17" s="2">
        <v>3.0</v>
      </c>
      <c r="P17" s="2">
        <v>12.0</v>
      </c>
      <c r="Q17" s="2">
        <v>36.0</v>
      </c>
      <c r="S17" s="9">
        <v>11.0</v>
      </c>
      <c r="T17" s="11">
        <f t="shared" ref="T17:Y17" si="11">K17/$Z$7</f>
        <v>0.1111111111</v>
      </c>
      <c r="U17" s="11">
        <f t="shared" si="11"/>
        <v>0.1388888889</v>
      </c>
      <c r="V17" s="11">
        <f t="shared" si="11"/>
        <v>0.05555555556</v>
      </c>
      <c r="W17" s="11">
        <f t="shared" si="11"/>
        <v>0.2777777778</v>
      </c>
      <c r="X17" s="11">
        <f t="shared" si="11"/>
        <v>0.08333333333</v>
      </c>
      <c r="Y17" s="11">
        <f t="shared" si="11"/>
        <v>0.3333333333</v>
      </c>
      <c r="Z17" s="1">
        <v>36.0</v>
      </c>
    </row>
    <row r="18" ht="15.75" customHeight="1">
      <c r="J18" s="7">
        <v>12.0</v>
      </c>
      <c r="K18" s="2">
        <v>8.0</v>
      </c>
      <c r="L18" s="2">
        <v>6.0</v>
      </c>
      <c r="M18" s="2">
        <v>6.0</v>
      </c>
      <c r="N18" s="2">
        <v>7.0</v>
      </c>
      <c r="O18" s="2">
        <v>2.0</v>
      </c>
      <c r="P18" s="2">
        <v>7.0</v>
      </c>
      <c r="Q18" s="2">
        <v>36.0</v>
      </c>
      <c r="S18" s="9">
        <v>12.0</v>
      </c>
      <c r="T18" s="11">
        <f t="shared" ref="T18:Y18" si="12">K18/$Z$7</f>
        <v>0.2222222222</v>
      </c>
      <c r="U18" s="11">
        <f t="shared" si="12"/>
        <v>0.1666666667</v>
      </c>
      <c r="V18" s="11">
        <f t="shared" si="12"/>
        <v>0.1666666667</v>
      </c>
      <c r="W18" s="11">
        <f t="shared" si="12"/>
        <v>0.1944444444</v>
      </c>
      <c r="X18" s="11">
        <f t="shared" si="12"/>
        <v>0.05555555556</v>
      </c>
      <c r="Y18" s="11">
        <f t="shared" si="12"/>
        <v>0.1944444444</v>
      </c>
      <c r="Z18" s="1">
        <v>36.0</v>
      </c>
    </row>
    <row r="19" ht="15.75" customHeight="1">
      <c r="J19" s="7">
        <v>13.0</v>
      </c>
      <c r="K19" s="2">
        <v>3.0</v>
      </c>
      <c r="L19" s="2">
        <v>4.0</v>
      </c>
      <c r="M19" s="2">
        <v>5.0</v>
      </c>
      <c r="N19" s="2">
        <v>11.0</v>
      </c>
      <c r="O19" s="2">
        <v>5.0</v>
      </c>
      <c r="P19" s="2">
        <v>8.0</v>
      </c>
      <c r="Q19" s="2">
        <v>36.0</v>
      </c>
      <c r="S19" s="9">
        <v>13.0</v>
      </c>
      <c r="T19" s="11">
        <f t="shared" ref="T19:Y19" si="13">K19/$Z$7</f>
        <v>0.08333333333</v>
      </c>
      <c r="U19" s="11">
        <f t="shared" si="13"/>
        <v>0.1111111111</v>
      </c>
      <c r="V19" s="11">
        <f t="shared" si="13"/>
        <v>0.1388888889</v>
      </c>
      <c r="W19" s="11">
        <f t="shared" si="13"/>
        <v>0.3055555556</v>
      </c>
      <c r="X19" s="11">
        <f t="shared" si="13"/>
        <v>0.1388888889</v>
      </c>
      <c r="Y19" s="11">
        <f t="shared" si="13"/>
        <v>0.2222222222</v>
      </c>
      <c r="Z19" s="1">
        <v>36.0</v>
      </c>
    </row>
    <row r="20" ht="15.75" customHeight="1">
      <c r="J20" s="7">
        <v>14.0</v>
      </c>
      <c r="K20" s="2">
        <v>6.0</v>
      </c>
      <c r="L20" s="2">
        <v>6.0</v>
      </c>
      <c r="M20" s="2">
        <v>5.0</v>
      </c>
      <c r="N20" s="2">
        <v>4.0</v>
      </c>
      <c r="O20" s="2">
        <v>2.0</v>
      </c>
      <c r="P20" s="2">
        <v>13.0</v>
      </c>
      <c r="Q20" s="2">
        <v>36.0</v>
      </c>
      <c r="S20" s="9">
        <v>14.0</v>
      </c>
      <c r="T20" s="11">
        <f t="shared" ref="T20:Y20" si="14">K20/$Z$7</f>
        <v>0.1666666667</v>
      </c>
      <c r="U20" s="11">
        <f t="shared" si="14"/>
        <v>0.1666666667</v>
      </c>
      <c r="V20" s="11">
        <f t="shared" si="14"/>
        <v>0.1388888889</v>
      </c>
      <c r="W20" s="11">
        <f t="shared" si="14"/>
        <v>0.1111111111</v>
      </c>
      <c r="X20" s="11">
        <f t="shared" si="14"/>
        <v>0.05555555556</v>
      </c>
      <c r="Y20" s="11">
        <f t="shared" si="14"/>
        <v>0.3611111111</v>
      </c>
      <c r="Z20" s="1">
        <v>36.0</v>
      </c>
    </row>
    <row r="21" ht="15.75" customHeight="1">
      <c r="J21" s="7">
        <v>15.0</v>
      </c>
      <c r="K21" s="2">
        <v>3.0</v>
      </c>
      <c r="L21" s="2">
        <v>13.0</v>
      </c>
      <c r="M21" s="2">
        <v>2.0</v>
      </c>
      <c r="N21" s="2">
        <v>5.0</v>
      </c>
      <c r="O21" s="2">
        <v>9.0</v>
      </c>
      <c r="P21" s="2">
        <v>4.0</v>
      </c>
      <c r="Q21" s="2">
        <v>36.0</v>
      </c>
      <c r="S21" s="9">
        <v>15.0</v>
      </c>
      <c r="T21" s="11">
        <f t="shared" ref="T21:Y21" si="15">K21/$Z$7</f>
        <v>0.08333333333</v>
      </c>
      <c r="U21" s="11">
        <f t="shared" si="15"/>
        <v>0.3611111111</v>
      </c>
      <c r="V21" s="11">
        <f t="shared" si="15"/>
        <v>0.05555555556</v>
      </c>
      <c r="W21" s="11">
        <f t="shared" si="15"/>
        <v>0.1388888889</v>
      </c>
      <c r="X21" s="11">
        <f t="shared" si="15"/>
        <v>0.25</v>
      </c>
      <c r="Y21" s="11">
        <f t="shared" si="15"/>
        <v>0.1111111111</v>
      </c>
      <c r="Z21" s="1">
        <v>36.0</v>
      </c>
    </row>
    <row r="22" ht="15.75" customHeight="1">
      <c r="J22" s="7" t="s">
        <v>70</v>
      </c>
      <c r="K22" s="2">
        <v>38.0</v>
      </c>
      <c r="L22" s="2">
        <v>37.0</v>
      </c>
      <c r="M22" s="2">
        <v>57.0</v>
      </c>
      <c r="N22" s="2">
        <v>161.0</v>
      </c>
      <c r="O22" s="2">
        <v>60.0</v>
      </c>
      <c r="P22" s="2">
        <v>187.0</v>
      </c>
      <c r="Q22" s="2">
        <v>540.0</v>
      </c>
      <c r="T22" s="5"/>
      <c r="U22" s="5"/>
      <c r="V22" s="5"/>
      <c r="W22" s="5"/>
      <c r="X22" s="5"/>
      <c r="Y22" s="5"/>
    </row>
    <row r="23" ht="15.75" customHeight="1">
      <c r="T23" s="5"/>
      <c r="U23" s="5"/>
      <c r="V23" s="5"/>
      <c r="W23" s="5"/>
      <c r="X23" s="5"/>
      <c r="Y23" s="5"/>
    </row>
    <row r="24" ht="15.75" customHeight="1">
      <c r="T24" s="5"/>
      <c r="U24" s="5"/>
      <c r="V24" s="5"/>
      <c r="W24" s="5"/>
      <c r="X24" s="5"/>
      <c r="Y24" s="5"/>
    </row>
    <row r="25" ht="15.75" customHeight="1">
      <c r="T25" s="5"/>
      <c r="U25" s="5"/>
      <c r="V25" s="5"/>
      <c r="W25" s="5"/>
      <c r="X25" s="5"/>
      <c r="Y25" s="5"/>
    </row>
    <row r="26" ht="15.75" customHeight="1">
      <c r="T26" s="5"/>
      <c r="U26" s="5"/>
      <c r="V26" s="5"/>
      <c r="W26" s="5"/>
      <c r="X26" s="5"/>
      <c r="Y26" s="5"/>
    </row>
    <row r="27" ht="15.75" customHeight="1">
      <c r="T27" s="5"/>
      <c r="U27" s="5"/>
      <c r="V27" s="5"/>
      <c r="W27" s="5"/>
      <c r="X27" s="5"/>
      <c r="Y27" s="5"/>
    </row>
    <row r="28" ht="15.75" customHeight="1">
      <c r="T28" s="5"/>
      <c r="U28" s="5"/>
      <c r="V28" s="5"/>
      <c r="W28" s="5"/>
      <c r="X28" s="5"/>
      <c r="Y28" s="5"/>
    </row>
    <row r="29" ht="15.75" customHeight="1">
      <c r="T29" s="5"/>
      <c r="U29" s="5"/>
      <c r="V29" s="5"/>
      <c r="W29" s="5"/>
      <c r="X29" s="5"/>
      <c r="Y29" s="5"/>
    </row>
    <row r="30" ht="15.75" customHeight="1">
      <c r="A30" s="3" t="s">
        <v>73</v>
      </c>
      <c r="B30" s="3">
        <v>1.0</v>
      </c>
      <c r="C30" s="3">
        <v>2.0</v>
      </c>
      <c r="D30" s="3">
        <v>3.0</v>
      </c>
      <c r="E30" s="3">
        <v>4.0</v>
      </c>
      <c r="F30" s="3">
        <v>5.0</v>
      </c>
      <c r="G30" s="3">
        <v>6.0</v>
      </c>
      <c r="H30" s="3">
        <v>7.0</v>
      </c>
      <c r="I30" s="3">
        <v>8.0</v>
      </c>
      <c r="J30" s="3">
        <v>9.0</v>
      </c>
      <c r="K30" s="3">
        <v>10.0</v>
      </c>
      <c r="L30" s="3">
        <v>11.0</v>
      </c>
      <c r="M30" s="3">
        <v>12.0</v>
      </c>
      <c r="N30" s="3">
        <v>13.0</v>
      </c>
      <c r="O30" s="3">
        <v>14.0</v>
      </c>
      <c r="P30" s="3">
        <v>15.0</v>
      </c>
      <c r="T30" s="5"/>
      <c r="U30" s="5"/>
      <c r="V30" s="5"/>
      <c r="W30" s="5"/>
      <c r="X30" s="5"/>
      <c r="Y30" s="5"/>
    </row>
    <row r="31" ht="15.75" customHeight="1">
      <c r="A31" s="3" t="s">
        <v>63</v>
      </c>
      <c r="B31" s="11"/>
      <c r="C31" s="11"/>
      <c r="D31" s="11"/>
      <c r="E31" s="11"/>
      <c r="F31" s="11"/>
      <c r="G31" s="11"/>
      <c r="H31" s="11"/>
      <c r="I31" s="11">
        <v>0.1111111111111111</v>
      </c>
      <c r="J31" s="11">
        <v>0.1388888888888889</v>
      </c>
      <c r="K31" s="11">
        <v>0.1388888888888889</v>
      </c>
      <c r="L31" s="11">
        <v>0.1111111111111111</v>
      </c>
      <c r="M31" s="11">
        <v>0.2222222222222222</v>
      </c>
      <c r="N31" s="11">
        <v>0.08333333333333333</v>
      </c>
      <c r="O31" s="11">
        <v>0.16666666666666666</v>
      </c>
      <c r="P31" s="11">
        <v>0.08333333333333333</v>
      </c>
      <c r="T31" s="5"/>
      <c r="U31" s="5"/>
      <c r="V31" s="5"/>
      <c r="W31" s="5"/>
      <c r="X31" s="5"/>
      <c r="Y31" s="5"/>
    </row>
    <row r="32" ht="15.75" customHeight="1">
      <c r="A32" s="3" t="s">
        <v>64</v>
      </c>
      <c r="B32" s="11"/>
      <c r="C32" s="11"/>
      <c r="D32" s="11"/>
      <c r="E32" s="11"/>
      <c r="F32" s="11"/>
      <c r="G32" s="11"/>
      <c r="H32" s="11"/>
      <c r="I32" s="11"/>
      <c r="J32" s="11">
        <v>0.027777777777777776</v>
      </c>
      <c r="K32" s="11">
        <v>0.05555555555555555</v>
      </c>
      <c r="L32" s="11">
        <v>0.1388888888888889</v>
      </c>
      <c r="M32" s="11">
        <v>0.16666666666666666</v>
      </c>
      <c r="N32" s="11">
        <v>0.1111111111111111</v>
      </c>
      <c r="O32" s="11">
        <v>0.16666666666666666</v>
      </c>
      <c r="P32" s="11">
        <v>0.3611111111111111</v>
      </c>
      <c r="T32" s="5"/>
      <c r="U32" s="5"/>
      <c r="V32" s="5"/>
      <c r="W32" s="5"/>
      <c r="X32" s="5"/>
      <c r="Y32" s="5"/>
    </row>
    <row r="33" ht="15.75" customHeight="1">
      <c r="A33" s="3" t="s">
        <v>65</v>
      </c>
      <c r="B33" s="11"/>
      <c r="C33" s="11">
        <v>0.08333333333333333</v>
      </c>
      <c r="D33" s="11">
        <v>0.1388888888888889</v>
      </c>
      <c r="E33" s="11">
        <v>0.05555555555555555</v>
      </c>
      <c r="F33" s="11">
        <v>0.08333333333333333</v>
      </c>
      <c r="G33" s="11">
        <v>0.16666666666666666</v>
      </c>
      <c r="H33" s="11">
        <v>0.1111111111111111</v>
      </c>
      <c r="I33" s="11">
        <v>0.16666666666666666</v>
      </c>
      <c r="J33" s="11">
        <v>0.1388888888888889</v>
      </c>
      <c r="K33" s="11">
        <v>0.08333333333333333</v>
      </c>
      <c r="L33" s="11">
        <v>0.05555555555555555</v>
      </c>
      <c r="M33" s="11">
        <v>0.16666666666666666</v>
      </c>
      <c r="N33" s="11">
        <v>0.1388888888888889</v>
      </c>
      <c r="O33" s="11">
        <v>0.1388888888888889</v>
      </c>
      <c r="P33" s="11">
        <v>0.05555555555555555</v>
      </c>
      <c r="T33" s="5"/>
      <c r="U33" s="5"/>
      <c r="V33" s="5"/>
      <c r="W33" s="5"/>
      <c r="X33" s="5"/>
      <c r="Y33" s="5"/>
    </row>
    <row r="34" ht="15.75" customHeight="1">
      <c r="A34" s="3" t="s">
        <v>66</v>
      </c>
      <c r="B34" s="11">
        <v>0.5833333333333334</v>
      </c>
      <c r="C34" s="11">
        <v>0.3888888888888889</v>
      </c>
      <c r="D34" s="11">
        <v>0.3611111111111111</v>
      </c>
      <c r="E34" s="11">
        <v>0.2777777777777778</v>
      </c>
      <c r="F34" s="11">
        <v>0.3611111111111111</v>
      </c>
      <c r="G34" s="11">
        <v>0.3333333333333333</v>
      </c>
      <c r="H34" s="11">
        <v>0.2777777777777778</v>
      </c>
      <c r="I34" s="11">
        <v>0.3888888888888889</v>
      </c>
      <c r="J34" s="11">
        <v>0.2222222222222222</v>
      </c>
      <c r="K34" s="11">
        <v>0.25</v>
      </c>
      <c r="L34" s="11">
        <v>0.2777777777777778</v>
      </c>
      <c r="M34" s="11">
        <v>0.19444444444444445</v>
      </c>
      <c r="N34" s="11">
        <v>0.3055555555555556</v>
      </c>
      <c r="O34" s="11">
        <v>0.1111111111111111</v>
      </c>
      <c r="P34" s="11">
        <v>0.1388888888888889</v>
      </c>
      <c r="T34" s="5"/>
      <c r="U34" s="5"/>
      <c r="V34" s="5"/>
      <c r="W34" s="5"/>
      <c r="X34" s="5"/>
      <c r="Y34" s="5"/>
    </row>
    <row r="35" ht="15.75" customHeight="1">
      <c r="A35" s="3" t="s">
        <v>68</v>
      </c>
      <c r="B35" s="11"/>
      <c r="C35" s="11">
        <v>0.08333333333333333</v>
      </c>
      <c r="D35" s="11">
        <v>0.16666666666666666</v>
      </c>
      <c r="E35" s="11">
        <v>0.08333333333333333</v>
      </c>
      <c r="F35" s="11">
        <v>0.05555555555555555</v>
      </c>
      <c r="G35" s="11">
        <v>0.08333333333333333</v>
      </c>
      <c r="H35" s="11">
        <v>0.2222222222222222</v>
      </c>
      <c r="I35" s="11">
        <v>0.05555555555555555</v>
      </c>
      <c r="J35" s="11">
        <v>0.08333333333333333</v>
      </c>
      <c r="K35" s="11">
        <v>0.25</v>
      </c>
      <c r="L35" s="11">
        <v>0.08333333333333333</v>
      </c>
      <c r="M35" s="11">
        <v>0.05555555555555555</v>
      </c>
      <c r="N35" s="11">
        <v>0.1388888888888889</v>
      </c>
      <c r="O35" s="11">
        <v>0.05555555555555555</v>
      </c>
      <c r="P35" s="11">
        <v>0.25</v>
      </c>
      <c r="T35" s="5"/>
      <c r="U35" s="5"/>
      <c r="V35" s="5"/>
      <c r="W35" s="5"/>
      <c r="X35" s="5"/>
      <c r="Y35" s="5"/>
    </row>
    <row r="36" ht="15.75" customHeight="1">
      <c r="A36" s="3" t="s">
        <v>69</v>
      </c>
      <c r="B36" s="11">
        <v>0.4166666666666667</v>
      </c>
      <c r="C36" s="11">
        <v>0.4444444444444444</v>
      </c>
      <c r="D36" s="11">
        <v>0.3333333333333333</v>
      </c>
      <c r="E36" s="11">
        <v>0.5833333333333334</v>
      </c>
      <c r="F36" s="11">
        <v>0.5</v>
      </c>
      <c r="G36" s="11">
        <v>0.4166666666666667</v>
      </c>
      <c r="H36" s="11">
        <v>0.3888888888888889</v>
      </c>
      <c r="I36" s="11">
        <v>0.2777777777777778</v>
      </c>
      <c r="J36" s="11">
        <v>0.3888888888888889</v>
      </c>
      <c r="K36" s="11">
        <v>0.2222222222222222</v>
      </c>
      <c r="L36" s="11">
        <v>0.3333333333333333</v>
      </c>
      <c r="M36" s="11">
        <v>0.19444444444444445</v>
      </c>
      <c r="N36" s="11">
        <v>0.2222222222222222</v>
      </c>
      <c r="O36" s="11">
        <v>0.3611111111111111</v>
      </c>
      <c r="P36" s="11">
        <v>0.1111111111111111</v>
      </c>
      <c r="T36" s="5"/>
      <c r="U36" s="5"/>
      <c r="V36" s="5"/>
      <c r="W36" s="5"/>
      <c r="X36" s="5"/>
      <c r="Y36" s="5"/>
    </row>
    <row r="37" ht="15.75" customHeight="1">
      <c r="T37" s="5"/>
      <c r="U37" s="5"/>
      <c r="V37" s="5"/>
      <c r="W37" s="5"/>
      <c r="X37" s="5"/>
      <c r="Y37" s="5"/>
    </row>
    <row r="38" ht="15.75" customHeight="1">
      <c r="T38" s="5"/>
      <c r="U38" s="5"/>
      <c r="V38" s="5"/>
      <c r="W38" s="5"/>
      <c r="X38" s="5"/>
      <c r="Y38" s="5"/>
    </row>
    <row r="39" ht="15.75" customHeight="1">
      <c r="T39" s="5"/>
      <c r="U39" s="5"/>
      <c r="V39" s="5"/>
      <c r="W39" s="5"/>
      <c r="X39" s="5"/>
      <c r="Y39" s="5"/>
    </row>
    <row r="40" ht="15.75" customHeight="1">
      <c r="T40" s="5"/>
      <c r="U40" s="5"/>
      <c r="V40" s="5"/>
      <c r="W40" s="5"/>
      <c r="X40" s="5"/>
      <c r="Y40" s="5"/>
    </row>
    <row r="41" ht="15.75" customHeight="1">
      <c r="T41" s="5"/>
      <c r="U41" s="5"/>
      <c r="V41" s="5"/>
      <c r="W41" s="5"/>
      <c r="X41" s="5"/>
      <c r="Y41" s="5"/>
    </row>
    <row r="42" ht="15.75" customHeight="1">
      <c r="T42" s="5"/>
      <c r="U42" s="5"/>
      <c r="V42" s="5"/>
      <c r="W42" s="5"/>
      <c r="X42" s="5"/>
      <c r="Y42" s="5"/>
    </row>
    <row r="43" ht="15.75" customHeight="1">
      <c r="T43" s="5"/>
      <c r="U43" s="5"/>
      <c r="V43" s="5"/>
      <c r="W43" s="5"/>
      <c r="X43" s="5"/>
      <c r="Y43" s="5"/>
    </row>
    <row r="44" ht="15.75" customHeight="1">
      <c r="T44" s="5"/>
      <c r="U44" s="5"/>
      <c r="V44" s="5"/>
      <c r="W44" s="5"/>
      <c r="X44" s="5"/>
      <c r="Y44" s="5"/>
    </row>
    <row r="45" ht="15.75" customHeight="1">
      <c r="T45" s="5"/>
      <c r="U45" s="5"/>
      <c r="V45" s="5"/>
      <c r="W45" s="5"/>
      <c r="X45" s="5"/>
      <c r="Y45" s="5"/>
    </row>
    <row r="46" ht="15.75" customHeight="1">
      <c r="T46" s="5"/>
      <c r="U46" s="5"/>
      <c r="V46" s="5"/>
      <c r="W46" s="5"/>
      <c r="X46" s="5"/>
      <c r="Y46" s="5"/>
    </row>
    <row r="47" ht="15.75" customHeight="1">
      <c r="T47" s="5"/>
      <c r="U47" s="5"/>
      <c r="V47" s="5"/>
      <c r="W47" s="5"/>
      <c r="X47" s="5"/>
      <c r="Y47" s="5"/>
    </row>
    <row r="48" ht="15.75" customHeight="1">
      <c r="T48" s="5"/>
      <c r="U48" s="5"/>
      <c r="V48" s="5"/>
      <c r="W48" s="5"/>
      <c r="X48" s="5"/>
      <c r="Y48" s="5"/>
    </row>
    <row r="49" ht="15.75" customHeight="1">
      <c r="T49" s="5"/>
      <c r="U49" s="5"/>
      <c r="V49" s="5"/>
      <c r="W49" s="5"/>
      <c r="X49" s="5"/>
      <c r="Y49" s="5"/>
    </row>
    <row r="50" ht="15.75" customHeight="1">
      <c r="T50" s="5"/>
      <c r="U50" s="5"/>
      <c r="V50" s="5"/>
      <c r="W50" s="5"/>
      <c r="X50" s="5"/>
      <c r="Y50" s="5"/>
    </row>
    <row r="51" ht="15.75" customHeight="1">
      <c r="T51" s="5"/>
      <c r="U51" s="5"/>
      <c r="V51" s="5"/>
      <c r="W51" s="5"/>
      <c r="X51" s="5"/>
      <c r="Y51" s="5"/>
    </row>
    <row r="52" ht="15.75" customHeight="1">
      <c r="T52" s="5"/>
      <c r="U52" s="5"/>
      <c r="V52" s="5"/>
      <c r="W52" s="5"/>
      <c r="X52" s="5"/>
      <c r="Y52" s="5"/>
    </row>
    <row r="53" ht="15.75" customHeight="1">
      <c r="T53" s="5"/>
      <c r="U53" s="5"/>
      <c r="V53" s="5"/>
      <c r="W53" s="5"/>
      <c r="X53" s="5"/>
      <c r="Y53" s="5"/>
    </row>
    <row r="54" ht="15.75" customHeight="1">
      <c r="T54" s="5"/>
      <c r="U54" s="5"/>
      <c r="V54" s="5"/>
      <c r="W54" s="5"/>
      <c r="X54" s="5"/>
      <c r="Y54" s="5"/>
    </row>
    <row r="55" ht="15.75" customHeight="1">
      <c r="T55" s="5"/>
      <c r="U55" s="5"/>
      <c r="V55" s="5"/>
      <c r="W55" s="5"/>
      <c r="X55" s="5"/>
      <c r="Y55" s="5"/>
    </row>
    <row r="56" ht="15.75" customHeight="1">
      <c r="T56" s="5"/>
      <c r="U56" s="5"/>
      <c r="V56" s="5"/>
      <c r="W56" s="5"/>
      <c r="X56" s="5"/>
      <c r="Y56" s="5"/>
    </row>
    <row r="57" ht="15.75" customHeight="1">
      <c r="T57" s="5"/>
      <c r="U57" s="5"/>
      <c r="V57" s="5"/>
      <c r="W57" s="5"/>
      <c r="X57" s="5"/>
      <c r="Y57" s="5"/>
    </row>
    <row r="58" ht="15.75" customHeight="1">
      <c r="T58" s="5"/>
      <c r="U58" s="5"/>
      <c r="V58" s="5"/>
      <c r="W58" s="5"/>
      <c r="X58" s="5"/>
      <c r="Y58" s="5"/>
    </row>
    <row r="59" ht="15.75" customHeight="1">
      <c r="T59" s="5"/>
      <c r="U59" s="5"/>
      <c r="V59" s="5"/>
      <c r="W59" s="5"/>
      <c r="X59" s="5"/>
      <c r="Y59" s="5"/>
    </row>
    <row r="60" ht="15.75" customHeight="1">
      <c r="T60" s="5"/>
      <c r="U60" s="5"/>
      <c r="V60" s="5"/>
      <c r="W60" s="5"/>
      <c r="X60" s="5"/>
      <c r="Y60" s="5"/>
    </row>
    <row r="61" ht="15.75" customHeight="1">
      <c r="T61" s="5"/>
      <c r="U61" s="5"/>
      <c r="V61" s="5"/>
      <c r="W61" s="5"/>
      <c r="X61" s="5"/>
      <c r="Y61" s="5"/>
    </row>
    <row r="62" ht="15.75" customHeight="1">
      <c r="T62" s="5"/>
      <c r="U62" s="5"/>
      <c r="V62" s="5"/>
      <c r="W62" s="5"/>
      <c r="X62" s="5"/>
      <c r="Y62" s="5"/>
    </row>
    <row r="63" ht="15.75" customHeight="1">
      <c r="T63" s="5"/>
      <c r="U63" s="5"/>
      <c r="V63" s="5"/>
      <c r="W63" s="5"/>
      <c r="X63" s="5"/>
      <c r="Y63" s="5"/>
    </row>
    <row r="64" ht="15.75" customHeight="1">
      <c r="T64" s="5"/>
      <c r="U64" s="5"/>
      <c r="V64" s="5"/>
      <c r="W64" s="5"/>
      <c r="X64" s="5"/>
      <c r="Y64" s="5"/>
    </row>
    <row r="65" ht="15.75" customHeight="1">
      <c r="T65" s="5"/>
      <c r="U65" s="5"/>
      <c r="V65" s="5"/>
      <c r="W65" s="5"/>
      <c r="X65" s="5"/>
      <c r="Y65" s="5"/>
    </row>
    <row r="66" ht="15.75" customHeight="1">
      <c r="T66" s="5"/>
      <c r="U66" s="5"/>
      <c r="V66" s="5"/>
      <c r="W66" s="5"/>
      <c r="X66" s="5"/>
      <c r="Y66" s="5"/>
    </row>
    <row r="67" ht="15.75" customHeight="1">
      <c r="T67" s="5"/>
      <c r="U67" s="5"/>
      <c r="V67" s="5"/>
      <c r="W67" s="5"/>
      <c r="X67" s="5"/>
      <c r="Y67" s="5"/>
    </row>
    <row r="68" ht="15.75" customHeight="1">
      <c r="T68" s="5"/>
      <c r="U68" s="5"/>
      <c r="V68" s="5"/>
      <c r="W68" s="5"/>
      <c r="X68" s="5"/>
      <c r="Y68" s="5"/>
    </row>
    <row r="69" ht="15.75" customHeight="1">
      <c r="T69" s="5"/>
      <c r="U69" s="5"/>
      <c r="V69" s="5"/>
      <c r="W69" s="5"/>
      <c r="X69" s="5"/>
      <c r="Y69" s="5"/>
    </row>
    <row r="70" ht="15.75" customHeight="1">
      <c r="T70" s="5"/>
      <c r="U70" s="5"/>
      <c r="V70" s="5"/>
      <c r="W70" s="5"/>
      <c r="X70" s="5"/>
      <c r="Y70" s="5"/>
    </row>
    <row r="71" ht="15.75" customHeight="1">
      <c r="T71" s="5"/>
      <c r="U71" s="5"/>
      <c r="V71" s="5"/>
      <c r="W71" s="5"/>
      <c r="X71" s="5"/>
      <c r="Y71" s="5"/>
    </row>
    <row r="72" ht="15.75" customHeight="1">
      <c r="T72" s="5"/>
      <c r="U72" s="5"/>
      <c r="V72" s="5"/>
      <c r="W72" s="5"/>
      <c r="X72" s="5"/>
      <c r="Y72" s="5"/>
    </row>
    <row r="73" ht="15.75" customHeight="1">
      <c r="T73" s="5"/>
      <c r="U73" s="5"/>
      <c r="V73" s="5"/>
      <c r="W73" s="5"/>
      <c r="X73" s="5"/>
      <c r="Y73" s="5"/>
    </row>
    <row r="74" ht="15.75" customHeight="1">
      <c r="T74" s="5"/>
      <c r="U74" s="5"/>
      <c r="V74" s="5"/>
      <c r="W74" s="5"/>
      <c r="X74" s="5"/>
      <c r="Y74" s="5"/>
    </row>
    <row r="75" ht="15.75" customHeight="1">
      <c r="T75" s="5"/>
      <c r="U75" s="5"/>
      <c r="V75" s="5"/>
      <c r="W75" s="5"/>
      <c r="X75" s="5"/>
      <c r="Y75" s="5"/>
    </row>
    <row r="76" ht="15.75" customHeight="1">
      <c r="T76" s="5"/>
      <c r="U76" s="5"/>
      <c r="V76" s="5"/>
      <c r="W76" s="5"/>
      <c r="X76" s="5"/>
      <c r="Y76" s="5"/>
    </row>
    <row r="77" ht="15.75" customHeight="1">
      <c r="T77" s="5"/>
      <c r="U77" s="5"/>
      <c r="V77" s="5"/>
      <c r="W77" s="5"/>
      <c r="X77" s="5"/>
      <c r="Y77" s="5"/>
    </row>
    <row r="78" ht="15.75" customHeight="1">
      <c r="T78" s="5"/>
      <c r="U78" s="5"/>
      <c r="V78" s="5"/>
      <c r="W78" s="5"/>
      <c r="X78" s="5"/>
      <c r="Y78" s="5"/>
    </row>
    <row r="79" ht="15.75" customHeight="1">
      <c r="T79" s="5"/>
      <c r="U79" s="5"/>
      <c r="V79" s="5"/>
      <c r="W79" s="5"/>
      <c r="X79" s="5"/>
      <c r="Y79" s="5"/>
    </row>
    <row r="80" ht="15.75" customHeight="1">
      <c r="T80" s="5"/>
      <c r="U80" s="5"/>
      <c r="V80" s="5"/>
      <c r="W80" s="5"/>
      <c r="X80" s="5"/>
      <c r="Y80" s="5"/>
    </row>
    <row r="81" ht="15.75" customHeight="1">
      <c r="T81" s="5"/>
      <c r="U81" s="5"/>
      <c r="V81" s="5"/>
      <c r="W81" s="5"/>
      <c r="X81" s="5"/>
      <c r="Y81" s="5"/>
    </row>
    <row r="82" ht="15.75" customHeight="1">
      <c r="T82" s="5"/>
      <c r="U82" s="5"/>
      <c r="V82" s="5"/>
      <c r="W82" s="5"/>
      <c r="X82" s="5"/>
      <c r="Y82" s="5"/>
    </row>
    <row r="83" ht="15.75" customHeight="1">
      <c r="T83" s="5"/>
      <c r="U83" s="5"/>
      <c r="V83" s="5"/>
      <c r="W83" s="5"/>
      <c r="X83" s="5"/>
      <c r="Y83" s="5"/>
    </row>
    <row r="84" ht="15.75" customHeight="1">
      <c r="T84" s="5"/>
      <c r="U84" s="5"/>
      <c r="V84" s="5"/>
      <c r="W84" s="5"/>
      <c r="X84" s="5"/>
      <c r="Y84" s="5"/>
    </row>
    <row r="85" ht="15.75" customHeight="1">
      <c r="T85" s="5"/>
      <c r="U85" s="5"/>
      <c r="V85" s="5"/>
      <c r="W85" s="5"/>
      <c r="X85" s="5"/>
      <c r="Y85" s="5"/>
    </row>
    <row r="86" ht="15.75" customHeight="1">
      <c r="T86" s="5"/>
      <c r="U86" s="5"/>
      <c r="V86" s="5"/>
      <c r="W86" s="5"/>
      <c r="X86" s="5"/>
      <c r="Y86" s="5"/>
    </row>
    <row r="87" ht="15.75" customHeight="1">
      <c r="T87" s="5"/>
      <c r="U87" s="5"/>
      <c r="V87" s="5"/>
      <c r="W87" s="5"/>
      <c r="X87" s="5"/>
      <c r="Y87" s="5"/>
    </row>
    <row r="88" ht="15.75" customHeight="1">
      <c r="T88" s="5"/>
      <c r="U88" s="5"/>
      <c r="V88" s="5"/>
      <c r="W88" s="5"/>
      <c r="X88" s="5"/>
      <c r="Y88" s="5"/>
    </row>
    <row r="89" ht="15.75" customHeight="1">
      <c r="T89" s="5"/>
      <c r="U89" s="5"/>
      <c r="V89" s="5"/>
      <c r="W89" s="5"/>
      <c r="X89" s="5"/>
      <c r="Y89" s="5"/>
    </row>
    <row r="90" ht="15.75" customHeight="1">
      <c r="T90" s="5"/>
      <c r="U90" s="5"/>
      <c r="V90" s="5"/>
      <c r="W90" s="5"/>
      <c r="X90" s="5"/>
      <c r="Y90" s="5"/>
    </row>
    <row r="91" ht="15.75" customHeight="1">
      <c r="T91" s="5"/>
      <c r="U91" s="5"/>
      <c r="V91" s="5"/>
      <c r="W91" s="5"/>
      <c r="X91" s="5"/>
      <c r="Y91" s="5"/>
    </row>
    <row r="92" ht="15.75" customHeight="1">
      <c r="T92" s="5"/>
      <c r="U92" s="5"/>
      <c r="V92" s="5"/>
      <c r="W92" s="5"/>
      <c r="X92" s="5"/>
      <c r="Y92" s="5"/>
    </row>
    <row r="93" ht="15.75" customHeight="1">
      <c r="T93" s="5"/>
      <c r="U93" s="5"/>
      <c r="V93" s="5"/>
      <c r="W93" s="5"/>
      <c r="X93" s="5"/>
      <c r="Y93" s="5"/>
    </row>
    <row r="94" ht="15.75" customHeight="1">
      <c r="T94" s="5"/>
      <c r="U94" s="5"/>
      <c r="V94" s="5"/>
      <c r="W94" s="5"/>
      <c r="X94" s="5"/>
      <c r="Y94" s="5"/>
    </row>
    <row r="95" ht="15.75" customHeight="1">
      <c r="T95" s="5"/>
      <c r="U95" s="5"/>
      <c r="V95" s="5"/>
      <c r="W95" s="5"/>
      <c r="X95" s="5"/>
      <c r="Y95" s="5"/>
    </row>
    <row r="96" ht="15.75" customHeight="1">
      <c r="T96" s="5"/>
      <c r="U96" s="5"/>
      <c r="V96" s="5"/>
      <c r="W96" s="5"/>
      <c r="X96" s="5"/>
      <c r="Y96" s="5"/>
    </row>
    <row r="97" ht="15.75" customHeight="1">
      <c r="T97" s="5"/>
      <c r="U97" s="5"/>
      <c r="V97" s="5"/>
      <c r="W97" s="5"/>
      <c r="X97" s="5"/>
      <c r="Y97" s="5"/>
    </row>
    <row r="98" ht="15.75" customHeight="1">
      <c r="T98" s="5"/>
      <c r="U98" s="5"/>
      <c r="V98" s="5"/>
      <c r="W98" s="5"/>
      <c r="X98" s="5"/>
      <c r="Y98" s="5"/>
    </row>
    <row r="99" ht="15.75" customHeight="1">
      <c r="T99" s="5"/>
      <c r="U99" s="5"/>
      <c r="V99" s="5"/>
      <c r="W99" s="5"/>
      <c r="X99" s="5"/>
      <c r="Y99" s="5"/>
    </row>
    <row r="100" ht="15.75" customHeight="1">
      <c r="T100" s="5"/>
      <c r="U100" s="5"/>
      <c r="V100" s="5"/>
      <c r="W100" s="5"/>
      <c r="X100" s="5"/>
      <c r="Y100" s="5"/>
    </row>
    <row r="101" ht="15.75" customHeight="1">
      <c r="T101" s="5"/>
      <c r="U101" s="5"/>
      <c r="V101" s="5"/>
      <c r="W101" s="5"/>
      <c r="X101" s="5"/>
      <c r="Y101" s="5"/>
    </row>
    <row r="102" ht="15.75" customHeight="1">
      <c r="T102" s="5"/>
      <c r="U102" s="5"/>
      <c r="V102" s="5"/>
      <c r="W102" s="5"/>
      <c r="X102" s="5"/>
      <c r="Y102" s="5"/>
    </row>
    <row r="103" ht="15.75" customHeight="1">
      <c r="T103" s="5"/>
      <c r="U103" s="5"/>
      <c r="V103" s="5"/>
      <c r="W103" s="5"/>
      <c r="X103" s="5"/>
      <c r="Y103" s="5"/>
    </row>
    <row r="104" ht="15.75" customHeight="1">
      <c r="T104" s="5"/>
      <c r="U104" s="5"/>
      <c r="V104" s="5"/>
      <c r="W104" s="5"/>
      <c r="X104" s="5"/>
      <c r="Y104" s="5"/>
    </row>
    <row r="105" ht="15.75" customHeight="1">
      <c r="T105" s="5"/>
      <c r="U105" s="5"/>
      <c r="V105" s="5"/>
      <c r="W105" s="5"/>
      <c r="X105" s="5"/>
      <c r="Y105" s="5"/>
    </row>
    <row r="106" ht="15.75" customHeight="1">
      <c r="T106" s="5"/>
      <c r="U106" s="5"/>
      <c r="V106" s="5"/>
      <c r="W106" s="5"/>
      <c r="X106" s="5"/>
      <c r="Y106" s="5"/>
    </row>
    <row r="107" ht="15.75" customHeight="1">
      <c r="T107" s="5"/>
      <c r="U107" s="5"/>
      <c r="V107" s="5"/>
      <c r="W107" s="5"/>
      <c r="X107" s="5"/>
      <c r="Y107" s="5"/>
    </row>
    <row r="108" ht="15.75" customHeight="1">
      <c r="T108" s="5"/>
      <c r="U108" s="5"/>
      <c r="V108" s="5"/>
      <c r="W108" s="5"/>
      <c r="X108" s="5"/>
      <c r="Y108" s="5"/>
    </row>
    <row r="109" ht="15.75" customHeight="1">
      <c r="T109" s="5"/>
      <c r="U109" s="5"/>
      <c r="V109" s="5"/>
      <c r="W109" s="5"/>
      <c r="X109" s="5"/>
      <c r="Y109" s="5"/>
    </row>
    <row r="110" ht="15.75" customHeight="1">
      <c r="T110" s="5"/>
      <c r="U110" s="5"/>
      <c r="V110" s="5"/>
      <c r="W110" s="5"/>
      <c r="X110" s="5"/>
      <c r="Y110" s="5"/>
    </row>
    <row r="111" ht="15.75" customHeight="1">
      <c r="T111" s="5"/>
      <c r="U111" s="5"/>
      <c r="V111" s="5"/>
      <c r="W111" s="5"/>
      <c r="X111" s="5"/>
      <c r="Y111" s="5"/>
    </row>
    <row r="112" ht="15.75" customHeight="1">
      <c r="T112" s="5"/>
      <c r="U112" s="5"/>
      <c r="V112" s="5"/>
      <c r="W112" s="5"/>
      <c r="X112" s="5"/>
      <c r="Y112" s="5"/>
    </row>
    <row r="113" ht="15.75" customHeight="1">
      <c r="T113" s="5"/>
      <c r="U113" s="5"/>
      <c r="V113" s="5"/>
      <c r="W113" s="5"/>
      <c r="X113" s="5"/>
      <c r="Y113" s="5"/>
    </row>
    <row r="114" ht="15.75" customHeight="1">
      <c r="T114" s="5"/>
      <c r="U114" s="5"/>
      <c r="V114" s="5"/>
      <c r="W114" s="5"/>
      <c r="X114" s="5"/>
      <c r="Y114" s="5"/>
    </row>
    <row r="115" ht="15.75" customHeight="1">
      <c r="T115" s="5"/>
      <c r="U115" s="5"/>
      <c r="V115" s="5"/>
      <c r="W115" s="5"/>
      <c r="X115" s="5"/>
      <c r="Y115" s="5"/>
    </row>
    <row r="116" ht="15.75" customHeight="1">
      <c r="T116" s="5"/>
      <c r="U116" s="5"/>
      <c r="V116" s="5"/>
      <c r="W116" s="5"/>
      <c r="X116" s="5"/>
      <c r="Y116" s="5"/>
    </row>
    <row r="117" ht="15.75" customHeight="1">
      <c r="T117" s="5"/>
      <c r="U117" s="5"/>
      <c r="V117" s="5"/>
      <c r="W117" s="5"/>
      <c r="X117" s="5"/>
      <c r="Y117" s="5"/>
    </row>
    <row r="118" ht="15.75" customHeight="1">
      <c r="T118" s="5"/>
      <c r="U118" s="5"/>
      <c r="V118" s="5"/>
      <c r="W118" s="5"/>
      <c r="X118" s="5"/>
      <c r="Y118" s="5"/>
    </row>
    <row r="119" ht="15.75" customHeight="1">
      <c r="T119" s="5"/>
      <c r="U119" s="5"/>
      <c r="V119" s="5"/>
      <c r="W119" s="5"/>
      <c r="X119" s="5"/>
      <c r="Y119" s="5"/>
    </row>
    <row r="120" ht="15.75" customHeight="1">
      <c r="T120" s="5"/>
      <c r="U120" s="5"/>
      <c r="V120" s="5"/>
      <c r="W120" s="5"/>
      <c r="X120" s="5"/>
      <c r="Y120" s="5"/>
    </row>
    <row r="121" ht="15.75" customHeight="1">
      <c r="T121" s="5"/>
      <c r="U121" s="5"/>
      <c r="V121" s="5"/>
      <c r="W121" s="5"/>
      <c r="X121" s="5"/>
      <c r="Y121" s="5"/>
    </row>
    <row r="122" ht="15.75" customHeight="1">
      <c r="T122" s="5"/>
      <c r="U122" s="5"/>
      <c r="V122" s="5"/>
      <c r="W122" s="5"/>
      <c r="X122" s="5"/>
      <c r="Y122" s="5"/>
    </row>
    <row r="123" ht="15.75" customHeight="1">
      <c r="T123" s="5"/>
      <c r="U123" s="5"/>
      <c r="V123" s="5"/>
      <c r="W123" s="5"/>
      <c r="X123" s="5"/>
      <c r="Y123" s="5"/>
    </row>
    <row r="124" ht="15.75" customHeight="1">
      <c r="T124" s="5"/>
      <c r="U124" s="5"/>
      <c r="V124" s="5"/>
      <c r="W124" s="5"/>
      <c r="X124" s="5"/>
      <c r="Y124" s="5"/>
    </row>
    <row r="125" ht="15.75" customHeight="1">
      <c r="T125" s="5"/>
      <c r="U125" s="5"/>
      <c r="V125" s="5"/>
      <c r="W125" s="5"/>
      <c r="X125" s="5"/>
      <c r="Y125" s="5"/>
    </row>
    <row r="126" ht="15.75" customHeight="1">
      <c r="T126" s="5"/>
      <c r="U126" s="5"/>
      <c r="V126" s="5"/>
      <c r="W126" s="5"/>
      <c r="X126" s="5"/>
      <c r="Y126" s="5"/>
    </row>
    <row r="127" ht="15.75" customHeight="1">
      <c r="T127" s="5"/>
      <c r="U127" s="5"/>
      <c r="V127" s="5"/>
      <c r="W127" s="5"/>
      <c r="X127" s="5"/>
      <c r="Y127" s="5"/>
    </row>
    <row r="128" ht="15.75" customHeight="1">
      <c r="T128" s="5"/>
      <c r="U128" s="5"/>
      <c r="V128" s="5"/>
      <c r="W128" s="5"/>
      <c r="X128" s="5"/>
      <c r="Y128" s="5"/>
    </row>
    <row r="129" ht="15.75" customHeight="1">
      <c r="T129" s="5"/>
      <c r="U129" s="5"/>
      <c r="V129" s="5"/>
      <c r="W129" s="5"/>
      <c r="X129" s="5"/>
      <c r="Y129" s="5"/>
    </row>
    <row r="130" ht="15.75" customHeight="1">
      <c r="T130" s="5"/>
      <c r="U130" s="5"/>
      <c r="V130" s="5"/>
      <c r="W130" s="5"/>
      <c r="X130" s="5"/>
      <c r="Y130" s="5"/>
    </row>
    <row r="131" ht="15.75" customHeight="1">
      <c r="T131" s="5"/>
      <c r="U131" s="5"/>
      <c r="V131" s="5"/>
      <c r="W131" s="5"/>
      <c r="X131" s="5"/>
      <c r="Y131" s="5"/>
    </row>
    <row r="132" ht="15.75" customHeight="1">
      <c r="T132" s="5"/>
      <c r="U132" s="5"/>
      <c r="V132" s="5"/>
      <c r="W132" s="5"/>
      <c r="X132" s="5"/>
      <c r="Y132" s="5"/>
    </row>
    <row r="133" ht="15.75" customHeight="1">
      <c r="T133" s="5"/>
      <c r="U133" s="5"/>
      <c r="V133" s="5"/>
      <c r="W133" s="5"/>
      <c r="X133" s="5"/>
      <c r="Y133" s="5"/>
    </row>
    <row r="134" ht="15.75" customHeight="1">
      <c r="T134" s="5"/>
      <c r="U134" s="5"/>
      <c r="V134" s="5"/>
      <c r="W134" s="5"/>
      <c r="X134" s="5"/>
      <c r="Y134" s="5"/>
    </row>
    <row r="135" ht="15.75" customHeight="1">
      <c r="T135" s="5"/>
      <c r="U135" s="5"/>
      <c r="V135" s="5"/>
      <c r="W135" s="5"/>
      <c r="X135" s="5"/>
      <c r="Y135" s="5"/>
    </row>
    <row r="136" ht="15.75" customHeight="1">
      <c r="T136" s="5"/>
      <c r="U136" s="5"/>
      <c r="V136" s="5"/>
      <c r="W136" s="5"/>
      <c r="X136" s="5"/>
      <c r="Y136" s="5"/>
    </row>
    <row r="137" ht="15.75" customHeight="1">
      <c r="T137" s="5"/>
      <c r="U137" s="5"/>
      <c r="V137" s="5"/>
      <c r="W137" s="5"/>
      <c r="X137" s="5"/>
      <c r="Y137" s="5"/>
    </row>
    <row r="138" ht="15.75" customHeight="1">
      <c r="T138" s="5"/>
      <c r="U138" s="5"/>
      <c r="V138" s="5"/>
      <c r="W138" s="5"/>
      <c r="X138" s="5"/>
      <c r="Y138" s="5"/>
    </row>
    <row r="139" ht="15.75" customHeight="1">
      <c r="T139" s="5"/>
      <c r="U139" s="5"/>
      <c r="V139" s="5"/>
      <c r="W139" s="5"/>
      <c r="X139" s="5"/>
      <c r="Y139" s="5"/>
    </row>
    <row r="140" ht="15.75" customHeight="1">
      <c r="T140" s="5"/>
      <c r="U140" s="5"/>
      <c r="V140" s="5"/>
      <c r="W140" s="5"/>
      <c r="X140" s="5"/>
      <c r="Y140" s="5"/>
    </row>
    <row r="141" ht="15.75" customHeight="1">
      <c r="T141" s="5"/>
      <c r="U141" s="5"/>
      <c r="V141" s="5"/>
      <c r="W141" s="5"/>
      <c r="X141" s="5"/>
      <c r="Y141" s="5"/>
    </row>
    <row r="142" ht="15.75" customHeight="1">
      <c r="T142" s="5"/>
      <c r="U142" s="5"/>
      <c r="V142" s="5"/>
      <c r="W142" s="5"/>
      <c r="X142" s="5"/>
      <c r="Y142" s="5"/>
    </row>
    <row r="143" ht="15.75" customHeight="1">
      <c r="T143" s="5"/>
      <c r="U143" s="5"/>
      <c r="V143" s="5"/>
      <c r="W143" s="5"/>
      <c r="X143" s="5"/>
      <c r="Y143" s="5"/>
    </row>
    <row r="144" ht="15.75" customHeight="1">
      <c r="T144" s="5"/>
      <c r="U144" s="5"/>
      <c r="V144" s="5"/>
      <c r="W144" s="5"/>
      <c r="X144" s="5"/>
      <c r="Y144" s="5"/>
    </row>
    <row r="145" ht="15.75" customHeight="1">
      <c r="T145" s="5"/>
      <c r="U145" s="5"/>
      <c r="V145" s="5"/>
      <c r="W145" s="5"/>
      <c r="X145" s="5"/>
      <c r="Y145" s="5"/>
    </row>
    <row r="146" ht="15.75" customHeight="1">
      <c r="T146" s="5"/>
      <c r="U146" s="5"/>
      <c r="V146" s="5"/>
      <c r="W146" s="5"/>
      <c r="X146" s="5"/>
      <c r="Y146" s="5"/>
    </row>
    <row r="147" ht="15.75" customHeight="1">
      <c r="T147" s="5"/>
      <c r="U147" s="5"/>
      <c r="V147" s="5"/>
      <c r="W147" s="5"/>
      <c r="X147" s="5"/>
      <c r="Y147" s="5"/>
    </row>
    <row r="148" ht="15.75" customHeight="1">
      <c r="T148" s="5"/>
      <c r="U148" s="5"/>
      <c r="V148" s="5"/>
      <c r="W148" s="5"/>
      <c r="X148" s="5"/>
      <c r="Y148" s="5"/>
    </row>
    <row r="149" ht="15.75" customHeight="1">
      <c r="T149" s="5"/>
      <c r="U149" s="5"/>
      <c r="V149" s="5"/>
      <c r="W149" s="5"/>
      <c r="X149" s="5"/>
      <c r="Y149" s="5"/>
    </row>
    <row r="150" ht="15.75" customHeight="1">
      <c r="T150" s="5"/>
      <c r="U150" s="5"/>
      <c r="V150" s="5"/>
      <c r="W150" s="5"/>
      <c r="X150" s="5"/>
      <c r="Y150" s="5"/>
    </row>
    <row r="151" ht="15.75" customHeight="1">
      <c r="T151" s="5"/>
      <c r="U151" s="5"/>
      <c r="V151" s="5"/>
      <c r="W151" s="5"/>
      <c r="X151" s="5"/>
      <c r="Y151" s="5"/>
    </row>
    <row r="152" ht="15.75" customHeight="1">
      <c r="T152" s="5"/>
      <c r="U152" s="5"/>
      <c r="V152" s="5"/>
      <c r="W152" s="5"/>
      <c r="X152" s="5"/>
      <c r="Y152" s="5"/>
    </row>
    <row r="153" ht="15.75" customHeight="1">
      <c r="T153" s="5"/>
      <c r="U153" s="5"/>
      <c r="V153" s="5"/>
      <c r="W153" s="5"/>
      <c r="X153" s="5"/>
      <c r="Y153" s="5"/>
    </row>
    <row r="154" ht="15.75" customHeight="1">
      <c r="T154" s="5"/>
      <c r="U154" s="5"/>
      <c r="V154" s="5"/>
      <c r="W154" s="5"/>
      <c r="X154" s="5"/>
      <c r="Y154" s="5"/>
    </row>
    <row r="155" ht="15.75" customHeight="1">
      <c r="T155" s="5"/>
      <c r="U155" s="5"/>
      <c r="V155" s="5"/>
      <c r="W155" s="5"/>
      <c r="X155" s="5"/>
      <c r="Y155" s="5"/>
    </row>
    <row r="156" ht="15.75" customHeight="1">
      <c r="T156" s="5"/>
      <c r="U156" s="5"/>
      <c r="V156" s="5"/>
      <c r="W156" s="5"/>
      <c r="X156" s="5"/>
      <c r="Y156" s="5"/>
    </row>
    <row r="157" ht="15.75" customHeight="1">
      <c r="T157" s="5"/>
      <c r="U157" s="5"/>
      <c r="V157" s="5"/>
      <c r="W157" s="5"/>
      <c r="X157" s="5"/>
      <c r="Y157" s="5"/>
    </row>
    <row r="158" ht="15.75" customHeight="1">
      <c r="T158" s="5"/>
      <c r="U158" s="5"/>
      <c r="V158" s="5"/>
      <c r="W158" s="5"/>
      <c r="X158" s="5"/>
      <c r="Y158" s="5"/>
    </row>
    <row r="159" ht="15.75" customHeight="1">
      <c r="T159" s="5"/>
      <c r="U159" s="5"/>
      <c r="V159" s="5"/>
      <c r="W159" s="5"/>
      <c r="X159" s="5"/>
      <c r="Y159" s="5"/>
    </row>
    <row r="160" ht="15.75" customHeight="1">
      <c r="T160" s="5"/>
      <c r="U160" s="5"/>
      <c r="V160" s="5"/>
      <c r="W160" s="5"/>
      <c r="X160" s="5"/>
      <c r="Y160" s="5"/>
    </row>
    <row r="161" ht="15.75" customHeight="1">
      <c r="T161" s="5"/>
      <c r="U161" s="5"/>
      <c r="V161" s="5"/>
      <c r="W161" s="5"/>
      <c r="X161" s="5"/>
      <c r="Y161" s="5"/>
    </row>
    <row r="162" ht="15.75" customHeight="1">
      <c r="T162" s="5"/>
      <c r="U162" s="5"/>
      <c r="V162" s="5"/>
      <c r="W162" s="5"/>
      <c r="X162" s="5"/>
      <c r="Y162" s="5"/>
    </row>
    <row r="163" ht="15.75" customHeight="1">
      <c r="T163" s="5"/>
      <c r="U163" s="5"/>
      <c r="V163" s="5"/>
      <c r="W163" s="5"/>
      <c r="X163" s="5"/>
      <c r="Y163" s="5"/>
    </row>
    <row r="164" ht="15.75" customHeight="1">
      <c r="T164" s="5"/>
      <c r="U164" s="5"/>
      <c r="V164" s="5"/>
      <c r="W164" s="5"/>
      <c r="X164" s="5"/>
      <c r="Y164" s="5"/>
    </row>
    <row r="165" ht="15.75" customHeight="1">
      <c r="T165" s="5"/>
      <c r="U165" s="5"/>
      <c r="V165" s="5"/>
      <c r="W165" s="5"/>
      <c r="X165" s="5"/>
      <c r="Y165" s="5"/>
    </row>
    <row r="166" ht="15.75" customHeight="1">
      <c r="T166" s="5"/>
      <c r="U166" s="5"/>
      <c r="V166" s="5"/>
      <c r="W166" s="5"/>
      <c r="X166" s="5"/>
      <c r="Y166" s="5"/>
    </row>
    <row r="167" ht="15.75" customHeight="1">
      <c r="T167" s="5"/>
      <c r="U167" s="5"/>
      <c r="V167" s="5"/>
      <c r="W167" s="5"/>
      <c r="X167" s="5"/>
      <c r="Y167" s="5"/>
    </row>
    <row r="168" ht="15.75" customHeight="1">
      <c r="T168" s="5"/>
      <c r="U168" s="5"/>
      <c r="V168" s="5"/>
      <c r="W168" s="5"/>
      <c r="X168" s="5"/>
      <c r="Y168" s="5"/>
    </row>
    <row r="169" ht="15.75" customHeight="1">
      <c r="T169" s="5"/>
      <c r="U169" s="5"/>
      <c r="V169" s="5"/>
      <c r="W169" s="5"/>
      <c r="X169" s="5"/>
      <c r="Y169" s="5"/>
    </row>
    <row r="170" ht="15.75" customHeight="1">
      <c r="T170" s="5"/>
      <c r="U170" s="5"/>
      <c r="V170" s="5"/>
      <c r="W170" s="5"/>
      <c r="X170" s="5"/>
      <c r="Y170" s="5"/>
    </row>
    <row r="171" ht="15.75" customHeight="1">
      <c r="T171" s="5"/>
      <c r="U171" s="5"/>
      <c r="V171" s="5"/>
      <c r="W171" s="5"/>
      <c r="X171" s="5"/>
      <c r="Y171" s="5"/>
    </row>
    <row r="172" ht="15.75" customHeight="1">
      <c r="T172" s="5"/>
      <c r="U172" s="5"/>
      <c r="V172" s="5"/>
      <c r="W172" s="5"/>
      <c r="X172" s="5"/>
      <c r="Y172" s="5"/>
    </row>
    <row r="173" ht="15.75" customHeight="1">
      <c r="T173" s="5"/>
      <c r="U173" s="5"/>
      <c r="V173" s="5"/>
      <c r="W173" s="5"/>
      <c r="X173" s="5"/>
      <c r="Y173" s="5"/>
    </row>
    <row r="174" ht="15.75" customHeight="1">
      <c r="T174" s="5"/>
      <c r="U174" s="5"/>
      <c r="V174" s="5"/>
      <c r="W174" s="5"/>
      <c r="X174" s="5"/>
      <c r="Y174" s="5"/>
    </row>
    <row r="175" ht="15.75" customHeight="1">
      <c r="T175" s="5"/>
      <c r="U175" s="5"/>
      <c r="V175" s="5"/>
      <c r="W175" s="5"/>
      <c r="X175" s="5"/>
      <c r="Y175" s="5"/>
    </row>
    <row r="176" ht="15.75" customHeight="1">
      <c r="T176" s="5"/>
      <c r="U176" s="5"/>
      <c r="V176" s="5"/>
      <c r="W176" s="5"/>
      <c r="X176" s="5"/>
      <c r="Y176" s="5"/>
    </row>
    <row r="177" ht="15.75" customHeight="1">
      <c r="T177" s="5"/>
      <c r="U177" s="5"/>
      <c r="V177" s="5"/>
      <c r="W177" s="5"/>
      <c r="X177" s="5"/>
      <c r="Y177" s="5"/>
    </row>
    <row r="178" ht="15.75" customHeight="1">
      <c r="T178" s="5"/>
      <c r="U178" s="5"/>
      <c r="V178" s="5"/>
      <c r="W178" s="5"/>
      <c r="X178" s="5"/>
      <c r="Y178" s="5"/>
    </row>
    <row r="179" ht="15.75" customHeight="1">
      <c r="T179" s="5"/>
      <c r="U179" s="5"/>
      <c r="V179" s="5"/>
      <c r="W179" s="5"/>
      <c r="X179" s="5"/>
      <c r="Y179" s="5"/>
    </row>
    <row r="180" ht="15.75" customHeight="1">
      <c r="T180" s="5"/>
      <c r="U180" s="5"/>
      <c r="V180" s="5"/>
      <c r="W180" s="5"/>
      <c r="X180" s="5"/>
      <c r="Y180" s="5"/>
    </row>
    <row r="181" ht="15.75" customHeight="1">
      <c r="T181" s="5"/>
      <c r="U181" s="5"/>
      <c r="V181" s="5"/>
      <c r="W181" s="5"/>
      <c r="X181" s="5"/>
      <c r="Y181" s="5"/>
    </row>
    <row r="182" ht="15.75" customHeight="1">
      <c r="T182" s="5"/>
      <c r="U182" s="5"/>
      <c r="V182" s="5"/>
      <c r="W182" s="5"/>
      <c r="X182" s="5"/>
      <c r="Y182" s="5"/>
    </row>
    <row r="183" ht="15.75" customHeight="1">
      <c r="T183" s="5"/>
      <c r="U183" s="5"/>
      <c r="V183" s="5"/>
      <c r="W183" s="5"/>
      <c r="X183" s="5"/>
      <c r="Y183" s="5"/>
    </row>
    <row r="184" ht="15.75" customHeight="1">
      <c r="T184" s="5"/>
      <c r="U184" s="5"/>
      <c r="V184" s="5"/>
      <c r="W184" s="5"/>
      <c r="X184" s="5"/>
      <c r="Y184" s="5"/>
    </row>
    <row r="185" ht="15.75" customHeight="1">
      <c r="T185" s="5"/>
      <c r="U185" s="5"/>
      <c r="V185" s="5"/>
      <c r="W185" s="5"/>
      <c r="X185" s="5"/>
      <c r="Y185" s="5"/>
    </row>
    <row r="186" ht="15.75" customHeight="1">
      <c r="T186" s="5"/>
      <c r="U186" s="5"/>
      <c r="V186" s="5"/>
      <c r="W186" s="5"/>
      <c r="X186" s="5"/>
      <c r="Y186" s="5"/>
    </row>
    <row r="187" ht="15.75" customHeight="1">
      <c r="T187" s="5"/>
      <c r="U187" s="5"/>
      <c r="V187" s="5"/>
      <c r="W187" s="5"/>
      <c r="X187" s="5"/>
      <c r="Y187" s="5"/>
    </row>
    <row r="188" ht="15.75" customHeight="1">
      <c r="T188" s="5"/>
      <c r="U188" s="5"/>
      <c r="V188" s="5"/>
      <c r="W188" s="5"/>
      <c r="X188" s="5"/>
      <c r="Y188" s="5"/>
    </row>
    <row r="189" ht="15.75" customHeight="1">
      <c r="T189" s="5"/>
      <c r="U189" s="5"/>
      <c r="V189" s="5"/>
      <c r="W189" s="5"/>
      <c r="X189" s="5"/>
      <c r="Y189" s="5"/>
    </row>
    <row r="190" ht="15.75" customHeight="1">
      <c r="T190" s="5"/>
      <c r="U190" s="5"/>
      <c r="V190" s="5"/>
      <c r="W190" s="5"/>
      <c r="X190" s="5"/>
      <c r="Y190" s="5"/>
    </row>
    <row r="191" ht="15.75" customHeight="1">
      <c r="T191" s="5"/>
      <c r="U191" s="5"/>
      <c r="V191" s="5"/>
      <c r="W191" s="5"/>
      <c r="X191" s="5"/>
      <c r="Y191" s="5"/>
    </row>
    <row r="192" ht="15.75" customHeight="1">
      <c r="T192" s="5"/>
      <c r="U192" s="5"/>
      <c r="V192" s="5"/>
      <c r="W192" s="5"/>
      <c r="X192" s="5"/>
      <c r="Y192" s="5"/>
    </row>
    <row r="193" ht="15.75" customHeight="1">
      <c r="T193" s="5"/>
      <c r="U193" s="5"/>
      <c r="V193" s="5"/>
      <c r="W193" s="5"/>
      <c r="X193" s="5"/>
      <c r="Y193" s="5"/>
    </row>
    <row r="194" ht="15.75" customHeight="1">
      <c r="T194" s="5"/>
      <c r="U194" s="5"/>
      <c r="V194" s="5"/>
      <c r="W194" s="5"/>
      <c r="X194" s="5"/>
      <c r="Y194" s="5"/>
    </row>
    <row r="195" ht="15.75" customHeight="1">
      <c r="T195" s="5"/>
      <c r="U195" s="5"/>
      <c r="V195" s="5"/>
      <c r="W195" s="5"/>
      <c r="X195" s="5"/>
      <c r="Y195" s="5"/>
    </row>
    <row r="196" ht="15.75" customHeight="1">
      <c r="T196" s="5"/>
      <c r="U196" s="5"/>
      <c r="V196" s="5"/>
      <c r="W196" s="5"/>
      <c r="X196" s="5"/>
      <c r="Y196" s="5"/>
    </row>
    <row r="197" ht="15.75" customHeight="1">
      <c r="T197" s="5"/>
      <c r="U197" s="5"/>
      <c r="V197" s="5"/>
      <c r="W197" s="5"/>
      <c r="X197" s="5"/>
      <c r="Y197" s="5"/>
    </row>
    <row r="198" ht="15.75" customHeight="1">
      <c r="T198" s="5"/>
      <c r="U198" s="5"/>
      <c r="V198" s="5"/>
      <c r="W198" s="5"/>
      <c r="X198" s="5"/>
      <c r="Y198" s="5"/>
    </row>
    <row r="199" ht="15.75" customHeight="1">
      <c r="T199" s="5"/>
      <c r="U199" s="5"/>
      <c r="V199" s="5"/>
      <c r="W199" s="5"/>
      <c r="X199" s="5"/>
      <c r="Y199" s="5"/>
    </row>
    <row r="200" ht="15.75" customHeight="1">
      <c r="T200" s="5"/>
      <c r="U200" s="5"/>
      <c r="V200" s="5"/>
      <c r="W200" s="5"/>
      <c r="X200" s="5"/>
      <c r="Y200" s="5"/>
    </row>
    <row r="201" ht="15.75" customHeight="1">
      <c r="T201" s="5"/>
      <c r="U201" s="5"/>
      <c r="V201" s="5"/>
      <c r="W201" s="5"/>
      <c r="X201" s="5"/>
      <c r="Y201" s="5"/>
    </row>
    <row r="202" ht="15.75" customHeight="1">
      <c r="T202" s="5"/>
      <c r="U202" s="5"/>
      <c r="V202" s="5"/>
      <c r="W202" s="5"/>
      <c r="X202" s="5"/>
      <c r="Y202" s="5"/>
    </row>
    <row r="203" ht="15.75" customHeight="1">
      <c r="T203" s="5"/>
      <c r="U203" s="5"/>
      <c r="V203" s="5"/>
      <c r="W203" s="5"/>
      <c r="X203" s="5"/>
      <c r="Y203" s="5"/>
    </row>
    <row r="204" ht="15.75" customHeight="1">
      <c r="T204" s="5"/>
      <c r="U204" s="5"/>
      <c r="V204" s="5"/>
      <c r="W204" s="5"/>
      <c r="X204" s="5"/>
      <c r="Y204" s="5"/>
    </row>
    <row r="205" ht="15.75" customHeight="1">
      <c r="T205" s="5"/>
      <c r="U205" s="5"/>
      <c r="V205" s="5"/>
      <c r="W205" s="5"/>
      <c r="X205" s="5"/>
      <c r="Y205" s="5"/>
    </row>
    <row r="206" ht="15.75" customHeight="1">
      <c r="T206" s="5"/>
      <c r="U206" s="5"/>
      <c r="V206" s="5"/>
      <c r="W206" s="5"/>
      <c r="X206" s="5"/>
      <c r="Y206" s="5"/>
    </row>
    <row r="207" ht="15.75" customHeight="1">
      <c r="T207" s="5"/>
      <c r="U207" s="5"/>
      <c r="V207" s="5"/>
      <c r="W207" s="5"/>
      <c r="X207" s="5"/>
      <c r="Y207" s="5"/>
    </row>
    <row r="208" ht="15.75" customHeight="1">
      <c r="T208" s="5"/>
      <c r="U208" s="5"/>
      <c r="V208" s="5"/>
      <c r="W208" s="5"/>
      <c r="X208" s="5"/>
      <c r="Y208" s="5"/>
    </row>
    <row r="209" ht="15.75" customHeight="1">
      <c r="T209" s="5"/>
      <c r="U209" s="5"/>
      <c r="V209" s="5"/>
      <c r="W209" s="5"/>
      <c r="X209" s="5"/>
      <c r="Y209" s="5"/>
    </row>
    <row r="210" ht="15.75" customHeight="1">
      <c r="T210" s="5"/>
      <c r="U210" s="5"/>
      <c r="V210" s="5"/>
      <c r="W210" s="5"/>
      <c r="X210" s="5"/>
      <c r="Y210" s="5"/>
    </row>
    <row r="211" ht="15.75" customHeight="1">
      <c r="T211" s="5"/>
      <c r="U211" s="5"/>
      <c r="V211" s="5"/>
      <c r="W211" s="5"/>
      <c r="X211" s="5"/>
      <c r="Y211" s="5"/>
    </row>
    <row r="212" ht="15.75" customHeight="1">
      <c r="T212" s="5"/>
      <c r="U212" s="5"/>
      <c r="V212" s="5"/>
      <c r="W212" s="5"/>
      <c r="X212" s="5"/>
      <c r="Y212" s="5"/>
    </row>
    <row r="213" ht="15.75" customHeight="1">
      <c r="T213" s="5"/>
      <c r="U213" s="5"/>
      <c r="V213" s="5"/>
      <c r="W213" s="5"/>
      <c r="X213" s="5"/>
      <c r="Y213" s="5"/>
    </row>
    <row r="214" ht="15.75" customHeight="1">
      <c r="T214" s="5"/>
      <c r="U214" s="5"/>
      <c r="V214" s="5"/>
      <c r="W214" s="5"/>
      <c r="X214" s="5"/>
      <c r="Y214" s="5"/>
    </row>
    <row r="215" ht="15.75" customHeight="1">
      <c r="T215" s="5"/>
      <c r="U215" s="5"/>
      <c r="V215" s="5"/>
      <c r="W215" s="5"/>
      <c r="X215" s="5"/>
      <c r="Y215" s="5"/>
    </row>
    <row r="216" ht="15.75" customHeight="1">
      <c r="T216" s="5"/>
      <c r="U216" s="5"/>
      <c r="V216" s="5"/>
      <c r="W216" s="5"/>
      <c r="X216" s="5"/>
      <c r="Y216" s="5"/>
    </row>
    <row r="217" ht="15.75" customHeight="1">
      <c r="T217" s="5"/>
      <c r="U217" s="5"/>
      <c r="V217" s="5"/>
      <c r="W217" s="5"/>
      <c r="X217" s="5"/>
      <c r="Y217" s="5"/>
    </row>
    <row r="218" ht="15.75" customHeight="1">
      <c r="T218" s="5"/>
      <c r="U218" s="5"/>
      <c r="V218" s="5"/>
      <c r="W218" s="5"/>
      <c r="X218" s="5"/>
      <c r="Y218" s="5"/>
    </row>
    <row r="219" ht="15.75" customHeight="1">
      <c r="T219" s="5"/>
      <c r="U219" s="5"/>
      <c r="V219" s="5"/>
      <c r="W219" s="5"/>
      <c r="X219" s="5"/>
      <c r="Y219" s="5"/>
    </row>
    <row r="220" ht="15.75" customHeight="1">
      <c r="T220" s="5"/>
      <c r="U220" s="5"/>
      <c r="V220" s="5"/>
      <c r="W220" s="5"/>
      <c r="X220" s="5"/>
      <c r="Y220" s="5"/>
    </row>
    <row r="221" ht="15.75" customHeight="1">
      <c r="T221" s="5"/>
      <c r="U221" s="5"/>
      <c r="V221" s="5"/>
      <c r="W221" s="5"/>
      <c r="X221" s="5"/>
      <c r="Y221" s="5"/>
    </row>
    <row r="222" ht="15.75" customHeight="1">
      <c r="T222" s="5"/>
      <c r="U222" s="5"/>
      <c r="V222" s="5"/>
      <c r="W222" s="5"/>
      <c r="X222" s="5"/>
      <c r="Y222" s="5"/>
    </row>
    <row r="223" ht="15.75" customHeight="1">
      <c r="T223" s="5"/>
      <c r="U223" s="5"/>
      <c r="V223" s="5"/>
      <c r="W223" s="5"/>
      <c r="X223" s="5"/>
      <c r="Y223" s="5"/>
    </row>
    <row r="224" ht="15.75" customHeight="1">
      <c r="T224" s="5"/>
      <c r="U224" s="5"/>
      <c r="V224" s="5"/>
      <c r="W224" s="5"/>
      <c r="X224" s="5"/>
      <c r="Y224" s="5"/>
    </row>
    <row r="225" ht="15.75" customHeight="1">
      <c r="T225" s="5"/>
      <c r="U225" s="5"/>
      <c r="V225" s="5"/>
      <c r="W225" s="5"/>
      <c r="X225" s="5"/>
      <c r="Y225" s="5"/>
    </row>
    <row r="226" ht="15.75" customHeight="1">
      <c r="T226" s="5"/>
      <c r="U226" s="5"/>
      <c r="V226" s="5"/>
      <c r="W226" s="5"/>
      <c r="X226" s="5"/>
      <c r="Y226" s="5"/>
    </row>
    <row r="227" ht="15.75" customHeight="1">
      <c r="T227" s="5"/>
      <c r="U227" s="5"/>
      <c r="V227" s="5"/>
      <c r="W227" s="5"/>
      <c r="X227" s="5"/>
      <c r="Y227" s="5"/>
    </row>
    <row r="228" ht="15.75" customHeight="1">
      <c r="T228" s="5"/>
      <c r="U228" s="5"/>
      <c r="V228" s="5"/>
      <c r="W228" s="5"/>
      <c r="X228" s="5"/>
      <c r="Y228" s="5"/>
    </row>
    <row r="229" ht="15.75" customHeight="1">
      <c r="T229" s="5"/>
      <c r="U229" s="5"/>
      <c r="V229" s="5"/>
      <c r="W229" s="5"/>
      <c r="X229" s="5"/>
      <c r="Y229" s="5"/>
    </row>
    <row r="230" ht="15.75" customHeight="1">
      <c r="T230" s="5"/>
      <c r="U230" s="5"/>
      <c r="V230" s="5"/>
      <c r="W230" s="5"/>
      <c r="X230" s="5"/>
      <c r="Y230" s="5"/>
    </row>
    <row r="231" ht="15.75" customHeight="1">
      <c r="T231" s="5"/>
      <c r="U231" s="5"/>
      <c r="V231" s="5"/>
      <c r="W231" s="5"/>
      <c r="X231" s="5"/>
      <c r="Y231" s="5"/>
    </row>
    <row r="232" ht="15.75" customHeight="1">
      <c r="T232" s="5"/>
      <c r="U232" s="5"/>
      <c r="V232" s="5"/>
      <c r="W232" s="5"/>
      <c r="X232" s="5"/>
      <c r="Y232" s="5"/>
    </row>
    <row r="233" ht="15.75" customHeight="1">
      <c r="T233" s="5"/>
      <c r="U233" s="5"/>
      <c r="V233" s="5"/>
      <c r="W233" s="5"/>
      <c r="X233" s="5"/>
      <c r="Y233" s="5"/>
    </row>
    <row r="234" ht="15.75" customHeight="1">
      <c r="T234" s="5"/>
      <c r="U234" s="5"/>
      <c r="V234" s="5"/>
      <c r="W234" s="5"/>
      <c r="X234" s="5"/>
      <c r="Y234" s="5"/>
    </row>
    <row r="235" ht="15.75" customHeight="1">
      <c r="T235" s="5"/>
      <c r="U235" s="5"/>
      <c r="V235" s="5"/>
      <c r="W235" s="5"/>
      <c r="X235" s="5"/>
      <c r="Y235" s="5"/>
    </row>
    <row r="236" ht="15.75" customHeight="1">
      <c r="T236" s="5"/>
      <c r="U236" s="5"/>
      <c r="V236" s="5"/>
      <c r="W236" s="5"/>
      <c r="X236" s="5"/>
      <c r="Y236" s="5"/>
    </row>
    <row r="237" ht="15.75" customHeight="1">
      <c r="T237" s="5"/>
      <c r="U237" s="5"/>
      <c r="V237" s="5"/>
      <c r="W237" s="5"/>
      <c r="X237" s="5"/>
      <c r="Y237" s="5"/>
    </row>
    <row r="238" ht="15.75" customHeight="1">
      <c r="T238" s="5"/>
      <c r="U238" s="5"/>
      <c r="V238" s="5"/>
      <c r="W238" s="5"/>
      <c r="X238" s="5"/>
      <c r="Y238" s="5"/>
    </row>
    <row r="239" ht="15.75" customHeight="1">
      <c r="T239" s="5"/>
      <c r="U239" s="5"/>
      <c r="V239" s="5"/>
      <c r="W239" s="5"/>
      <c r="X239" s="5"/>
      <c r="Y239" s="5"/>
    </row>
    <row r="240" ht="15.75" customHeight="1">
      <c r="T240" s="5"/>
      <c r="U240" s="5"/>
      <c r="V240" s="5"/>
      <c r="W240" s="5"/>
      <c r="X240" s="5"/>
      <c r="Y240" s="5"/>
    </row>
    <row r="241" ht="15.75" customHeight="1">
      <c r="T241" s="5"/>
      <c r="U241" s="5"/>
      <c r="V241" s="5"/>
      <c r="W241" s="5"/>
      <c r="X241" s="5"/>
      <c r="Y241" s="5"/>
    </row>
    <row r="242" ht="15.75" customHeight="1">
      <c r="T242" s="5"/>
      <c r="U242" s="5"/>
      <c r="V242" s="5"/>
      <c r="W242" s="5"/>
      <c r="X242" s="5"/>
      <c r="Y242" s="5"/>
    </row>
    <row r="243" ht="15.75" customHeight="1">
      <c r="T243" s="5"/>
      <c r="U243" s="5"/>
      <c r="V243" s="5"/>
      <c r="W243" s="5"/>
      <c r="X243" s="5"/>
      <c r="Y243" s="5"/>
    </row>
    <row r="244" ht="15.75" customHeight="1">
      <c r="T244" s="5"/>
      <c r="U244" s="5"/>
      <c r="V244" s="5"/>
      <c r="W244" s="5"/>
      <c r="X244" s="5"/>
      <c r="Y244" s="5"/>
    </row>
    <row r="245" ht="15.75" customHeight="1">
      <c r="T245" s="5"/>
      <c r="U245" s="5"/>
      <c r="V245" s="5"/>
      <c r="W245" s="5"/>
      <c r="X245" s="5"/>
      <c r="Y245" s="5"/>
    </row>
    <row r="246" ht="15.75" customHeight="1">
      <c r="T246" s="5"/>
      <c r="U246" s="5"/>
      <c r="V246" s="5"/>
      <c r="W246" s="5"/>
      <c r="X246" s="5"/>
      <c r="Y246" s="5"/>
    </row>
    <row r="247" ht="15.75" customHeight="1">
      <c r="T247" s="5"/>
      <c r="U247" s="5"/>
      <c r="V247" s="5"/>
      <c r="W247" s="5"/>
      <c r="X247" s="5"/>
      <c r="Y247" s="5"/>
    </row>
    <row r="248" ht="15.75" customHeight="1">
      <c r="T248" s="5"/>
      <c r="U248" s="5"/>
      <c r="V248" s="5"/>
      <c r="W248" s="5"/>
      <c r="X248" s="5"/>
      <c r="Y248" s="5"/>
    </row>
    <row r="249" ht="15.75" customHeight="1">
      <c r="T249" s="5"/>
      <c r="U249" s="5"/>
      <c r="V249" s="5"/>
      <c r="W249" s="5"/>
      <c r="X249" s="5"/>
      <c r="Y249" s="5"/>
    </row>
    <row r="250" ht="15.75" customHeight="1">
      <c r="T250" s="5"/>
      <c r="U250" s="5"/>
      <c r="V250" s="5"/>
      <c r="W250" s="5"/>
      <c r="X250" s="5"/>
      <c r="Y250" s="5"/>
    </row>
    <row r="251" ht="15.75" customHeight="1">
      <c r="T251" s="5"/>
      <c r="U251" s="5"/>
      <c r="V251" s="5"/>
      <c r="W251" s="5"/>
      <c r="X251" s="5"/>
      <c r="Y251" s="5"/>
    </row>
    <row r="252" ht="15.75" customHeight="1">
      <c r="T252" s="5"/>
      <c r="U252" s="5"/>
      <c r="V252" s="5"/>
      <c r="W252" s="5"/>
      <c r="X252" s="5"/>
      <c r="Y252" s="5"/>
    </row>
    <row r="253" ht="15.75" customHeight="1">
      <c r="T253" s="5"/>
      <c r="U253" s="5"/>
      <c r="V253" s="5"/>
      <c r="W253" s="5"/>
      <c r="X253" s="5"/>
      <c r="Y253" s="5"/>
    </row>
    <row r="254" ht="15.75" customHeight="1">
      <c r="T254" s="5"/>
      <c r="U254" s="5"/>
      <c r="V254" s="5"/>
      <c r="W254" s="5"/>
      <c r="X254" s="5"/>
      <c r="Y254" s="5"/>
    </row>
    <row r="255" ht="15.75" customHeight="1">
      <c r="T255" s="5"/>
      <c r="U255" s="5"/>
      <c r="V255" s="5"/>
      <c r="W255" s="5"/>
      <c r="X255" s="5"/>
      <c r="Y255" s="5"/>
    </row>
    <row r="256" ht="15.75" customHeight="1">
      <c r="T256" s="5"/>
      <c r="U256" s="5"/>
      <c r="V256" s="5"/>
      <c r="W256" s="5"/>
      <c r="X256" s="5"/>
      <c r="Y256" s="5"/>
    </row>
    <row r="257" ht="15.75" customHeight="1">
      <c r="T257" s="5"/>
      <c r="U257" s="5"/>
      <c r="V257" s="5"/>
      <c r="W257" s="5"/>
      <c r="X257" s="5"/>
      <c r="Y257" s="5"/>
    </row>
    <row r="258" ht="15.75" customHeight="1">
      <c r="T258" s="5"/>
      <c r="U258" s="5"/>
      <c r="V258" s="5"/>
      <c r="W258" s="5"/>
      <c r="X258" s="5"/>
      <c r="Y258" s="5"/>
    </row>
    <row r="259" ht="15.75" customHeight="1">
      <c r="T259" s="5"/>
      <c r="U259" s="5"/>
      <c r="V259" s="5"/>
      <c r="W259" s="5"/>
      <c r="X259" s="5"/>
      <c r="Y259" s="5"/>
    </row>
    <row r="260" ht="15.75" customHeight="1">
      <c r="T260" s="5"/>
      <c r="U260" s="5"/>
      <c r="V260" s="5"/>
      <c r="W260" s="5"/>
      <c r="X260" s="5"/>
      <c r="Y260" s="5"/>
    </row>
    <row r="261" ht="15.75" customHeight="1">
      <c r="T261" s="5"/>
      <c r="U261" s="5"/>
      <c r="V261" s="5"/>
      <c r="W261" s="5"/>
      <c r="X261" s="5"/>
      <c r="Y261" s="5"/>
    </row>
    <row r="262" ht="15.75" customHeight="1">
      <c r="T262" s="5"/>
      <c r="U262" s="5"/>
      <c r="V262" s="5"/>
      <c r="W262" s="5"/>
      <c r="X262" s="5"/>
      <c r="Y262" s="5"/>
    </row>
    <row r="263" ht="15.75" customHeight="1">
      <c r="T263" s="5"/>
      <c r="U263" s="5"/>
      <c r="V263" s="5"/>
      <c r="W263" s="5"/>
      <c r="X263" s="5"/>
      <c r="Y263" s="5"/>
    </row>
    <row r="264" ht="15.75" customHeight="1">
      <c r="T264" s="5"/>
      <c r="U264" s="5"/>
      <c r="V264" s="5"/>
      <c r="W264" s="5"/>
      <c r="X264" s="5"/>
      <c r="Y264" s="5"/>
    </row>
    <row r="265" ht="15.75" customHeight="1">
      <c r="T265" s="5"/>
      <c r="U265" s="5"/>
      <c r="V265" s="5"/>
      <c r="W265" s="5"/>
      <c r="X265" s="5"/>
      <c r="Y265" s="5"/>
    </row>
    <row r="266" ht="15.75" customHeight="1">
      <c r="T266" s="5"/>
      <c r="U266" s="5"/>
      <c r="V266" s="5"/>
      <c r="W266" s="5"/>
      <c r="X266" s="5"/>
      <c r="Y266" s="5"/>
    </row>
    <row r="267" ht="15.75" customHeight="1">
      <c r="T267" s="5"/>
      <c r="U267" s="5"/>
      <c r="V267" s="5"/>
      <c r="W267" s="5"/>
      <c r="X267" s="5"/>
      <c r="Y267" s="5"/>
    </row>
    <row r="268" ht="15.75" customHeight="1">
      <c r="T268" s="5"/>
      <c r="U268" s="5"/>
      <c r="V268" s="5"/>
      <c r="W268" s="5"/>
      <c r="X268" s="5"/>
      <c r="Y268" s="5"/>
    </row>
    <row r="269" ht="15.75" customHeight="1">
      <c r="T269" s="5"/>
      <c r="U269" s="5"/>
      <c r="V269" s="5"/>
      <c r="W269" s="5"/>
      <c r="X269" s="5"/>
      <c r="Y269" s="5"/>
    </row>
    <row r="270" ht="15.75" customHeight="1">
      <c r="T270" s="5"/>
      <c r="U270" s="5"/>
      <c r="V270" s="5"/>
      <c r="W270" s="5"/>
      <c r="X270" s="5"/>
      <c r="Y270" s="5"/>
    </row>
    <row r="271" ht="15.75" customHeight="1">
      <c r="T271" s="5"/>
      <c r="U271" s="5"/>
      <c r="V271" s="5"/>
      <c r="W271" s="5"/>
      <c r="X271" s="5"/>
      <c r="Y271" s="5"/>
    </row>
    <row r="272" ht="15.75" customHeight="1">
      <c r="T272" s="5"/>
      <c r="U272" s="5"/>
      <c r="V272" s="5"/>
      <c r="W272" s="5"/>
      <c r="X272" s="5"/>
      <c r="Y272" s="5"/>
    </row>
    <row r="273" ht="15.75" customHeight="1">
      <c r="T273" s="5"/>
      <c r="U273" s="5"/>
      <c r="V273" s="5"/>
      <c r="W273" s="5"/>
      <c r="X273" s="5"/>
      <c r="Y273" s="5"/>
    </row>
    <row r="274" ht="15.75" customHeight="1">
      <c r="T274" s="5"/>
      <c r="U274" s="5"/>
      <c r="V274" s="5"/>
      <c r="W274" s="5"/>
      <c r="X274" s="5"/>
      <c r="Y274" s="5"/>
    </row>
    <row r="275" ht="15.75" customHeight="1">
      <c r="T275" s="5"/>
      <c r="U275" s="5"/>
      <c r="V275" s="5"/>
      <c r="W275" s="5"/>
      <c r="X275" s="5"/>
      <c r="Y275" s="5"/>
    </row>
    <row r="276" ht="15.75" customHeight="1">
      <c r="T276" s="5"/>
      <c r="U276" s="5"/>
      <c r="V276" s="5"/>
      <c r="W276" s="5"/>
      <c r="X276" s="5"/>
      <c r="Y276" s="5"/>
    </row>
    <row r="277" ht="15.75" customHeight="1">
      <c r="T277" s="5"/>
      <c r="U277" s="5"/>
      <c r="V277" s="5"/>
      <c r="W277" s="5"/>
      <c r="X277" s="5"/>
      <c r="Y277" s="5"/>
    </row>
    <row r="278" ht="15.75" customHeight="1">
      <c r="T278" s="5"/>
      <c r="U278" s="5"/>
      <c r="V278" s="5"/>
      <c r="W278" s="5"/>
      <c r="X278" s="5"/>
      <c r="Y278" s="5"/>
    </row>
    <row r="279" ht="15.75" customHeight="1">
      <c r="T279" s="5"/>
      <c r="U279" s="5"/>
      <c r="V279" s="5"/>
      <c r="W279" s="5"/>
      <c r="X279" s="5"/>
      <c r="Y279" s="5"/>
    </row>
    <row r="280" ht="15.75" customHeight="1">
      <c r="T280" s="5"/>
      <c r="U280" s="5"/>
      <c r="V280" s="5"/>
      <c r="W280" s="5"/>
      <c r="X280" s="5"/>
      <c r="Y280" s="5"/>
    </row>
    <row r="281" ht="15.75" customHeight="1">
      <c r="T281" s="5"/>
      <c r="U281" s="5"/>
      <c r="V281" s="5"/>
      <c r="W281" s="5"/>
      <c r="X281" s="5"/>
      <c r="Y281" s="5"/>
    </row>
    <row r="282" ht="15.75" customHeight="1">
      <c r="T282" s="5"/>
      <c r="U282" s="5"/>
      <c r="V282" s="5"/>
      <c r="W282" s="5"/>
      <c r="X282" s="5"/>
      <c r="Y282" s="5"/>
    </row>
    <row r="283" ht="15.75" customHeight="1">
      <c r="T283" s="5"/>
      <c r="U283" s="5"/>
      <c r="V283" s="5"/>
      <c r="W283" s="5"/>
      <c r="X283" s="5"/>
      <c r="Y283" s="5"/>
    </row>
    <row r="284" ht="15.75" customHeight="1">
      <c r="T284" s="5"/>
      <c r="U284" s="5"/>
      <c r="V284" s="5"/>
      <c r="W284" s="5"/>
      <c r="X284" s="5"/>
      <c r="Y284" s="5"/>
    </row>
    <row r="285" ht="15.75" customHeight="1">
      <c r="T285" s="5"/>
      <c r="U285" s="5"/>
      <c r="V285" s="5"/>
      <c r="W285" s="5"/>
      <c r="X285" s="5"/>
      <c r="Y285" s="5"/>
    </row>
    <row r="286" ht="15.75" customHeight="1">
      <c r="T286" s="5"/>
      <c r="U286" s="5"/>
      <c r="V286" s="5"/>
      <c r="W286" s="5"/>
      <c r="X286" s="5"/>
      <c r="Y286" s="5"/>
    </row>
    <row r="287" ht="15.75" customHeight="1">
      <c r="T287" s="5"/>
      <c r="U287" s="5"/>
      <c r="V287" s="5"/>
      <c r="W287" s="5"/>
      <c r="X287" s="5"/>
      <c r="Y287" s="5"/>
    </row>
    <row r="288" ht="15.75" customHeight="1">
      <c r="T288" s="5"/>
      <c r="U288" s="5"/>
      <c r="V288" s="5"/>
      <c r="W288" s="5"/>
      <c r="X288" s="5"/>
      <c r="Y288" s="5"/>
    </row>
    <row r="289" ht="15.75" customHeight="1">
      <c r="T289" s="5"/>
      <c r="U289" s="5"/>
      <c r="V289" s="5"/>
      <c r="W289" s="5"/>
      <c r="X289" s="5"/>
      <c r="Y289" s="5"/>
    </row>
    <row r="290" ht="15.75" customHeight="1">
      <c r="T290" s="5"/>
      <c r="U290" s="5"/>
      <c r="V290" s="5"/>
      <c r="W290" s="5"/>
      <c r="X290" s="5"/>
      <c r="Y290" s="5"/>
    </row>
    <row r="291" ht="15.75" customHeight="1">
      <c r="T291" s="5"/>
      <c r="U291" s="5"/>
      <c r="V291" s="5"/>
      <c r="W291" s="5"/>
      <c r="X291" s="5"/>
      <c r="Y291" s="5"/>
    </row>
    <row r="292" ht="15.75" customHeight="1">
      <c r="T292" s="5"/>
      <c r="U292" s="5"/>
      <c r="V292" s="5"/>
      <c r="W292" s="5"/>
      <c r="X292" s="5"/>
      <c r="Y292" s="5"/>
    </row>
    <row r="293" ht="15.75" customHeight="1">
      <c r="T293" s="5"/>
      <c r="U293" s="5"/>
      <c r="V293" s="5"/>
      <c r="W293" s="5"/>
      <c r="X293" s="5"/>
      <c r="Y293" s="5"/>
    </row>
    <row r="294" ht="15.75" customHeight="1">
      <c r="T294" s="5"/>
      <c r="U294" s="5"/>
      <c r="V294" s="5"/>
      <c r="W294" s="5"/>
      <c r="X294" s="5"/>
      <c r="Y294" s="5"/>
    </row>
    <row r="295" ht="15.75" customHeight="1">
      <c r="T295" s="5"/>
      <c r="U295" s="5"/>
      <c r="V295" s="5"/>
      <c r="W295" s="5"/>
      <c r="X295" s="5"/>
      <c r="Y295" s="5"/>
    </row>
    <row r="296" ht="15.75" customHeight="1">
      <c r="T296" s="5"/>
      <c r="U296" s="5"/>
      <c r="V296" s="5"/>
      <c r="W296" s="5"/>
      <c r="X296" s="5"/>
      <c r="Y296" s="5"/>
    </row>
    <row r="297" ht="15.75" customHeight="1">
      <c r="T297" s="5"/>
      <c r="U297" s="5"/>
      <c r="V297" s="5"/>
      <c r="W297" s="5"/>
      <c r="X297" s="5"/>
      <c r="Y297" s="5"/>
    </row>
    <row r="298" ht="15.75" customHeight="1">
      <c r="T298" s="5"/>
      <c r="U298" s="5"/>
      <c r="V298" s="5"/>
      <c r="W298" s="5"/>
      <c r="X298" s="5"/>
      <c r="Y298" s="5"/>
    </row>
    <row r="299" ht="15.75" customHeight="1">
      <c r="T299" s="5"/>
      <c r="U299" s="5"/>
      <c r="V299" s="5"/>
      <c r="W299" s="5"/>
      <c r="X299" s="5"/>
      <c r="Y299" s="5"/>
    </row>
    <row r="300" ht="15.75" customHeight="1">
      <c r="T300" s="5"/>
      <c r="U300" s="5"/>
      <c r="V300" s="5"/>
      <c r="W300" s="5"/>
      <c r="X300" s="5"/>
      <c r="Y300" s="5"/>
    </row>
    <row r="301" ht="15.75" customHeight="1">
      <c r="T301" s="5"/>
      <c r="U301" s="5"/>
      <c r="V301" s="5"/>
      <c r="W301" s="5"/>
      <c r="X301" s="5"/>
      <c r="Y301" s="5"/>
    </row>
    <row r="302" ht="15.75" customHeight="1">
      <c r="T302" s="5"/>
      <c r="U302" s="5"/>
      <c r="V302" s="5"/>
      <c r="W302" s="5"/>
      <c r="X302" s="5"/>
      <c r="Y302" s="5"/>
    </row>
    <row r="303" ht="15.75" customHeight="1">
      <c r="T303" s="5"/>
      <c r="U303" s="5"/>
      <c r="V303" s="5"/>
      <c r="W303" s="5"/>
      <c r="X303" s="5"/>
      <c r="Y303" s="5"/>
    </row>
    <row r="304" ht="15.75" customHeight="1">
      <c r="T304" s="5"/>
      <c r="U304" s="5"/>
      <c r="V304" s="5"/>
      <c r="W304" s="5"/>
      <c r="X304" s="5"/>
      <c r="Y304" s="5"/>
    </row>
    <row r="305" ht="15.75" customHeight="1">
      <c r="T305" s="5"/>
      <c r="U305" s="5"/>
      <c r="V305" s="5"/>
      <c r="W305" s="5"/>
      <c r="X305" s="5"/>
      <c r="Y305" s="5"/>
    </row>
    <row r="306" ht="15.75" customHeight="1">
      <c r="T306" s="5"/>
      <c r="U306" s="5"/>
      <c r="V306" s="5"/>
      <c r="W306" s="5"/>
      <c r="X306" s="5"/>
      <c r="Y306" s="5"/>
    </row>
    <row r="307" ht="15.75" customHeight="1">
      <c r="T307" s="5"/>
      <c r="U307" s="5"/>
      <c r="V307" s="5"/>
      <c r="W307" s="5"/>
      <c r="X307" s="5"/>
      <c r="Y307" s="5"/>
    </row>
    <row r="308" ht="15.75" customHeight="1">
      <c r="T308" s="5"/>
      <c r="U308" s="5"/>
      <c r="V308" s="5"/>
      <c r="W308" s="5"/>
      <c r="X308" s="5"/>
      <c r="Y308" s="5"/>
    </row>
    <row r="309" ht="15.75" customHeight="1">
      <c r="T309" s="5"/>
      <c r="U309" s="5"/>
      <c r="V309" s="5"/>
      <c r="W309" s="5"/>
      <c r="X309" s="5"/>
      <c r="Y309" s="5"/>
    </row>
    <row r="310" ht="15.75" customHeight="1">
      <c r="T310" s="5"/>
      <c r="U310" s="5"/>
      <c r="V310" s="5"/>
      <c r="W310" s="5"/>
      <c r="X310" s="5"/>
      <c r="Y310" s="5"/>
    </row>
    <row r="311" ht="15.75" customHeight="1">
      <c r="T311" s="5"/>
      <c r="U311" s="5"/>
      <c r="V311" s="5"/>
      <c r="W311" s="5"/>
      <c r="X311" s="5"/>
      <c r="Y311" s="5"/>
    </row>
    <row r="312" ht="15.75" customHeight="1">
      <c r="T312" s="5"/>
      <c r="U312" s="5"/>
      <c r="V312" s="5"/>
      <c r="W312" s="5"/>
      <c r="X312" s="5"/>
      <c r="Y312" s="5"/>
    </row>
    <row r="313" ht="15.75" customHeight="1">
      <c r="T313" s="5"/>
      <c r="U313" s="5"/>
      <c r="V313" s="5"/>
      <c r="W313" s="5"/>
      <c r="X313" s="5"/>
      <c r="Y313" s="5"/>
    </row>
    <row r="314" ht="15.75" customHeight="1">
      <c r="T314" s="5"/>
      <c r="U314" s="5"/>
      <c r="V314" s="5"/>
      <c r="W314" s="5"/>
      <c r="X314" s="5"/>
      <c r="Y314" s="5"/>
    </row>
    <row r="315" ht="15.75" customHeight="1">
      <c r="T315" s="5"/>
      <c r="U315" s="5"/>
      <c r="V315" s="5"/>
      <c r="W315" s="5"/>
      <c r="X315" s="5"/>
      <c r="Y315" s="5"/>
    </row>
    <row r="316" ht="15.75" customHeight="1">
      <c r="T316" s="5"/>
      <c r="U316" s="5"/>
      <c r="V316" s="5"/>
      <c r="W316" s="5"/>
      <c r="X316" s="5"/>
      <c r="Y316" s="5"/>
    </row>
    <row r="317" ht="15.75" customHeight="1">
      <c r="T317" s="5"/>
      <c r="U317" s="5"/>
      <c r="V317" s="5"/>
      <c r="W317" s="5"/>
      <c r="X317" s="5"/>
      <c r="Y317" s="5"/>
    </row>
    <row r="318" ht="15.75" customHeight="1">
      <c r="T318" s="5"/>
      <c r="U318" s="5"/>
      <c r="V318" s="5"/>
      <c r="W318" s="5"/>
      <c r="X318" s="5"/>
      <c r="Y318" s="5"/>
    </row>
    <row r="319" ht="15.75" customHeight="1">
      <c r="T319" s="5"/>
      <c r="U319" s="5"/>
      <c r="V319" s="5"/>
      <c r="W319" s="5"/>
      <c r="X319" s="5"/>
      <c r="Y319" s="5"/>
    </row>
    <row r="320" ht="15.75" customHeight="1">
      <c r="T320" s="5"/>
      <c r="U320" s="5"/>
      <c r="V320" s="5"/>
      <c r="W320" s="5"/>
      <c r="X320" s="5"/>
      <c r="Y320" s="5"/>
    </row>
    <row r="321" ht="15.75" customHeight="1">
      <c r="T321" s="5"/>
      <c r="U321" s="5"/>
      <c r="V321" s="5"/>
      <c r="W321" s="5"/>
      <c r="X321" s="5"/>
      <c r="Y321" s="5"/>
    </row>
    <row r="322" ht="15.75" customHeight="1">
      <c r="T322" s="5"/>
      <c r="U322" s="5"/>
      <c r="V322" s="5"/>
      <c r="W322" s="5"/>
      <c r="X322" s="5"/>
      <c r="Y322" s="5"/>
    </row>
    <row r="323" ht="15.75" customHeight="1">
      <c r="T323" s="5"/>
      <c r="U323" s="5"/>
      <c r="V323" s="5"/>
      <c r="W323" s="5"/>
      <c r="X323" s="5"/>
      <c r="Y323" s="5"/>
    </row>
    <row r="324" ht="15.75" customHeight="1">
      <c r="T324" s="5"/>
      <c r="U324" s="5"/>
      <c r="V324" s="5"/>
      <c r="W324" s="5"/>
      <c r="X324" s="5"/>
      <c r="Y324" s="5"/>
    </row>
    <row r="325" ht="15.75" customHeight="1">
      <c r="T325" s="5"/>
      <c r="U325" s="5"/>
      <c r="V325" s="5"/>
      <c r="W325" s="5"/>
      <c r="X325" s="5"/>
      <c r="Y325" s="5"/>
    </row>
    <row r="326" ht="15.75" customHeight="1">
      <c r="T326" s="5"/>
      <c r="U326" s="5"/>
      <c r="V326" s="5"/>
      <c r="W326" s="5"/>
      <c r="X326" s="5"/>
      <c r="Y326" s="5"/>
    </row>
    <row r="327" ht="15.75" customHeight="1">
      <c r="T327" s="5"/>
      <c r="U327" s="5"/>
      <c r="V327" s="5"/>
      <c r="W327" s="5"/>
      <c r="X327" s="5"/>
      <c r="Y327" s="5"/>
    </row>
    <row r="328" ht="15.75" customHeight="1">
      <c r="T328" s="5"/>
      <c r="U328" s="5"/>
      <c r="V328" s="5"/>
      <c r="W328" s="5"/>
      <c r="X328" s="5"/>
      <c r="Y328" s="5"/>
    </row>
    <row r="329" ht="15.75" customHeight="1">
      <c r="T329" s="5"/>
      <c r="U329" s="5"/>
      <c r="V329" s="5"/>
      <c r="W329" s="5"/>
      <c r="X329" s="5"/>
      <c r="Y329" s="5"/>
    </row>
    <row r="330" ht="15.75" customHeight="1">
      <c r="T330" s="5"/>
      <c r="U330" s="5"/>
      <c r="V330" s="5"/>
      <c r="W330" s="5"/>
      <c r="X330" s="5"/>
      <c r="Y330" s="5"/>
    </row>
    <row r="331" ht="15.75" customHeight="1">
      <c r="T331" s="5"/>
      <c r="U331" s="5"/>
      <c r="V331" s="5"/>
      <c r="W331" s="5"/>
      <c r="X331" s="5"/>
      <c r="Y331" s="5"/>
    </row>
    <row r="332" ht="15.75" customHeight="1">
      <c r="T332" s="5"/>
      <c r="U332" s="5"/>
      <c r="V332" s="5"/>
      <c r="W332" s="5"/>
      <c r="X332" s="5"/>
      <c r="Y332" s="5"/>
    </row>
    <row r="333" ht="15.75" customHeight="1">
      <c r="T333" s="5"/>
      <c r="U333" s="5"/>
      <c r="V333" s="5"/>
      <c r="W333" s="5"/>
      <c r="X333" s="5"/>
      <c r="Y333" s="5"/>
    </row>
    <row r="334" ht="15.75" customHeight="1">
      <c r="T334" s="5"/>
      <c r="U334" s="5"/>
      <c r="V334" s="5"/>
      <c r="W334" s="5"/>
      <c r="X334" s="5"/>
      <c r="Y334" s="5"/>
    </row>
    <row r="335" ht="15.75" customHeight="1">
      <c r="T335" s="5"/>
      <c r="U335" s="5"/>
      <c r="V335" s="5"/>
      <c r="W335" s="5"/>
      <c r="X335" s="5"/>
      <c r="Y335" s="5"/>
    </row>
    <row r="336" ht="15.75" customHeight="1">
      <c r="T336" s="5"/>
      <c r="U336" s="5"/>
      <c r="V336" s="5"/>
      <c r="W336" s="5"/>
      <c r="X336" s="5"/>
      <c r="Y336" s="5"/>
    </row>
    <row r="337" ht="15.75" customHeight="1">
      <c r="T337" s="5"/>
      <c r="U337" s="5"/>
      <c r="V337" s="5"/>
      <c r="W337" s="5"/>
      <c r="X337" s="5"/>
      <c r="Y337" s="5"/>
    </row>
    <row r="338" ht="15.75" customHeight="1">
      <c r="T338" s="5"/>
      <c r="U338" s="5"/>
      <c r="V338" s="5"/>
      <c r="W338" s="5"/>
      <c r="X338" s="5"/>
      <c r="Y338" s="5"/>
    </row>
    <row r="339" ht="15.75" customHeight="1">
      <c r="T339" s="5"/>
      <c r="U339" s="5"/>
      <c r="V339" s="5"/>
      <c r="W339" s="5"/>
      <c r="X339" s="5"/>
      <c r="Y339" s="5"/>
    </row>
    <row r="340" ht="15.75" customHeight="1">
      <c r="T340" s="5"/>
      <c r="U340" s="5"/>
      <c r="V340" s="5"/>
      <c r="W340" s="5"/>
      <c r="X340" s="5"/>
      <c r="Y340" s="5"/>
    </row>
    <row r="341" ht="15.75" customHeight="1">
      <c r="T341" s="5"/>
      <c r="U341" s="5"/>
      <c r="V341" s="5"/>
      <c r="W341" s="5"/>
      <c r="X341" s="5"/>
      <c r="Y341" s="5"/>
    </row>
    <row r="342" ht="15.75" customHeight="1">
      <c r="T342" s="5"/>
      <c r="U342" s="5"/>
      <c r="V342" s="5"/>
      <c r="W342" s="5"/>
      <c r="X342" s="5"/>
      <c r="Y342" s="5"/>
    </row>
    <row r="343" ht="15.75" customHeight="1">
      <c r="T343" s="5"/>
      <c r="U343" s="5"/>
      <c r="V343" s="5"/>
      <c r="W343" s="5"/>
      <c r="X343" s="5"/>
      <c r="Y343" s="5"/>
    </row>
    <row r="344" ht="15.75" customHeight="1">
      <c r="T344" s="5"/>
      <c r="U344" s="5"/>
      <c r="V344" s="5"/>
      <c r="W344" s="5"/>
      <c r="X344" s="5"/>
      <c r="Y344" s="5"/>
    </row>
    <row r="345" ht="15.75" customHeight="1">
      <c r="T345" s="5"/>
      <c r="U345" s="5"/>
      <c r="V345" s="5"/>
      <c r="W345" s="5"/>
      <c r="X345" s="5"/>
      <c r="Y345" s="5"/>
    </row>
    <row r="346" ht="15.75" customHeight="1">
      <c r="T346" s="5"/>
      <c r="U346" s="5"/>
      <c r="V346" s="5"/>
      <c r="W346" s="5"/>
      <c r="X346" s="5"/>
      <c r="Y346" s="5"/>
    </row>
    <row r="347" ht="15.75" customHeight="1">
      <c r="T347" s="5"/>
      <c r="U347" s="5"/>
      <c r="V347" s="5"/>
      <c r="W347" s="5"/>
      <c r="X347" s="5"/>
      <c r="Y347" s="5"/>
    </row>
    <row r="348" ht="15.75" customHeight="1">
      <c r="T348" s="5"/>
      <c r="U348" s="5"/>
      <c r="V348" s="5"/>
      <c r="W348" s="5"/>
      <c r="X348" s="5"/>
      <c r="Y348" s="5"/>
    </row>
    <row r="349" ht="15.75" customHeight="1">
      <c r="T349" s="5"/>
      <c r="U349" s="5"/>
      <c r="V349" s="5"/>
      <c r="W349" s="5"/>
      <c r="X349" s="5"/>
      <c r="Y349" s="5"/>
    </row>
    <row r="350" ht="15.75" customHeight="1">
      <c r="T350" s="5"/>
      <c r="U350" s="5"/>
      <c r="V350" s="5"/>
      <c r="W350" s="5"/>
      <c r="X350" s="5"/>
      <c r="Y350" s="5"/>
    </row>
    <row r="351" ht="15.75" customHeight="1">
      <c r="T351" s="5"/>
      <c r="U351" s="5"/>
      <c r="V351" s="5"/>
      <c r="W351" s="5"/>
      <c r="X351" s="5"/>
      <c r="Y351" s="5"/>
    </row>
    <row r="352" ht="15.75" customHeight="1">
      <c r="T352" s="5"/>
      <c r="U352" s="5"/>
      <c r="V352" s="5"/>
      <c r="W352" s="5"/>
      <c r="X352" s="5"/>
      <c r="Y352" s="5"/>
    </row>
    <row r="353" ht="15.75" customHeight="1">
      <c r="T353" s="5"/>
      <c r="U353" s="5"/>
      <c r="V353" s="5"/>
      <c r="W353" s="5"/>
      <c r="X353" s="5"/>
      <c r="Y353" s="5"/>
    </row>
    <row r="354" ht="15.75" customHeight="1">
      <c r="T354" s="5"/>
      <c r="U354" s="5"/>
      <c r="V354" s="5"/>
      <c r="W354" s="5"/>
      <c r="X354" s="5"/>
      <c r="Y354" s="5"/>
    </row>
    <row r="355" ht="15.75" customHeight="1">
      <c r="T355" s="5"/>
      <c r="U355" s="5"/>
      <c r="V355" s="5"/>
      <c r="W355" s="5"/>
      <c r="X355" s="5"/>
      <c r="Y355" s="5"/>
    </row>
    <row r="356" ht="15.75" customHeight="1">
      <c r="T356" s="5"/>
      <c r="U356" s="5"/>
      <c r="V356" s="5"/>
      <c r="W356" s="5"/>
      <c r="X356" s="5"/>
      <c r="Y356" s="5"/>
    </row>
    <row r="357" ht="15.75" customHeight="1">
      <c r="T357" s="5"/>
      <c r="U357" s="5"/>
      <c r="V357" s="5"/>
      <c r="W357" s="5"/>
      <c r="X357" s="5"/>
      <c r="Y357" s="5"/>
    </row>
    <row r="358" ht="15.75" customHeight="1">
      <c r="T358" s="5"/>
      <c r="U358" s="5"/>
      <c r="V358" s="5"/>
      <c r="W358" s="5"/>
      <c r="X358" s="5"/>
      <c r="Y358" s="5"/>
    </row>
    <row r="359" ht="15.75" customHeight="1">
      <c r="T359" s="5"/>
      <c r="U359" s="5"/>
      <c r="V359" s="5"/>
      <c r="W359" s="5"/>
      <c r="X359" s="5"/>
      <c r="Y359" s="5"/>
    </row>
    <row r="360" ht="15.75" customHeight="1">
      <c r="T360" s="5"/>
      <c r="U360" s="5"/>
      <c r="V360" s="5"/>
      <c r="W360" s="5"/>
      <c r="X360" s="5"/>
      <c r="Y360" s="5"/>
    </row>
    <row r="361" ht="15.75" customHeight="1">
      <c r="T361" s="5"/>
      <c r="U361" s="5"/>
      <c r="V361" s="5"/>
      <c r="W361" s="5"/>
      <c r="X361" s="5"/>
      <c r="Y361" s="5"/>
    </row>
    <row r="362" ht="15.75" customHeight="1">
      <c r="T362" s="5"/>
      <c r="U362" s="5"/>
      <c r="V362" s="5"/>
      <c r="W362" s="5"/>
      <c r="X362" s="5"/>
      <c r="Y362" s="5"/>
    </row>
    <row r="363" ht="15.75" customHeight="1">
      <c r="T363" s="5"/>
      <c r="U363" s="5"/>
      <c r="V363" s="5"/>
      <c r="W363" s="5"/>
      <c r="X363" s="5"/>
      <c r="Y363" s="5"/>
    </row>
    <row r="364" ht="15.75" customHeight="1">
      <c r="T364" s="5"/>
      <c r="U364" s="5"/>
      <c r="V364" s="5"/>
      <c r="W364" s="5"/>
      <c r="X364" s="5"/>
      <c r="Y364" s="5"/>
    </row>
    <row r="365" ht="15.75" customHeight="1">
      <c r="T365" s="5"/>
      <c r="U365" s="5"/>
      <c r="V365" s="5"/>
      <c r="W365" s="5"/>
      <c r="X365" s="5"/>
      <c r="Y365" s="5"/>
    </row>
    <row r="366" ht="15.75" customHeight="1">
      <c r="T366" s="5"/>
      <c r="U366" s="5"/>
      <c r="V366" s="5"/>
      <c r="W366" s="5"/>
      <c r="X366" s="5"/>
      <c r="Y366" s="5"/>
    </row>
    <row r="367" ht="15.75" customHeight="1">
      <c r="T367" s="5"/>
      <c r="U367" s="5"/>
      <c r="V367" s="5"/>
      <c r="W367" s="5"/>
      <c r="X367" s="5"/>
      <c r="Y367" s="5"/>
    </row>
    <row r="368" ht="15.75" customHeight="1">
      <c r="T368" s="5"/>
      <c r="U368" s="5"/>
      <c r="V368" s="5"/>
      <c r="W368" s="5"/>
      <c r="X368" s="5"/>
      <c r="Y368" s="5"/>
    </row>
    <row r="369" ht="15.75" customHeight="1">
      <c r="T369" s="5"/>
      <c r="U369" s="5"/>
      <c r="V369" s="5"/>
      <c r="W369" s="5"/>
      <c r="X369" s="5"/>
      <c r="Y369" s="5"/>
    </row>
    <row r="370" ht="15.75" customHeight="1">
      <c r="T370" s="5"/>
      <c r="U370" s="5"/>
      <c r="V370" s="5"/>
      <c r="W370" s="5"/>
      <c r="X370" s="5"/>
      <c r="Y370" s="5"/>
    </row>
    <row r="371" ht="15.75" customHeight="1">
      <c r="T371" s="5"/>
      <c r="U371" s="5"/>
      <c r="V371" s="5"/>
      <c r="W371" s="5"/>
      <c r="X371" s="5"/>
      <c r="Y371" s="5"/>
    </row>
    <row r="372" ht="15.75" customHeight="1">
      <c r="T372" s="5"/>
      <c r="U372" s="5"/>
      <c r="V372" s="5"/>
      <c r="W372" s="5"/>
      <c r="X372" s="5"/>
      <c r="Y372" s="5"/>
    </row>
    <row r="373" ht="15.75" customHeight="1">
      <c r="T373" s="5"/>
      <c r="U373" s="5"/>
      <c r="V373" s="5"/>
      <c r="W373" s="5"/>
      <c r="X373" s="5"/>
      <c r="Y373" s="5"/>
    </row>
    <row r="374" ht="15.75" customHeight="1">
      <c r="T374" s="5"/>
      <c r="U374" s="5"/>
      <c r="V374" s="5"/>
      <c r="W374" s="5"/>
      <c r="X374" s="5"/>
      <c r="Y374" s="5"/>
    </row>
    <row r="375" ht="15.75" customHeight="1">
      <c r="T375" s="5"/>
      <c r="U375" s="5"/>
      <c r="V375" s="5"/>
      <c r="W375" s="5"/>
      <c r="X375" s="5"/>
      <c r="Y375" s="5"/>
    </row>
    <row r="376" ht="15.75" customHeight="1">
      <c r="T376" s="5"/>
      <c r="U376" s="5"/>
      <c r="V376" s="5"/>
      <c r="W376" s="5"/>
      <c r="X376" s="5"/>
      <c r="Y376" s="5"/>
    </row>
    <row r="377" ht="15.75" customHeight="1">
      <c r="T377" s="5"/>
      <c r="U377" s="5"/>
      <c r="V377" s="5"/>
      <c r="W377" s="5"/>
      <c r="X377" s="5"/>
      <c r="Y377" s="5"/>
    </row>
    <row r="378" ht="15.75" customHeight="1">
      <c r="T378" s="5"/>
      <c r="U378" s="5"/>
      <c r="V378" s="5"/>
      <c r="W378" s="5"/>
      <c r="X378" s="5"/>
      <c r="Y378" s="5"/>
    </row>
    <row r="379" ht="15.75" customHeight="1">
      <c r="T379" s="5"/>
      <c r="U379" s="5"/>
      <c r="V379" s="5"/>
      <c r="W379" s="5"/>
      <c r="X379" s="5"/>
      <c r="Y379" s="5"/>
    </row>
    <row r="380" ht="15.75" customHeight="1">
      <c r="T380" s="5"/>
      <c r="U380" s="5"/>
      <c r="V380" s="5"/>
      <c r="W380" s="5"/>
      <c r="X380" s="5"/>
      <c r="Y380" s="5"/>
    </row>
    <row r="381" ht="15.75" customHeight="1">
      <c r="T381" s="5"/>
      <c r="U381" s="5"/>
      <c r="V381" s="5"/>
      <c r="W381" s="5"/>
      <c r="X381" s="5"/>
      <c r="Y381" s="5"/>
    </row>
    <row r="382" ht="15.75" customHeight="1">
      <c r="T382" s="5"/>
      <c r="U382" s="5"/>
      <c r="V382" s="5"/>
      <c r="W382" s="5"/>
      <c r="X382" s="5"/>
      <c r="Y382" s="5"/>
    </row>
    <row r="383" ht="15.75" customHeight="1">
      <c r="T383" s="5"/>
      <c r="U383" s="5"/>
      <c r="V383" s="5"/>
      <c r="W383" s="5"/>
      <c r="X383" s="5"/>
      <c r="Y383" s="5"/>
    </row>
    <row r="384" ht="15.75" customHeight="1">
      <c r="T384" s="5"/>
      <c r="U384" s="5"/>
      <c r="V384" s="5"/>
      <c r="W384" s="5"/>
      <c r="X384" s="5"/>
      <c r="Y384" s="5"/>
    </row>
    <row r="385" ht="15.75" customHeight="1">
      <c r="T385" s="5"/>
      <c r="U385" s="5"/>
      <c r="V385" s="5"/>
      <c r="W385" s="5"/>
      <c r="X385" s="5"/>
      <c r="Y385" s="5"/>
    </row>
    <row r="386" ht="15.75" customHeight="1">
      <c r="T386" s="5"/>
      <c r="U386" s="5"/>
      <c r="V386" s="5"/>
      <c r="W386" s="5"/>
      <c r="X386" s="5"/>
      <c r="Y386" s="5"/>
    </row>
    <row r="387" ht="15.75" customHeight="1">
      <c r="T387" s="5"/>
      <c r="U387" s="5"/>
      <c r="V387" s="5"/>
      <c r="W387" s="5"/>
      <c r="X387" s="5"/>
      <c r="Y387" s="5"/>
    </row>
    <row r="388" ht="15.75" customHeight="1">
      <c r="T388" s="5"/>
      <c r="U388" s="5"/>
      <c r="V388" s="5"/>
      <c r="W388" s="5"/>
      <c r="X388" s="5"/>
      <c r="Y388" s="5"/>
    </row>
    <row r="389" ht="15.75" customHeight="1">
      <c r="T389" s="5"/>
      <c r="U389" s="5"/>
      <c r="V389" s="5"/>
      <c r="W389" s="5"/>
      <c r="X389" s="5"/>
      <c r="Y389" s="5"/>
    </row>
    <row r="390" ht="15.75" customHeight="1">
      <c r="T390" s="5"/>
      <c r="U390" s="5"/>
      <c r="V390" s="5"/>
      <c r="W390" s="5"/>
      <c r="X390" s="5"/>
      <c r="Y390" s="5"/>
    </row>
    <row r="391" ht="15.75" customHeight="1">
      <c r="T391" s="5"/>
      <c r="U391" s="5"/>
      <c r="V391" s="5"/>
      <c r="W391" s="5"/>
      <c r="X391" s="5"/>
      <c r="Y391" s="5"/>
    </row>
    <row r="392" ht="15.75" customHeight="1">
      <c r="T392" s="5"/>
      <c r="U392" s="5"/>
      <c r="V392" s="5"/>
      <c r="W392" s="5"/>
      <c r="X392" s="5"/>
      <c r="Y392" s="5"/>
    </row>
    <row r="393" ht="15.75" customHeight="1">
      <c r="T393" s="5"/>
      <c r="U393" s="5"/>
      <c r="V393" s="5"/>
      <c r="W393" s="5"/>
      <c r="X393" s="5"/>
      <c r="Y393" s="5"/>
    </row>
    <row r="394" ht="15.75" customHeight="1">
      <c r="T394" s="5"/>
      <c r="U394" s="5"/>
      <c r="V394" s="5"/>
      <c r="W394" s="5"/>
      <c r="X394" s="5"/>
      <c r="Y394" s="5"/>
    </row>
    <row r="395" ht="15.75" customHeight="1">
      <c r="T395" s="5"/>
      <c r="U395" s="5"/>
      <c r="V395" s="5"/>
      <c r="W395" s="5"/>
      <c r="X395" s="5"/>
      <c r="Y395" s="5"/>
    </row>
    <row r="396" ht="15.75" customHeight="1">
      <c r="T396" s="5"/>
      <c r="U396" s="5"/>
      <c r="V396" s="5"/>
      <c r="W396" s="5"/>
      <c r="X396" s="5"/>
      <c r="Y396" s="5"/>
    </row>
    <row r="397" ht="15.75" customHeight="1">
      <c r="T397" s="5"/>
      <c r="U397" s="5"/>
      <c r="V397" s="5"/>
      <c r="W397" s="5"/>
      <c r="X397" s="5"/>
      <c r="Y397" s="5"/>
    </row>
    <row r="398" ht="15.75" customHeight="1">
      <c r="T398" s="5"/>
      <c r="U398" s="5"/>
      <c r="V398" s="5"/>
      <c r="W398" s="5"/>
      <c r="X398" s="5"/>
      <c r="Y398" s="5"/>
    </row>
    <row r="399" ht="15.75" customHeight="1">
      <c r="T399" s="5"/>
      <c r="U399" s="5"/>
      <c r="V399" s="5"/>
      <c r="W399" s="5"/>
      <c r="X399" s="5"/>
      <c r="Y399" s="5"/>
    </row>
    <row r="400" ht="15.75" customHeight="1">
      <c r="T400" s="5"/>
      <c r="U400" s="5"/>
      <c r="V400" s="5"/>
      <c r="W400" s="5"/>
      <c r="X400" s="5"/>
      <c r="Y400" s="5"/>
    </row>
    <row r="401" ht="15.75" customHeight="1">
      <c r="T401" s="5"/>
      <c r="U401" s="5"/>
      <c r="V401" s="5"/>
      <c r="W401" s="5"/>
      <c r="X401" s="5"/>
      <c r="Y401" s="5"/>
    </row>
    <row r="402" ht="15.75" customHeight="1">
      <c r="T402" s="5"/>
      <c r="U402" s="5"/>
      <c r="V402" s="5"/>
      <c r="W402" s="5"/>
      <c r="X402" s="5"/>
      <c r="Y402" s="5"/>
    </row>
    <row r="403" ht="15.75" customHeight="1">
      <c r="T403" s="5"/>
      <c r="U403" s="5"/>
      <c r="V403" s="5"/>
      <c r="W403" s="5"/>
      <c r="X403" s="5"/>
      <c r="Y403" s="5"/>
    </row>
    <row r="404" ht="15.75" customHeight="1">
      <c r="T404" s="5"/>
      <c r="U404" s="5"/>
      <c r="V404" s="5"/>
      <c r="W404" s="5"/>
      <c r="X404" s="5"/>
      <c r="Y404" s="5"/>
    </row>
    <row r="405" ht="15.75" customHeight="1">
      <c r="T405" s="5"/>
      <c r="U405" s="5"/>
      <c r="V405" s="5"/>
      <c r="W405" s="5"/>
      <c r="X405" s="5"/>
      <c r="Y405" s="5"/>
    </row>
    <row r="406" ht="15.75" customHeight="1">
      <c r="T406" s="5"/>
      <c r="U406" s="5"/>
      <c r="V406" s="5"/>
      <c r="W406" s="5"/>
      <c r="X406" s="5"/>
      <c r="Y406" s="5"/>
    </row>
    <row r="407" ht="15.75" customHeight="1">
      <c r="T407" s="5"/>
      <c r="U407" s="5"/>
      <c r="V407" s="5"/>
      <c r="W407" s="5"/>
      <c r="X407" s="5"/>
      <c r="Y407" s="5"/>
    </row>
    <row r="408" ht="15.75" customHeight="1">
      <c r="T408" s="5"/>
      <c r="U408" s="5"/>
      <c r="V408" s="5"/>
      <c r="W408" s="5"/>
      <c r="X408" s="5"/>
      <c r="Y408" s="5"/>
    </row>
    <row r="409" ht="15.75" customHeight="1">
      <c r="T409" s="5"/>
      <c r="U409" s="5"/>
      <c r="V409" s="5"/>
      <c r="W409" s="5"/>
      <c r="X409" s="5"/>
      <c r="Y409" s="5"/>
    </row>
    <row r="410" ht="15.75" customHeight="1">
      <c r="T410" s="5"/>
      <c r="U410" s="5"/>
      <c r="V410" s="5"/>
      <c r="W410" s="5"/>
      <c r="X410" s="5"/>
      <c r="Y410" s="5"/>
    </row>
    <row r="411" ht="15.75" customHeight="1">
      <c r="T411" s="5"/>
      <c r="U411" s="5"/>
      <c r="V411" s="5"/>
      <c r="W411" s="5"/>
      <c r="X411" s="5"/>
      <c r="Y411" s="5"/>
    </row>
    <row r="412" ht="15.75" customHeight="1">
      <c r="T412" s="5"/>
      <c r="U412" s="5"/>
      <c r="V412" s="5"/>
      <c r="W412" s="5"/>
      <c r="X412" s="5"/>
      <c r="Y412" s="5"/>
    </row>
    <row r="413" ht="15.75" customHeight="1">
      <c r="T413" s="5"/>
      <c r="U413" s="5"/>
      <c r="V413" s="5"/>
      <c r="W413" s="5"/>
      <c r="X413" s="5"/>
      <c r="Y413" s="5"/>
    </row>
    <row r="414" ht="15.75" customHeight="1">
      <c r="T414" s="5"/>
      <c r="U414" s="5"/>
      <c r="V414" s="5"/>
      <c r="W414" s="5"/>
      <c r="X414" s="5"/>
      <c r="Y414" s="5"/>
    </row>
    <row r="415" ht="15.75" customHeight="1">
      <c r="T415" s="5"/>
      <c r="U415" s="5"/>
      <c r="V415" s="5"/>
      <c r="W415" s="5"/>
      <c r="X415" s="5"/>
      <c r="Y415" s="5"/>
    </row>
    <row r="416" ht="15.75" customHeight="1">
      <c r="T416" s="5"/>
      <c r="U416" s="5"/>
      <c r="V416" s="5"/>
      <c r="W416" s="5"/>
      <c r="X416" s="5"/>
      <c r="Y416" s="5"/>
    </row>
    <row r="417" ht="15.75" customHeight="1">
      <c r="T417" s="5"/>
      <c r="U417" s="5"/>
      <c r="V417" s="5"/>
      <c r="W417" s="5"/>
      <c r="X417" s="5"/>
      <c r="Y417" s="5"/>
    </row>
    <row r="418" ht="15.75" customHeight="1">
      <c r="T418" s="5"/>
      <c r="U418" s="5"/>
      <c r="V418" s="5"/>
      <c r="W418" s="5"/>
      <c r="X418" s="5"/>
      <c r="Y418" s="5"/>
    </row>
    <row r="419" ht="15.75" customHeight="1">
      <c r="T419" s="5"/>
      <c r="U419" s="5"/>
      <c r="V419" s="5"/>
      <c r="W419" s="5"/>
      <c r="X419" s="5"/>
      <c r="Y419" s="5"/>
    </row>
    <row r="420" ht="15.75" customHeight="1">
      <c r="T420" s="5"/>
      <c r="U420" s="5"/>
      <c r="V420" s="5"/>
      <c r="W420" s="5"/>
      <c r="X420" s="5"/>
      <c r="Y420" s="5"/>
    </row>
    <row r="421" ht="15.75" customHeight="1">
      <c r="T421" s="5"/>
      <c r="U421" s="5"/>
      <c r="V421" s="5"/>
      <c r="W421" s="5"/>
      <c r="X421" s="5"/>
      <c r="Y421" s="5"/>
    </row>
    <row r="422" ht="15.75" customHeight="1">
      <c r="T422" s="5"/>
      <c r="U422" s="5"/>
      <c r="V422" s="5"/>
      <c r="W422" s="5"/>
      <c r="X422" s="5"/>
      <c r="Y422" s="5"/>
    </row>
    <row r="423" ht="15.75" customHeight="1">
      <c r="T423" s="5"/>
      <c r="U423" s="5"/>
      <c r="V423" s="5"/>
      <c r="W423" s="5"/>
      <c r="X423" s="5"/>
      <c r="Y423" s="5"/>
    </row>
    <row r="424" ht="15.75" customHeight="1">
      <c r="T424" s="5"/>
      <c r="U424" s="5"/>
      <c r="V424" s="5"/>
      <c r="W424" s="5"/>
      <c r="X424" s="5"/>
      <c r="Y424" s="5"/>
    </row>
    <row r="425" ht="15.75" customHeight="1">
      <c r="T425" s="5"/>
      <c r="U425" s="5"/>
      <c r="V425" s="5"/>
      <c r="W425" s="5"/>
      <c r="X425" s="5"/>
      <c r="Y425" s="5"/>
    </row>
    <row r="426" ht="15.75" customHeight="1">
      <c r="T426" s="5"/>
      <c r="U426" s="5"/>
      <c r="V426" s="5"/>
      <c r="W426" s="5"/>
      <c r="X426" s="5"/>
      <c r="Y426" s="5"/>
    </row>
    <row r="427" ht="15.75" customHeight="1">
      <c r="T427" s="5"/>
      <c r="U427" s="5"/>
      <c r="V427" s="5"/>
      <c r="W427" s="5"/>
      <c r="X427" s="5"/>
      <c r="Y427" s="5"/>
    </row>
    <row r="428" ht="15.75" customHeight="1">
      <c r="T428" s="5"/>
      <c r="U428" s="5"/>
      <c r="V428" s="5"/>
      <c r="W428" s="5"/>
      <c r="X428" s="5"/>
      <c r="Y428" s="5"/>
    </row>
    <row r="429" ht="15.75" customHeight="1">
      <c r="T429" s="5"/>
      <c r="U429" s="5"/>
      <c r="V429" s="5"/>
      <c r="W429" s="5"/>
      <c r="X429" s="5"/>
      <c r="Y429" s="5"/>
    </row>
    <row r="430" ht="15.75" customHeight="1">
      <c r="T430" s="5"/>
      <c r="U430" s="5"/>
      <c r="V430" s="5"/>
      <c r="W430" s="5"/>
      <c r="X430" s="5"/>
      <c r="Y430" s="5"/>
    </row>
    <row r="431" ht="15.75" customHeight="1">
      <c r="T431" s="5"/>
      <c r="U431" s="5"/>
      <c r="V431" s="5"/>
      <c r="W431" s="5"/>
      <c r="X431" s="5"/>
      <c r="Y431" s="5"/>
    </row>
    <row r="432" ht="15.75" customHeight="1">
      <c r="T432" s="5"/>
      <c r="U432" s="5"/>
      <c r="V432" s="5"/>
      <c r="W432" s="5"/>
      <c r="X432" s="5"/>
      <c r="Y432" s="5"/>
    </row>
    <row r="433" ht="15.75" customHeight="1">
      <c r="T433" s="5"/>
      <c r="U433" s="5"/>
      <c r="V433" s="5"/>
      <c r="W433" s="5"/>
      <c r="X433" s="5"/>
      <c r="Y433" s="5"/>
    </row>
    <row r="434" ht="15.75" customHeight="1">
      <c r="T434" s="5"/>
      <c r="U434" s="5"/>
      <c r="V434" s="5"/>
      <c r="W434" s="5"/>
      <c r="X434" s="5"/>
      <c r="Y434" s="5"/>
    </row>
    <row r="435" ht="15.75" customHeight="1">
      <c r="T435" s="5"/>
      <c r="U435" s="5"/>
      <c r="V435" s="5"/>
      <c r="W435" s="5"/>
      <c r="X435" s="5"/>
      <c r="Y435" s="5"/>
    </row>
    <row r="436" ht="15.75" customHeight="1">
      <c r="T436" s="5"/>
      <c r="U436" s="5"/>
      <c r="V436" s="5"/>
      <c r="W436" s="5"/>
      <c r="X436" s="5"/>
      <c r="Y436" s="5"/>
    </row>
    <row r="437" ht="15.75" customHeight="1">
      <c r="T437" s="5"/>
      <c r="U437" s="5"/>
      <c r="V437" s="5"/>
      <c r="W437" s="5"/>
      <c r="X437" s="5"/>
      <c r="Y437" s="5"/>
    </row>
    <row r="438" ht="15.75" customHeight="1">
      <c r="T438" s="5"/>
      <c r="U438" s="5"/>
      <c r="V438" s="5"/>
      <c r="W438" s="5"/>
      <c r="X438" s="5"/>
      <c r="Y438" s="5"/>
    </row>
    <row r="439" ht="15.75" customHeight="1">
      <c r="T439" s="5"/>
      <c r="U439" s="5"/>
      <c r="V439" s="5"/>
      <c r="W439" s="5"/>
      <c r="X439" s="5"/>
      <c r="Y439" s="5"/>
    </row>
    <row r="440" ht="15.75" customHeight="1">
      <c r="T440" s="5"/>
      <c r="U440" s="5"/>
      <c r="V440" s="5"/>
      <c r="W440" s="5"/>
      <c r="X440" s="5"/>
      <c r="Y440" s="5"/>
    </row>
    <row r="441" ht="15.75" customHeight="1">
      <c r="T441" s="5"/>
      <c r="U441" s="5"/>
      <c r="V441" s="5"/>
      <c r="W441" s="5"/>
      <c r="X441" s="5"/>
      <c r="Y441" s="5"/>
    </row>
    <row r="442" ht="15.75" customHeight="1">
      <c r="T442" s="5"/>
      <c r="U442" s="5"/>
      <c r="V442" s="5"/>
      <c r="W442" s="5"/>
      <c r="X442" s="5"/>
      <c r="Y442" s="5"/>
    </row>
    <row r="443" ht="15.75" customHeight="1">
      <c r="T443" s="5"/>
      <c r="U443" s="5"/>
      <c r="V443" s="5"/>
      <c r="W443" s="5"/>
      <c r="X443" s="5"/>
      <c r="Y443" s="5"/>
    </row>
    <row r="444" ht="15.75" customHeight="1">
      <c r="T444" s="5"/>
      <c r="U444" s="5"/>
      <c r="V444" s="5"/>
      <c r="W444" s="5"/>
      <c r="X444" s="5"/>
      <c r="Y444" s="5"/>
    </row>
    <row r="445" ht="15.75" customHeight="1">
      <c r="T445" s="5"/>
      <c r="U445" s="5"/>
      <c r="V445" s="5"/>
      <c r="W445" s="5"/>
      <c r="X445" s="5"/>
      <c r="Y445" s="5"/>
    </row>
    <row r="446" ht="15.75" customHeight="1">
      <c r="T446" s="5"/>
      <c r="U446" s="5"/>
      <c r="V446" s="5"/>
      <c r="W446" s="5"/>
      <c r="X446" s="5"/>
      <c r="Y446" s="5"/>
    </row>
    <row r="447" ht="15.75" customHeight="1">
      <c r="T447" s="5"/>
      <c r="U447" s="5"/>
      <c r="V447" s="5"/>
      <c r="W447" s="5"/>
      <c r="X447" s="5"/>
      <c r="Y447" s="5"/>
    </row>
    <row r="448" ht="15.75" customHeight="1">
      <c r="T448" s="5"/>
      <c r="U448" s="5"/>
      <c r="V448" s="5"/>
      <c r="W448" s="5"/>
      <c r="X448" s="5"/>
      <c r="Y448" s="5"/>
    </row>
    <row r="449" ht="15.75" customHeight="1">
      <c r="T449" s="5"/>
      <c r="U449" s="5"/>
      <c r="V449" s="5"/>
      <c r="W449" s="5"/>
      <c r="X449" s="5"/>
      <c r="Y449" s="5"/>
    </row>
    <row r="450" ht="15.75" customHeight="1">
      <c r="T450" s="5"/>
      <c r="U450" s="5"/>
      <c r="V450" s="5"/>
      <c r="W450" s="5"/>
      <c r="X450" s="5"/>
      <c r="Y450" s="5"/>
    </row>
    <row r="451" ht="15.75" customHeight="1">
      <c r="T451" s="5"/>
      <c r="U451" s="5"/>
      <c r="V451" s="5"/>
      <c r="W451" s="5"/>
      <c r="X451" s="5"/>
      <c r="Y451" s="5"/>
    </row>
    <row r="452" ht="15.75" customHeight="1">
      <c r="T452" s="5"/>
      <c r="U452" s="5"/>
      <c r="V452" s="5"/>
      <c r="W452" s="5"/>
      <c r="X452" s="5"/>
      <c r="Y452" s="5"/>
    </row>
    <row r="453" ht="15.75" customHeight="1">
      <c r="T453" s="5"/>
      <c r="U453" s="5"/>
      <c r="V453" s="5"/>
      <c r="W453" s="5"/>
      <c r="X453" s="5"/>
      <c r="Y453" s="5"/>
    </row>
    <row r="454" ht="15.75" customHeight="1">
      <c r="T454" s="5"/>
      <c r="U454" s="5"/>
      <c r="V454" s="5"/>
      <c r="W454" s="5"/>
      <c r="X454" s="5"/>
      <c r="Y454" s="5"/>
    </row>
    <row r="455" ht="15.75" customHeight="1">
      <c r="T455" s="5"/>
      <c r="U455" s="5"/>
      <c r="V455" s="5"/>
      <c r="W455" s="5"/>
      <c r="X455" s="5"/>
      <c r="Y455" s="5"/>
    </row>
    <row r="456" ht="15.75" customHeight="1">
      <c r="T456" s="5"/>
      <c r="U456" s="5"/>
      <c r="V456" s="5"/>
      <c r="W456" s="5"/>
      <c r="X456" s="5"/>
      <c r="Y456" s="5"/>
    </row>
    <row r="457" ht="15.75" customHeight="1">
      <c r="T457" s="5"/>
      <c r="U457" s="5"/>
      <c r="V457" s="5"/>
      <c r="W457" s="5"/>
      <c r="X457" s="5"/>
      <c r="Y457" s="5"/>
    </row>
    <row r="458" ht="15.75" customHeight="1">
      <c r="T458" s="5"/>
      <c r="U458" s="5"/>
      <c r="V458" s="5"/>
      <c r="W458" s="5"/>
      <c r="X458" s="5"/>
      <c r="Y458" s="5"/>
    </row>
    <row r="459" ht="15.75" customHeight="1">
      <c r="T459" s="5"/>
      <c r="U459" s="5"/>
      <c r="V459" s="5"/>
      <c r="W459" s="5"/>
      <c r="X459" s="5"/>
      <c r="Y459" s="5"/>
    </row>
    <row r="460" ht="15.75" customHeight="1">
      <c r="T460" s="5"/>
      <c r="U460" s="5"/>
      <c r="V460" s="5"/>
      <c r="W460" s="5"/>
      <c r="X460" s="5"/>
      <c r="Y460" s="5"/>
    </row>
    <row r="461" ht="15.75" customHeight="1">
      <c r="T461" s="5"/>
      <c r="U461" s="5"/>
      <c r="V461" s="5"/>
      <c r="W461" s="5"/>
      <c r="X461" s="5"/>
      <c r="Y461" s="5"/>
    </row>
    <row r="462" ht="15.75" customHeight="1">
      <c r="T462" s="5"/>
      <c r="U462" s="5"/>
      <c r="V462" s="5"/>
      <c r="W462" s="5"/>
      <c r="X462" s="5"/>
      <c r="Y462" s="5"/>
    </row>
    <row r="463" ht="15.75" customHeight="1">
      <c r="T463" s="5"/>
      <c r="U463" s="5"/>
      <c r="V463" s="5"/>
      <c r="W463" s="5"/>
      <c r="X463" s="5"/>
      <c r="Y463" s="5"/>
    </row>
    <row r="464" ht="15.75" customHeight="1">
      <c r="T464" s="5"/>
      <c r="U464" s="5"/>
      <c r="V464" s="5"/>
      <c r="W464" s="5"/>
      <c r="X464" s="5"/>
      <c r="Y464" s="5"/>
    </row>
    <row r="465" ht="15.75" customHeight="1">
      <c r="T465" s="5"/>
      <c r="U465" s="5"/>
      <c r="V465" s="5"/>
      <c r="W465" s="5"/>
      <c r="X465" s="5"/>
      <c r="Y465" s="5"/>
    </row>
    <row r="466" ht="15.75" customHeight="1">
      <c r="T466" s="5"/>
      <c r="U466" s="5"/>
      <c r="V466" s="5"/>
      <c r="W466" s="5"/>
      <c r="X466" s="5"/>
      <c r="Y466" s="5"/>
    </row>
    <row r="467" ht="15.75" customHeight="1">
      <c r="T467" s="5"/>
      <c r="U467" s="5"/>
      <c r="V467" s="5"/>
      <c r="W467" s="5"/>
      <c r="X467" s="5"/>
      <c r="Y467" s="5"/>
    </row>
    <row r="468" ht="15.75" customHeight="1">
      <c r="T468" s="5"/>
      <c r="U468" s="5"/>
      <c r="V468" s="5"/>
      <c r="W468" s="5"/>
      <c r="X468" s="5"/>
      <c r="Y468" s="5"/>
    </row>
    <row r="469" ht="15.75" customHeight="1">
      <c r="T469" s="5"/>
      <c r="U469" s="5"/>
      <c r="V469" s="5"/>
      <c r="W469" s="5"/>
      <c r="X469" s="5"/>
      <c r="Y469" s="5"/>
    </row>
    <row r="470" ht="15.75" customHeight="1">
      <c r="T470" s="5"/>
      <c r="U470" s="5"/>
      <c r="V470" s="5"/>
      <c r="W470" s="5"/>
      <c r="X470" s="5"/>
      <c r="Y470" s="5"/>
    </row>
    <row r="471" ht="15.75" customHeight="1">
      <c r="T471" s="5"/>
      <c r="U471" s="5"/>
      <c r="V471" s="5"/>
      <c r="W471" s="5"/>
      <c r="X471" s="5"/>
      <c r="Y471" s="5"/>
    </row>
    <row r="472" ht="15.75" customHeight="1">
      <c r="T472" s="5"/>
      <c r="U472" s="5"/>
      <c r="V472" s="5"/>
      <c r="W472" s="5"/>
      <c r="X472" s="5"/>
      <c r="Y472" s="5"/>
    </row>
    <row r="473" ht="15.75" customHeight="1">
      <c r="T473" s="5"/>
      <c r="U473" s="5"/>
      <c r="V473" s="5"/>
      <c r="W473" s="5"/>
      <c r="X473" s="5"/>
      <c r="Y473" s="5"/>
    </row>
    <row r="474" ht="15.75" customHeight="1">
      <c r="T474" s="5"/>
      <c r="U474" s="5"/>
      <c r="V474" s="5"/>
      <c r="W474" s="5"/>
      <c r="X474" s="5"/>
      <c r="Y474" s="5"/>
    </row>
    <row r="475" ht="15.75" customHeight="1">
      <c r="T475" s="5"/>
      <c r="U475" s="5"/>
      <c r="V475" s="5"/>
      <c r="W475" s="5"/>
      <c r="X475" s="5"/>
      <c r="Y475" s="5"/>
    </row>
    <row r="476" ht="15.75" customHeight="1">
      <c r="T476" s="5"/>
      <c r="U476" s="5"/>
      <c r="V476" s="5"/>
      <c r="W476" s="5"/>
      <c r="X476" s="5"/>
      <c r="Y476" s="5"/>
    </row>
    <row r="477" ht="15.75" customHeight="1">
      <c r="T477" s="5"/>
      <c r="U477" s="5"/>
      <c r="V477" s="5"/>
      <c r="W477" s="5"/>
      <c r="X477" s="5"/>
      <c r="Y477" s="5"/>
    </row>
    <row r="478" ht="15.75" customHeight="1">
      <c r="T478" s="5"/>
      <c r="U478" s="5"/>
      <c r="V478" s="5"/>
      <c r="W478" s="5"/>
      <c r="X478" s="5"/>
      <c r="Y478" s="5"/>
    </row>
    <row r="479" ht="15.75" customHeight="1">
      <c r="T479" s="5"/>
      <c r="U479" s="5"/>
      <c r="V479" s="5"/>
      <c r="W479" s="5"/>
      <c r="X479" s="5"/>
      <c r="Y479" s="5"/>
    </row>
    <row r="480" ht="15.75" customHeight="1">
      <c r="T480" s="5"/>
      <c r="U480" s="5"/>
      <c r="V480" s="5"/>
      <c r="W480" s="5"/>
      <c r="X480" s="5"/>
      <c r="Y480" s="5"/>
    </row>
    <row r="481" ht="15.75" customHeight="1">
      <c r="T481" s="5"/>
      <c r="U481" s="5"/>
      <c r="V481" s="5"/>
      <c r="W481" s="5"/>
      <c r="X481" s="5"/>
      <c r="Y481" s="5"/>
    </row>
    <row r="482" ht="15.75" customHeight="1">
      <c r="T482" s="5"/>
      <c r="U482" s="5"/>
      <c r="V482" s="5"/>
      <c r="W482" s="5"/>
      <c r="X482" s="5"/>
      <c r="Y482" s="5"/>
    </row>
    <row r="483" ht="15.75" customHeight="1">
      <c r="T483" s="5"/>
      <c r="U483" s="5"/>
      <c r="V483" s="5"/>
      <c r="W483" s="5"/>
      <c r="X483" s="5"/>
      <c r="Y483" s="5"/>
    </row>
    <row r="484" ht="15.75" customHeight="1">
      <c r="T484" s="5"/>
      <c r="U484" s="5"/>
      <c r="V484" s="5"/>
      <c r="W484" s="5"/>
      <c r="X484" s="5"/>
      <c r="Y484" s="5"/>
    </row>
    <row r="485" ht="15.75" customHeight="1">
      <c r="T485" s="5"/>
      <c r="U485" s="5"/>
      <c r="V485" s="5"/>
      <c r="W485" s="5"/>
      <c r="X485" s="5"/>
      <c r="Y485" s="5"/>
    </row>
    <row r="486" ht="15.75" customHeight="1">
      <c r="T486" s="5"/>
      <c r="U486" s="5"/>
      <c r="V486" s="5"/>
      <c r="W486" s="5"/>
      <c r="X486" s="5"/>
      <c r="Y486" s="5"/>
    </row>
    <row r="487" ht="15.75" customHeight="1">
      <c r="T487" s="5"/>
      <c r="U487" s="5"/>
      <c r="V487" s="5"/>
      <c r="W487" s="5"/>
      <c r="X487" s="5"/>
      <c r="Y487" s="5"/>
    </row>
    <row r="488" ht="15.75" customHeight="1">
      <c r="T488" s="5"/>
      <c r="U488" s="5"/>
      <c r="V488" s="5"/>
      <c r="W488" s="5"/>
      <c r="X488" s="5"/>
      <c r="Y488" s="5"/>
    </row>
    <row r="489" ht="15.75" customHeight="1">
      <c r="T489" s="5"/>
      <c r="U489" s="5"/>
      <c r="V489" s="5"/>
      <c r="W489" s="5"/>
      <c r="X489" s="5"/>
      <c r="Y489" s="5"/>
    </row>
    <row r="490" ht="15.75" customHeight="1">
      <c r="T490" s="5"/>
      <c r="U490" s="5"/>
      <c r="V490" s="5"/>
      <c r="W490" s="5"/>
      <c r="X490" s="5"/>
      <c r="Y490" s="5"/>
    </row>
    <row r="491" ht="15.75" customHeight="1">
      <c r="T491" s="5"/>
      <c r="U491" s="5"/>
      <c r="V491" s="5"/>
      <c r="W491" s="5"/>
      <c r="X491" s="5"/>
      <c r="Y491" s="5"/>
    </row>
    <row r="492" ht="15.75" customHeight="1">
      <c r="T492" s="5"/>
      <c r="U492" s="5"/>
      <c r="V492" s="5"/>
      <c r="W492" s="5"/>
      <c r="X492" s="5"/>
      <c r="Y492" s="5"/>
    </row>
    <row r="493" ht="15.75" customHeight="1">
      <c r="T493" s="5"/>
      <c r="U493" s="5"/>
      <c r="V493" s="5"/>
      <c r="W493" s="5"/>
      <c r="X493" s="5"/>
      <c r="Y493" s="5"/>
    </row>
    <row r="494" ht="15.75" customHeight="1">
      <c r="T494" s="5"/>
      <c r="U494" s="5"/>
      <c r="V494" s="5"/>
      <c r="W494" s="5"/>
      <c r="X494" s="5"/>
      <c r="Y494" s="5"/>
    </row>
    <row r="495" ht="15.75" customHeight="1">
      <c r="T495" s="5"/>
      <c r="U495" s="5"/>
      <c r="V495" s="5"/>
      <c r="W495" s="5"/>
      <c r="X495" s="5"/>
      <c r="Y495" s="5"/>
    </row>
    <row r="496" ht="15.75" customHeight="1">
      <c r="T496" s="5"/>
      <c r="U496" s="5"/>
      <c r="V496" s="5"/>
      <c r="W496" s="5"/>
      <c r="X496" s="5"/>
      <c r="Y496" s="5"/>
    </row>
    <row r="497" ht="15.75" customHeight="1">
      <c r="T497" s="5"/>
      <c r="U497" s="5"/>
      <c r="V497" s="5"/>
      <c r="W497" s="5"/>
      <c r="X497" s="5"/>
      <c r="Y497" s="5"/>
    </row>
    <row r="498" ht="15.75" customHeight="1">
      <c r="T498" s="5"/>
      <c r="U498" s="5"/>
      <c r="V498" s="5"/>
      <c r="W498" s="5"/>
      <c r="X498" s="5"/>
      <c r="Y498" s="5"/>
    </row>
    <row r="499" ht="15.75" customHeight="1">
      <c r="T499" s="5"/>
      <c r="U499" s="5"/>
      <c r="V499" s="5"/>
      <c r="W499" s="5"/>
      <c r="X499" s="5"/>
      <c r="Y499" s="5"/>
    </row>
    <row r="500" ht="15.75" customHeight="1">
      <c r="T500" s="5"/>
      <c r="U500" s="5"/>
      <c r="V500" s="5"/>
      <c r="W500" s="5"/>
      <c r="X500" s="5"/>
      <c r="Y500" s="5"/>
    </row>
    <row r="501" ht="15.75" customHeight="1">
      <c r="T501" s="5"/>
      <c r="U501" s="5"/>
      <c r="V501" s="5"/>
      <c r="W501" s="5"/>
      <c r="X501" s="5"/>
      <c r="Y501" s="5"/>
    </row>
    <row r="502" ht="15.75" customHeight="1">
      <c r="T502" s="5"/>
      <c r="U502" s="5"/>
      <c r="V502" s="5"/>
      <c r="W502" s="5"/>
      <c r="X502" s="5"/>
      <c r="Y502" s="5"/>
    </row>
    <row r="503" ht="15.75" customHeight="1">
      <c r="T503" s="5"/>
      <c r="U503" s="5"/>
      <c r="V503" s="5"/>
      <c r="W503" s="5"/>
      <c r="X503" s="5"/>
      <c r="Y503" s="5"/>
    </row>
    <row r="504" ht="15.75" customHeight="1">
      <c r="T504" s="5"/>
      <c r="U504" s="5"/>
      <c r="V504" s="5"/>
      <c r="W504" s="5"/>
      <c r="X504" s="5"/>
      <c r="Y504" s="5"/>
    </row>
    <row r="505" ht="15.75" customHeight="1">
      <c r="T505" s="5"/>
      <c r="U505" s="5"/>
      <c r="V505" s="5"/>
      <c r="W505" s="5"/>
      <c r="X505" s="5"/>
      <c r="Y505" s="5"/>
    </row>
    <row r="506" ht="15.75" customHeight="1">
      <c r="T506" s="5"/>
      <c r="U506" s="5"/>
      <c r="V506" s="5"/>
      <c r="W506" s="5"/>
      <c r="X506" s="5"/>
      <c r="Y506" s="5"/>
    </row>
    <row r="507" ht="15.75" customHeight="1">
      <c r="T507" s="5"/>
      <c r="U507" s="5"/>
      <c r="V507" s="5"/>
      <c r="W507" s="5"/>
      <c r="X507" s="5"/>
      <c r="Y507" s="5"/>
    </row>
    <row r="508" ht="15.75" customHeight="1">
      <c r="T508" s="5"/>
      <c r="U508" s="5"/>
      <c r="V508" s="5"/>
      <c r="W508" s="5"/>
      <c r="X508" s="5"/>
      <c r="Y508" s="5"/>
    </row>
    <row r="509" ht="15.75" customHeight="1">
      <c r="T509" s="5"/>
      <c r="U509" s="5"/>
      <c r="V509" s="5"/>
      <c r="W509" s="5"/>
      <c r="X509" s="5"/>
      <c r="Y509" s="5"/>
    </row>
    <row r="510" ht="15.75" customHeight="1">
      <c r="T510" s="5"/>
      <c r="U510" s="5"/>
      <c r="V510" s="5"/>
      <c r="W510" s="5"/>
      <c r="X510" s="5"/>
      <c r="Y510" s="5"/>
    </row>
    <row r="511" ht="15.75" customHeight="1">
      <c r="T511" s="5"/>
      <c r="U511" s="5"/>
      <c r="V511" s="5"/>
      <c r="W511" s="5"/>
      <c r="X511" s="5"/>
      <c r="Y511" s="5"/>
    </row>
    <row r="512" ht="15.75" customHeight="1">
      <c r="T512" s="5"/>
      <c r="U512" s="5"/>
      <c r="V512" s="5"/>
      <c r="W512" s="5"/>
      <c r="X512" s="5"/>
      <c r="Y512" s="5"/>
    </row>
    <row r="513" ht="15.75" customHeight="1">
      <c r="T513" s="5"/>
      <c r="U513" s="5"/>
      <c r="V513" s="5"/>
      <c r="W513" s="5"/>
      <c r="X513" s="5"/>
      <c r="Y513" s="5"/>
    </row>
    <row r="514" ht="15.75" customHeight="1">
      <c r="T514" s="5"/>
      <c r="U514" s="5"/>
      <c r="V514" s="5"/>
      <c r="W514" s="5"/>
      <c r="X514" s="5"/>
      <c r="Y514" s="5"/>
    </row>
    <row r="515" ht="15.75" customHeight="1">
      <c r="T515" s="5"/>
      <c r="U515" s="5"/>
      <c r="V515" s="5"/>
      <c r="W515" s="5"/>
      <c r="X515" s="5"/>
      <c r="Y515" s="5"/>
    </row>
    <row r="516" ht="15.75" customHeight="1">
      <c r="T516" s="5"/>
      <c r="U516" s="5"/>
      <c r="V516" s="5"/>
      <c r="W516" s="5"/>
      <c r="X516" s="5"/>
      <c r="Y516" s="5"/>
    </row>
    <row r="517" ht="15.75" customHeight="1">
      <c r="T517" s="5"/>
      <c r="U517" s="5"/>
      <c r="V517" s="5"/>
      <c r="W517" s="5"/>
      <c r="X517" s="5"/>
      <c r="Y517" s="5"/>
    </row>
    <row r="518" ht="15.75" customHeight="1">
      <c r="T518" s="5"/>
      <c r="U518" s="5"/>
      <c r="V518" s="5"/>
      <c r="W518" s="5"/>
      <c r="X518" s="5"/>
      <c r="Y518" s="5"/>
    </row>
    <row r="519" ht="15.75" customHeight="1">
      <c r="T519" s="5"/>
      <c r="U519" s="5"/>
      <c r="V519" s="5"/>
      <c r="W519" s="5"/>
      <c r="X519" s="5"/>
      <c r="Y519" s="5"/>
    </row>
    <row r="520" ht="15.75" customHeight="1">
      <c r="T520" s="5"/>
      <c r="U520" s="5"/>
      <c r="V520" s="5"/>
      <c r="W520" s="5"/>
      <c r="X520" s="5"/>
      <c r="Y520" s="5"/>
    </row>
    <row r="521" ht="15.75" customHeight="1">
      <c r="T521" s="5"/>
      <c r="U521" s="5"/>
      <c r="V521" s="5"/>
      <c r="W521" s="5"/>
      <c r="X521" s="5"/>
      <c r="Y521" s="5"/>
    </row>
    <row r="522" ht="15.75" customHeight="1">
      <c r="T522" s="5"/>
      <c r="U522" s="5"/>
      <c r="V522" s="5"/>
      <c r="W522" s="5"/>
      <c r="X522" s="5"/>
      <c r="Y522" s="5"/>
    </row>
    <row r="523" ht="15.75" customHeight="1">
      <c r="T523" s="5"/>
      <c r="U523" s="5"/>
      <c r="V523" s="5"/>
      <c r="W523" s="5"/>
      <c r="X523" s="5"/>
      <c r="Y523" s="5"/>
    </row>
    <row r="524" ht="15.75" customHeight="1">
      <c r="T524" s="5"/>
      <c r="U524" s="5"/>
      <c r="V524" s="5"/>
      <c r="W524" s="5"/>
      <c r="X524" s="5"/>
      <c r="Y524" s="5"/>
    </row>
    <row r="525" ht="15.75" customHeight="1">
      <c r="T525" s="5"/>
      <c r="U525" s="5"/>
      <c r="V525" s="5"/>
      <c r="W525" s="5"/>
      <c r="X525" s="5"/>
      <c r="Y525" s="5"/>
    </row>
    <row r="526" ht="15.75" customHeight="1">
      <c r="T526" s="5"/>
      <c r="U526" s="5"/>
      <c r="V526" s="5"/>
      <c r="W526" s="5"/>
      <c r="X526" s="5"/>
      <c r="Y526" s="5"/>
    </row>
    <row r="527" ht="15.75" customHeight="1">
      <c r="T527" s="5"/>
      <c r="U527" s="5"/>
      <c r="V527" s="5"/>
      <c r="W527" s="5"/>
      <c r="X527" s="5"/>
      <c r="Y527" s="5"/>
    </row>
    <row r="528" ht="15.75" customHeight="1">
      <c r="T528" s="5"/>
      <c r="U528" s="5"/>
      <c r="V528" s="5"/>
      <c r="W528" s="5"/>
      <c r="X528" s="5"/>
      <c r="Y528" s="5"/>
    </row>
    <row r="529" ht="15.75" customHeight="1">
      <c r="T529" s="5"/>
      <c r="U529" s="5"/>
      <c r="V529" s="5"/>
      <c r="W529" s="5"/>
      <c r="X529" s="5"/>
      <c r="Y529" s="5"/>
    </row>
    <row r="530" ht="15.75" customHeight="1">
      <c r="T530" s="5"/>
      <c r="U530" s="5"/>
      <c r="V530" s="5"/>
      <c r="W530" s="5"/>
      <c r="X530" s="5"/>
      <c r="Y530" s="5"/>
    </row>
    <row r="531" ht="15.75" customHeight="1">
      <c r="T531" s="5"/>
      <c r="U531" s="5"/>
      <c r="V531" s="5"/>
      <c r="W531" s="5"/>
      <c r="X531" s="5"/>
      <c r="Y531" s="5"/>
    </row>
    <row r="532" ht="15.75" customHeight="1">
      <c r="T532" s="5"/>
      <c r="U532" s="5"/>
      <c r="V532" s="5"/>
      <c r="W532" s="5"/>
      <c r="X532" s="5"/>
      <c r="Y532" s="5"/>
    </row>
    <row r="533" ht="15.75" customHeight="1">
      <c r="T533" s="5"/>
      <c r="U533" s="5"/>
      <c r="V533" s="5"/>
      <c r="W533" s="5"/>
      <c r="X533" s="5"/>
      <c r="Y533" s="5"/>
    </row>
    <row r="534" ht="15.75" customHeight="1">
      <c r="T534" s="5"/>
      <c r="U534" s="5"/>
      <c r="V534" s="5"/>
      <c r="W534" s="5"/>
      <c r="X534" s="5"/>
      <c r="Y534" s="5"/>
    </row>
    <row r="535" ht="15.75" customHeight="1">
      <c r="T535" s="5"/>
      <c r="U535" s="5"/>
      <c r="V535" s="5"/>
      <c r="W535" s="5"/>
      <c r="X535" s="5"/>
      <c r="Y535" s="5"/>
    </row>
    <row r="536" ht="15.75" customHeight="1">
      <c r="T536" s="5"/>
      <c r="U536" s="5"/>
      <c r="V536" s="5"/>
      <c r="W536" s="5"/>
      <c r="X536" s="5"/>
      <c r="Y536" s="5"/>
    </row>
    <row r="537" ht="15.75" customHeight="1">
      <c r="T537" s="5"/>
      <c r="U537" s="5"/>
      <c r="V537" s="5"/>
      <c r="W537" s="5"/>
      <c r="X537" s="5"/>
      <c r="Y537" s="5"/>
    </row>
    <row r="538" ht="15.75" customHeight="1">
      <c r="T538" s="5"/>
      <c r="U538" s="5"/>
      <c r="V538" s="5"/>
      <c r="W538" s="5"/>
      <c r="X538" s="5"/>
      <c r="Y538" s="5"/>
    </row>
    <row r="539" ht="15.75" customHeight="1">
      <c r="T539" s="5"/>
      <c r="U539" s="5"/>
      <c r="V539" s="5"/>
      <c r="W539" s="5"/>
      <c r="X539" s="5"/>
      <c r="Y539" s="5"/>
    </row>
    <row r="540" ht="15.75" customHeight="1">
      <c r="T540" s="5"/>
      <c r="U540" s="5"/>
      <c r="V540" s="5"/>
      <c r="W540" s="5"/>
      <c r="X540" s="5"/>
      <c r="Y540" s="5"/>
    </row>
    <row r="541" ht="15.75" customHeight="1">
      <c r="T541" s="5"/>
      <c r="U541" s="5"/>
      <c r="V541" s="5"/>
      <c r="W541" s="5"/>
      <c r="X541" s="5"/>
      <c r="Y541" s="5"/>
    </row>
    <row r="542" ht="15.75" customHeight="1">
      <c r="T542" s="5"/>
      <c r="U542" s="5"/>
      <c r="V542" s="5"/>
      <c r="W542" s="5"/>
      <c r="X542" s="5"/>
      <c r="Y542" s="5"/>
    </row>
    <row r="543" ht="15.75" customHeight="1">
      <c r="T543" s="5"/>
      <c r="U543" s="5"/>
      <c r="V543" s="5"/>
      <c r="W543" s="5"/>
      <c r="X543" s="5"/>
      <c r="Y543" s="5"/>
    </row>
    <row r="544" ht="15.75" customHeight="1">
      <c r="T544" s="5"/>
      <c r="U544" s="5"/>
      <c r="V544" s="5"/>
      <c r="W544" s="5"/>
      <c r="X544" s="5"/>
      <c r="Y544" s="5"/>
    </row>
    <row r="545" ht="15.75" customHeight="1">
      <c r="T545" s="5"/>
      <c r="U545" s="5"/>
      <c r="V545" s="5"/>
      <c r="W545" s="5"/>
      <c r="X545" s="5"/>
      <c r="Y545" s="5"/>
    </row>
    <row r="546" ht="15.75" customHeight="1">
      <c r="T546" s="5"/>
      <c r="U546" s="5"/>
      <c r="V546" s="5"/>
      <c r="W546" s="5"/>
      <c r="X546" s="5"/>
      <c r="Y546" s="5"/>
    </row>
    <row r="547" ht="15.75" customHeight="1">
      <c r="T547" s="5"/>
      <c r="U547" s="5"/>
      <c r="V547" s="5"/>
      <c r="W547" s="5"/>
      <c r="X547" s="5"/>
      <c r="Y547" s="5"/>
    </row>
    <row r="548" ht="15.75" customHeight="1">
      <c r="T548" s="5"/>
      <c r="U548" s="5"/>
      <c r="V548" s="5"/>
      <c r="W548" s="5"/>
      <c r="X548" s="5"/>
      <c r="Y548" s="5"/>
    </row>
    <row r="549" ht="15.75" customHeight="1">
      <c r="T549" s="5"/>
      <c r="U549" s="5"/>
      <c r="V549" s="5"/>
      <c r="W549" s="5"/>
      <c r="X549" s="5"/>
      <c r="Y549" s="5"/>
    </row>
    <row r="550" ht="15.75" customHeight="1">
      <c r="T550" s="5"/>
      <c r="U550" s="5"/>
      <c r="V550" s="5"/>
      <c r="W550" s="5"/>
      <c r="X550" s="5"/>
      <c r="Y550" s="5"/>
    </row>
    <row r="551" ht="15.75" customHeight="1">
      <c r="T551" s="5"/>
      <c r="U551" s="5"/>
      <c r="V551" s="5"/>
      <c r="W551" s="5"/>
      <c r="X551" s="5"/>
      <c r="Y551" s="5"/>
    </row>
    <row r="552" ht="15.75" customHeight="1">
      <c r="T552" s="5"/>
      <c r="U552" s="5"/>
      <c r="V552" s="5"/>
      <c r="W552" s="5"/>
      <c r="X552" s="5"/>
      <c r="Y552" s="5"/>
    </row>
    <row r="553" ht="15.75" customHeight="1">
      <c r="T553" s="5"/>
      <c r="U553" s="5"/>
      <c r="V553" s="5"/>
      <c r="W553" s="5"/>
      <c r="X553" s="5"/>
      <c r="Y553" s="5"/>
    </row>
    <row r="554" ht="15.75" customHeight="1">
      <c r="T554" s="5"/>
      <c r="U554" s="5"/>
      <c r="V554" s="5"/>
      <c r="W554" s="5"/>
      <c r="X554" s="5"/>
      <c r="Y554" s="5"/>
    </row>
    <row r="555" ht="15.75" customHeight="1">
      <c r="T555" s="5"/>
      <c r="U555" s="5"/>
      <c r="V555" s="5"/>
      <c r="W555" s="5"/>
      <c r="X555" s="5"/>
      <c r="Y555" s="5"/>
    </row>
    <row r="556" ht="15.75" customHeight="1">
      <c r="T556" s="5"/>
      <c r="U556" s="5"/>
      <c r="V556" s="5"/>
      <c r="W556" s="5"/>
      <c r="X556" s="5"/>
      <c r="Y556" s="5"/>
    </row>
    <row r="557" ht="15.75" customHeight="1">
      <c r="T557" s="5"/>
      <c r="U557" s="5"/>
      <c r="V557" s="5"/>
      <c r="W557" s="5"/>
      <c r="X557" s="5"/>
      <c r="Y557" s="5"/>
    </row>
    <row r="558" ht="15.75" customHeight="1">
      <c r="T558" s="5"/>
      <c r="U558" s="5"/>
      <c r="V558" s="5"/>
      <c r="W558" s="5"/>
      <c r="X558" s="5"/>
      <c r="Y558" s="5"/>
    </row>
    <row r="559" ht="15.75" customHeight="1">
      <c r="T559" s="5"/>
      <c r="U559" s="5"/>
      <c r="V559" s="5"/>
      <c r="W559" s="5"/>
      <c r="X559" s="5"/>
      <c r="Y559" s="5"/>
    </row>
    <row r="560" ht="15.75" customHeight="1">
      <c r="T560" s="5"/>
      <c r="U560" s="5"/>
      <c r="V560" s="5"/>
      <c r="W560" s="5"/>
      <c r="X560" s="5"/>
      <c r="Y560" s="5"/>
    </row>
    <row r="561" ht="15.75" customHeight="1">
      <c r="T561" s="5"/>
      <c r="U561" s="5"/>
      <c r="V561" s="5"/>
      <c r="W561" s="5"/>
      <c r="X561" s="5"/>
      <c r="Y561" s="5"/>
    </row>
    <row r="562" ht="15.75" customHeight="1">
      <c r="T562" s="5"/>
      <c r="U562" s="5"/>
      <c r="V562" s="5"/>
      <c r="W562" s="5"/>
      <c r="X562" s="5"/>
      <c r="Y562" s="5"/>
    </row>
    <row r="563" ht="15.75" customHeight="1">
      <c r="T563" s="5"/>
      <c r="U563" s="5"/>
      <c r="V563" s="5"/>
      <c r="W563" s="5"/>
      <c r="X563" s="5"/>
      <c r="Y563" s="5"/>
    </row>
    <row r="564" ht="15.75" customHeight="1">
      <c r="T564" s="5"/>
      <c r="U564" s="5"/>
      <c r="V564" s="5"/>
      <c r="W564" s="5"/>
      <c r="X564" s="5"/>
      <c r="Y564" s="5"/>
    </row>
    <row r="565" ht="15.75" customHeight="1">
      <c r="T565" s="5"/>
      <c r="U565" s="5"/>
      <c r="V565" s="5"/>
      <c r="W565" s="5"/>
      <c r="X565" s="5"/>
      <c r="Y565" s="5"/>
    </row>
    <row r="566" ht="15.75" customHeight="1">
      <c r="T566" s="5"/>
      <c r="U566" s="5"/>
      <c r="V566" s="5"/>
      <c r="W566" s="5"/>
      <c r="X566" s="5"/>
      <c r="Y566" s="5"/>
    </row>
    <row r="567" ht="15.75" customHeight="1">
      <c r="T567" s="5"/>
      <c r="U567" s="5"/>
      <c r="V567" s="5"/>
      <c r="W567" s="5"/>
      <c r="X567" s="5"/>
      <c r="Y567" s="5"/>
    </row>
    <row r="568" ht="15.75" customHeight="1">
      <c r="T568" s="5"/>
      <c r="U568" s="5"/>
      <c r="V568" s="5"/>
      <c r="W568" s="5"/>
      <c r="X568" s="5"/>
      <c r="Y568" s="5"/>
    </row>
    <row r="569" ht="15.75" customHeight="1">
      <c r="T569" s="5"/>
      <c r="U569" s="5"/>
      <c r="V569" s="5"/>
      <c r="W569" s="5"/>
      <c r="X569" s="5"/>
      <c r="Y569" s="5"/>
    </row>
    <row r="570" ht="15.75" customHeight="1">
      <c r="T570" s="5"/>
      <c r="U570" s="5"/>
      <c r="V570" s="5"/>
      <c r="W570" s="5"/>
      <c r="X570" s="5"/>
      <c r="Y570" s="5"/>
    </row>
    <row r="571" ht="15.75" customHeight="1">
      <c r="T571" s="5"/>
      <c r="U571" s="5"/>
      <c r="V571" s="5"/>
      <c r="W571" s="5"/>
      <c r="X571" s="5"/>
      <c r="Y571" s="5"/>
    </row>
    <row r="572" ht="15.75" customHeight="1">
      <c r="T572" s="5"/>
      <c r="U572" s="5"/>
      <c r="V572" s="5"/>
      <c r="W572" s="5"/>
      <c r="X572" s="5"/>
      <c r="Y572" s="5"/>
    </row>
    <row r="573" ht="15.75" customHeight="1">
      <c r="T573" s="5"/>
      <c r="U573" s="5"/>
      <c r="V573" s="5"/>
      <c r="W573" s="5"/>
      <c r="X573" s="5"/>
      <c r="Y573" s="5"/>
    </row>
    <row r="574" ht="15.75" customHeight="1">
      <c r="T574" s="5"/>
      <c r="U574" s="5"/>
      <c r="V574" s="5"/>
      <c r="W574" s="5"/>
      <c r="X574" s="5"/>
      <c r="Y574" s="5"/>
    </row>
    <row r="575" ht="15.75" customHeight="1">
      <c r="T575" s="5"/>
      <c r="U575" s="5"/>
      <c r="V575" s="5"/>
      <c r="W575" s="5"/>
      <c r="X575" s="5"/>
      <c r="Y575" s="5"/>
    </row>
    <row r="576" ht="15.75" customHeight="1">
      <c r="T576" s="5"/>
      <c r="U576" s="5"/>
      <c r="V576" s="5"/>
      <c r="W576" s="5"/>
      <c r="X576" s="5"/>
      <c r="Y576" s="5"/>
    </row>
    <row r="577" ht="15.75" customHeight="1">
      <c r="T577" s="5"/>
      <c r="U577" s="5"/>
      <c r="V577" s="5"/>
      <c r="W577" s="5"/>
      <c r="X577" s="5"/>
      <c r="Y577" s="5"/>
    </row>
    <row r="578" ht="15.75" customHeight="1">
      <c r="T578" s="5"/>
      <c r="U578" s="5"/>
      <c r="V578" s="5"/>
      <c r="W578" s="5"/>
      <c r="X578" s="5"/>
      <c r="Y578" s="5"/>
    </row>
    <row r="579" ht="15.75" customHeight="1">
      <c r="T579" s="5"/>
      <c r="U579" s="5"/>
      <c r="V579" s="5"/>
      <c r="W579" s="5"/>
      <c r="X579" s="5"/>
      <c r="Y579" s="5"/>
    </row>
    <row r="580" ht="15.75" customHeight="1">
      <c r="T580" s="5"/>
      <c r="U580" s="5"/>
      <c r="V580" s="5"/>
      <c r="W580" s="5"/>
      <c r="X580" s="5"/>
      <c r="Y580" s="5"/>
    </row>
    <row r="581" ht="15.75" customHeight="1">
      <c r="T581" s="5"/>
      <c r="U581" s="5"/>
      <c r="V581" s="5"/>
      <c r="W581" s="5"/>
      <c r="X581" s="5"/>
      <c r="Y581" s="5"/>
    </row>
    <row r="582" ht="15.75" customHeight="1">
      <c r="T582" s="5"/>
      <c r="U582" s="5"/>
      <c r="V582" s="5"/>
      <c r="W582" s="5"/>
      <c r="X582" s="5"/>
      <c r="Y582" s="5"/>
    </row>
    <row r="583" ht="15.75" customHeight="1">
      <c r="T583" s="5"/>
      <c r="U583" s="5"/>
      <c r="V583" s="5"/>
      <c r="W583" s="5"/>
      <c r="X583" s="5"/>
      <c r="Y583" s="5"/>
    </row>
    <row r="584" ht="15.75" customHeight="1">
      <c r="T584" s="5"/>
      <c r="U584" s="5"/>
      <c r="V584" s="5"/>
      <c r="W584" s="5"/>
      <c r="X584" s="5"/>
      <c r="Y584" s="5"/>
    </row>
    <row r="585" ht="15.75" customHeight="1">
      <c r="T585" s="5"/>
      <c r="U585" s="5"/>
      <c r="V585" s="5"/>
      <c r="W585" s="5"/>
      <c r="X585" s="5"/>
      <c r="Y585" s="5"/>
    </row>
    <row r="586" ht="15.75" customHeight="1">
      <c r="T586" s="5"/>
      <c r="U586" s="5"/>
      <c r="V586" s="5"/>
      <c r="W586" s="5"/>
      <c r="X586" s="5"/>
      <c r="Y586" s="5"/>
    </row>
    <row r="587" ht="15.75" customHeight="1">
      <c r="T587" s="5"/>
      <c r="U587" s="5"/>
      <c r="V587" s="5"/>
      <c r="W587" s="5"/>
      <c r="X587" s="5"/>
      <c r="Y587" s="5"/>
    </row>
    <row r="588" ht="15.75" customHeight="1">
      <c r="T588" s="5"/>
      <c r="U588" s="5"/>
      <c r="V588" s="5"/>
      <c r="W588" s="5"/>
      <c r="X588" s="5"/>
      <c r="Y588" s="5"/>
    </row>
    <row r="589" ht="15.75" customHeight="1">
      <c r="T589" s="5"/>
      <c r="U589" s="5"/>
      <c r="V589" s="5"/>
      <c r="W589" s="5"/>
      <c r="X589" s="5"/>
      <c r="Y589" s="5"/>
    </row>
    <row r="590" ht="15.75" customHeight="1">
      <c r="T590" s="5"/>
      <c r="U590" s="5"/>
      <c r="V590" s="5"/>
      <c r="W590" s="5"/>
      <c r="X590" s="5"/>
      <c r="Y590" s="5"/>
    </row>
    <row r="591" ht="15.75" customHeight="1">
      <c r="T591" s="5"/>
      <c r="U591" s="5"/>
      <c r="V591" s="5"/>
      <c r="W591" s="5"/>
      <c r="X591" s="5"/>
      <c r="Y591" s="5"/>
    </row>
    <row r="592" ht="15.75" customHeight="1">
      <c r="T592" s="5"/>
      <c r="U592" s="5"/>
      <c r="V592" s="5"/>
      <c r="W592" s="5"/>
      <c r="X592" s="5"/>
      <c r="Y592" s="5"/>
    </row>
    <row r="593" ht="15.75" customHeight="1">
      <c r="T593" s="5"/>
      <c r="U593" s="5"/>
      <c r="V593" s="5"/>
      <c r="W593" s="5"/>
      <c r="X593" s="5"/>
      <c r="Y593" s="5"/>
    </row>
    <row r="594" ht="15.75" customHeight="1">
      <c r="T594" s="5"/>
      <c r="U594" s="5"/>
      <c r="V594" s="5"/>
      <c r="W594" s="5"/>
      <c r="X594" s="5"/>
      <c r="Y594" s="5"/>
    </row>
    <row r="595" ht="15.75" customHeight="1">
      <c r="T595" s="5"/>
      <c r="U595" s="5"/>
      <c r="V595" s="5"/>
      <c r="W595" s="5"/>
      <c r="X595" s="5"/>
      <c r="Y595" s="5"/>
    </row>
    <row r="596" ht="15.75" customHeight="1">
      <c r="T596" s="5"/>
      <c r="U596" s="5"/>
      <c r="V596" s="5"/>
      <c r="W596" s="5"/>
      <c r="X596" s="5"/>
      <c r="Y596" s="5"/>
    </row>
    <row r="597" ht="15.75" customHeight="1">
      <c r="T597" s="5"/>
      <c r="U597" s="5"/>
      <c r="V597" s="5"/>
      <c r="W597" s="5"/>
      <c r="X597" s="5"/>
      <c r="Y597" s="5"/>
    </row>
    <row r="598" ht="15.75" customHeight="1">
      <c r="T598" s="5"/>
      <c r="U598" s="5"/>
      <c r="V598" s="5"/>
      <c r="W598" s="5"/>
      <c r="X598" s="5"/>
      <c r="Y598" s="5"/>
    </row>
    <row r="599" ht="15.75" customHeight="1">
      <c r="T599" s="5"/>
      <c r="U599" s="5"/>
      <c r="V599" s="5"/>
      <c r="W599" s="5"/>
      <c r="X599" s="5"/>
      <c r="Y599" s="5"/>
    </row>
    <row r="600" ht="15.75" customHeight="1">
      <c r="T600" s="5"/>
      <c r="U600" s="5"/>
      <c r="V600" s="5"/>
      <c r="W600" s="5"/>
      <c r="X600" s="5"/>
      <c r="Y600" s="5"/>
    </row>
    <row r="601" ht="15.75" customHeight="1">
      <c r="T601" s="5"/>
      <c r="U601" s="5"/>
      <c r="V601" s="5"/>
      <c r="W601" s="5"/>
      <c r="X601" s="5"/>
      <c r="Y601" s="5"/>
    </row>
    <row r="602" ht="15.75" customHeight="1">
      <c r="T602" s="5"/>
      <c r="U602" s="5"/>
      <c r="V602" s="5"/>
      <c r="W602" s="5"/>
      <c r="X602" s="5"/>
      <c r="Y602" s="5"/>
    </row>
    <row r="603" ht="15.75" customHeight="1">
      <c r="T603" s="5"/>
      <c r="U603" s="5"/>
      <c r="V603" s="5"/>
      <c r="W603" s="5"/>
      <c r="X603" s="5"/>
      <c r="Y603" s="5"/>
    </row>
    <row r="604" ht="15.75" customHeight="1">
      <c r="T604" s="5"/>
      <c r="U604" s="5"/>
      <c r="V604" s="5"/>
      <c r="W604" s="5"/>
      <c r="X604" s="5"/>
      <c r="Y604" s="5"/>
    </row>
    <row r="605" ht="15.75" customHeight="1">
      <c r="T605" s="5"/>
      <c r="U605" s="5"/>
      <c r="V605" s="5"/>
      <c r="W605" s="5"/>
      <c r="X605" s="5"/>
      <c r="Y605" s="5"/>
    </row>
    <row r="606" ht="15.75" customHeight="1">
      <c r="T606" s="5"/>
      <c r="U606" s="5"/>
      <c r="V606" s="5"/>
      <c r="W606" s="5"/>
      <c r="X606" s="5"/>
      <c r="Y606" s="5"/>
    </row>
    <row r="607" ht="15.75" customHeight="1">
      <c r="T607" s="5"/>
      <c r="U607" s="5"/>
      <c r="V607" s="5"/>
      <c r="W607" s="5"/>
      <c r="X607" s="5"/>
      <c r="Y607" s="5"/>
    </row>
    <row r="608" ht="15.75" customHeight="1">
      <c r="T608" s="5"/>
      <c r="U608" s="5"/>
      <c r="V608" s="5"/>
      <c r="W608" s="5"/>
      <c r="X608" s="5"/>
      <c r="Y608" s="5"/>
    </row>
    <row r="609" ht="15.75" customHeight="1">
      <c r="T609" s="5"/>
      <c r="U609" s="5"/>
      <c r="V609" s="5"/>
      <c r="W609" s="5"/>
      <c r="X609" s="5"/>
      <c r="Y609" s="5"/>
    </row>
    <row r="610" ht="15.75" customHeight="1">
      <c r="T610" s="5"/>
      <c r="U610" s="5"/>
      <c r="V610" s="5"/>
      <c r="W610" s="5"/>
      <c r="X610" s="5"/>
      <c r="Y610" s="5"/>
    </row>
    <row r="611" ht="15.75" customHeight="1">
      <c r="T611" s="5"/>
      <c r="U611" s="5"/>
      <c r="V611" s="5"/>
      <c r="W611" s="5"/>
      <c r="X611" s="5"/>
      <c r="Y611" s="5"/>
    </row>
    <row r="612" ht="15.75" customHeight="1">
      <c r="T612" s="5"/>
      <c r="U612" s="5"/>
      <c r="V612" s="5"/>
      <c r="W612" s="5"/>
      <c r="X612" s="5"/>
      <c r="Y612" s="5"/>
    </row>
    <row r="613" ht="15.75" customHeight="1">
      <c r="T613" s="5"/>
      <c r="U613" s="5"/>
      <c r="V613" s="5"/>
      <c r="W613" s="5"/>
      <c r="X613" s="5"/>
      <c r="Y613" s="5"/>
    </row>
    <row r="614" ht="15.75" customHeight="1">
      <c r="T614" s="5"/>
      <c r="U614" s="5"/>
      <c r="V614" s="5"/>
      <c r="W614" s="5"/>
      <c r="X614" s="5"/>
      <c r="Y614" s="5"/>
    </row>
    <row r="615" ht="15.75" customHeight="1">
      <c r="T615" s="5"/>
      <c r="U615" s="5"/>
      <c r="V615" s="5"/>
      <c r="W615" s="5"/>
      <c r="X615" s="5"/>
      <c r="Y615" s="5"/>
    </row>
    <row r="616" ht="15.75" customHeight="1">
      <c r="T616" s="5"/>
      <c r="U616" s="5"/>
      <c r="V616" s="5"/>
      <c r="W616" s="5"/>
      <c r="X616" s="5"/>
      <c r="Y616" s="5"/>
    </row>
    <row r="617" ht="15.75" customHeight="1">
      <c r="T617" s="5"/>
      <c r="U617" s="5"/>
      <c r="V617" s="5"/>
      <c r="W617" s="5"/>
      <c r="X617" s="5"/>
      <c r="Y617" s="5"/>
    </row>
    <row r="618" ht="15.75" customHeight="1">
      <c r="T618" s="5"/>
      <c r="U618" s="5"/>
      <c r="V618" s="5"/>
      <c r="W618" s="5"/>
      <c r="X618" s="5"/>
      <c r="Y618" s="5"/>
    </row>
    <row r="619" ht="15.75" customHeight="1">
      <c r="T619" s="5"/>
      <c r="U619" s="5"/>
      <c r="V619" s="5"/>
      <c r="W619" s="5"/>
      <c r="X619" s="5"/>
      <c r="Y619" s="5"/>
    </row>
    <row r="620" ht="15.75" customHeight="1">
      <c r="T620" s="5"/>
      <c r="U620" s="5"/>
      <c r="V620" s="5"/>
      <c r="W620" s="5"/>
      <c r="X620" s="5"/>
      <c r="Y620" s="5"/>
    </row>
    <row r="621" ht="15.75" customHeight="1">
      <c r="T621" s="5"/>
      <c r="U621" s="5"/>
      <c r="V621" s="5"/>
      <c r="W621" s="5"/>
      <c r="X621" s="5"/>
      <c r="Y621" s="5"/>
    </row>
    <row r="622" ht="15.75" customHeight="1">
      <c r="T622" s="5"/>
      <c r="U622" s="5"/>
      <c r="V622" s="5"/>
      <c r="W622" s="5"/>
      <c r="X622" s="5"/>
      <c r="Y622" s="5"/>
    </row>
    <row r="623" ht="15.75" customHeight="1">
      <c r="T623" s="5"/>
      <c r="U623" s="5"/>
      <c r="V623" s="5"/>
      <c r="W623" s="5"/>
      <c r="X623" s="5"/>
      <c r="Y623" s="5"/>
    </row>
    <row r="624" ht="15.75" customHeight="1">
      <c r="T624" s="5"/>
      <c r="U624" s="5"/>
      <c r="V624" s="5"/>
      <c r="W624" s="5"/>
      <c r="X624" s="5"/>
      <c r="Y624" s="5"/>
    </row>
    <row r="625" ht="15.75" customHeight="1">
      <c r="T625" s="5"/>
      <c r="U625" s="5"/>
      <c r="V625" s="5"/>
      <c r="W625" s="5"/>
      <c r="X625" s="5"/>
      <c r="Y625" s="5"/>
    </row>
    <row r="626" ht="15.75" customHeight="1">
      <c r="T626" s="5"/>
      <c r="U626" s="5"/>
      <c r="V626" s="5"/>
      <c r="W626" s="5"/>
      <c r="X626" s="5"/>
      <c r="Y626" s="5"/>
    </row>
    <row r="627" ht="15.75" customHeight="1">
      <c r="T627" s="5"/>
      <c r="U627" s="5"/>
      <c r="V627" s="5"/>
      <c r="W627" s="5"/>
      <c r="X627" s="5"/>
      <c r="Y627" s="5"/>
    </row>
    <row r="628" ht="15.75" customHeight="1">
      <c r="T628" s="5"/>
      <c r="U628" s="5"/>
      <c r="V628" s="5"/>
      <c r="W628" s="5"/>
      <c r="X628" s="5"/>
      <c r="Y628" s="5"/>
    </row>
    <row r="629" ht="15.75" customHeight="1">
      <c r="T629" s="5"/>
      <c r="U629" s="5"/>
      <c r="V629" s="5"/>
      <c r="W629" s="5"/>
      <c r="X629" s="5"/>
      <c r="Y629" s="5"/>
    </row>
    <row r="630" ht="15.75" customHeight="1">
      <c r="T630" s="5"/>
      <c r="U630" s="5"/>
      <c r="V630" s="5"/>
      <c r="W630" s="5"/>
      <c r="X630" s="5"/>
      <c r="Y630" s="5"/>
    </row>
    <row r="631" ht="15.75" customHeight="1">
      <c r="T631" s="5"/>
      <c r="U631" s="5"/>
      <c r="V631" s="5"/>
      <c r="W631" s="5"/>
      <c r="X631" s="5"/>
      <c r="Y631" s="5"/>
    </row>
    <row r="632" ht="15.75" customHeight="1">
      <c r="T632" s="5"/>
      <c r="U632" s="5"/>
      <c r="V632" s="5"/>
      <c r="W632" s="5"/>
      <c r="X632" s="5"/>
      <c r="Y632" s="5"/>
    </row>
    <row r="633" ht="15.75" customHeight="1">
      <c r="T633" s="5"/>
      <c r="U633" s="5"/>
      <c r="V633" s="5"/>
      <c r="W633" s="5"/>
      <c r="X633" s="5"/>
      <c r="Y633" s="5"/>
    </row>
    <row r="634" ht="15.75" customHeight="1">
      <c r="T634" s="5"/>
      <c r="U634" s="5"/>
      <c r="V634" s="5"/>
      <c r="W634" s="5"/>
      <c r="X634" s="5"/>
      <c r="Y634" s="5"/>
    </row>
    <row r="635" ht="15.75" customHeight="1">
      <c r="T635" s="5"/>
      <c r="U635" s="5"/>
      <c r="V635" s="5"/>
      <c r="W635" s="5"/>
      <c r="X635" s="5"/>
      <c r="Y635" s="5"/>
    </row>
    <row r="636" ht="15.75" customHeight="1">
      <c r="T636" s="5"/>
      <c r="U636" s="5"/>
      <c r="V636" s="5"/>
      <c r="W636" s="5"/>
      <c r="X636" s="5"/>
      <c r="Y636" s="5"/>
    </row>
    <row r="637" ht="15.75" customHeight="1">
      <c r="T637" s="5"/>
      <c r="U637" s="5"/>
      <c r="V637" s="5"/>
      <c r="W637" s="5"/>
      <c r="X637" s="5"/>
      <c r="Y637" s="5"/>
    </row>
    <row r="638" ht="15.75" customHeight="1">
      <c r="T638" s="5"/>
      <c r="U638" s="5"/>
      <c r="V638" s="5"/>
      <c r="W638" s="5"/>
      <c r="X638" s="5"/>
      <c r="Y638" s="5"/>
    </row>
    <row r="639" ht="15.75" customHeight="1">
      <c r="T639" s="5"/>
      <c r="U639" s="5"/>
      <c r="V639" s="5"/>
      <c r="W639" s="5"/>
      <c r="X639" s="5"/>
      <c r="Y639" s="5"/>
    </row>
    <row r="640" ht="15.75" customHeight="1">
      <c r="T640" s="5"/>
      <c r="U640" s="5"/>
      <c r="V640" s="5"/>
      <c r="W640" s="5"/>
      <c r="X640" s="5"/>
      <c r="Y640" s="5"/>
    </row>
    <row r="641" ht="15.75" customHeight="1">
      <c r="T641" s="5"/>
      <c r="U641" s="5"/>
      <c r="V641" s="5"/>
      <c r="W641" s="5"/>
      <c r="X641" s="5"/>
      <c r="Y641" s="5"/>
    </row>
    <row r="642" ht="15.75" customHeight="1">
      <c r="T642" s="5"/>
      <c r="U642" s="5"/>
      <c r="V642" s="5"/>
      <c r="W642" s="5"/>
      <c r="X642" s="5"/>
      <c r="Y642" s="5"/>
    </row>
    <row r="643" ht="15.75" customHeight="1">
      <c r="T643" s="5"/>
      <c r="U643" s="5"/>
      <c r="V643" s="5"/>
      <c r="W643" s="5"/>
      <c r="X643" s="5"/>
      <c r="Y643" s="5"/>
    </row>
    <row r="644" ht="15.75" customHeight="1">
      <c r="T644" s="5"/>
      <c r="U644" s="5"/>
      <c r="V644" s="5"/>
      <c r="W644" s="5"/>
      <c r="X644" s="5"/>
      <c r="Y644" s="5"/>
    </row>
    <row r="645" ht="15.75" customHeight="1">
      <c r="T645" s="5"/>
      <c r="U645" s="5"/>
      <c r="V645" s="5"/>
      <c r="W645" s="5"/>
      <c r="X645" s="5"/>
      <c r="Y645" s="5"/>
    </row>
    <row r="646" ht="15.75" customHeight="1">
      <c r="T646" s="5"/>
      <c r="U646" s="5"/>
      <c r="V646" s="5"/>
      <c r="W646" s="5"/>
      <c r="X646" s="5"/>
      <c r="Y646" s="5"/>
    </row>
    <row r="647" ht="15.75" customHeight="1">
      <c r="T647" s="5"/>
      <c r="U647" s="5"/>
      <c r="V647" s="5"/>
      <c r="W647" s="5"/>
      <c r="X647" s="5"/>
      <c r="Y647" s="5"/>
    </row>
    <row r="648" ht="15.75" customHeight="1">
      <c r="T648" s="5"/>
      <c r="U648" s="5"/>
      <c r="V648" s="5"/>
      <c r="W648" s="5"/>
      <c r="X648" s="5"/>
      <c r="Y648" s="5"/>
    </row>
    <row r="649" ht="15.75" customHeight="1">
      <c r="T649" s="5"/>
      <c r="U649" s="5"/>
      <c r="V649" s="5"/>
      <c r="W649" s="5"/>
      <c r="X649" s="5"/>
      <c r="Y649" s="5"/>
    </row>
    <row r="650" ht="15.75" customHeight="1">
      <c r="T650" s="5"/>
      <c r="U650" s="5"/>
      <c r="V650" s="5"/>
      <c r="W650" s="5"/>
      <c r="X650" s="5"/>
      <c r="Y650" s="5"/>
    </row>
    <row r="651" ht="15.75" customHeight="1">
      <c r="T651" s="5"/>
      <c r="U651" s="5"/>
      <c r="V651" s="5"/>
      <c r="W651" s="5"/>
      <c r="X651" s="5"/>
      <c r="Y651" s="5"/>
    </row>
    <row r="652" ht="15.75" customHeight="1">
      <c r="T652" s="5"/>
      <c r="U652" s="5"/>
      <c r="V652" s="5"/>
      <c r="W652" s="5"/>
      <c r="X652" s="5"/>
      <c r="Y652" s="5"/>
    </row>
    <row r="653" ht="15.75" customHeight="1">
      <c r="T653" s="5"/>
      <c r="U653" s="5"/>
      <c r="V653" s="5"/>
      <c r="W653" s="5"/>
      <c r="X653" s="5"/>
      <c r="Y653" s="5"/>
    </row>
    <row r="654" ht="15.75" customHeight="1">
      <c r="T654" s="5"/>
      <c r="U654" s="5"/>
      <c r="V654" s="5"/>
      <c r="W654" s="5"/>
      <c r="X654" s="5"/>
      <c r="Y654" s="5"/>
    </row>
    <row r="655" ht="15.75" customHeight="1">
      <c r="T655" s="5"/>
      <c r="U655" s="5"/>
      <c r="V655" s="5"/>
      <c r="W655" s="5"/>
      <c r="X655" s="5"/>
      <c r="Y655" s="5"/>
    </row>
    <row r="656" ht="15.75" customHeight="1">
      <c r="T656" s="5"/>
      <c r="U656" s="5"/>
      <c r="V656" s="5"/>
      <c r="W656" s="5"/>
      <c r="X656" s="5"/>
      <c r="Y656" s="5"/>
    </row>
    <row r="657" ht="15.75" customHeight="1">
      <c r="T657" s="5"/>
      <c r="U657" s="5"/>
      <c r="V657" s="5"/>
      <c r="W657" s="5"/>
      <c r="X657" s="5"/>
      <c r="Y657" s="5"/>
    </row>
    <row r="658" ht="15.75" customHeight="1">
      <c r="T658" s="5"/>
      <c r="U658" s="5"/>
      <c r="V658" s="5"/>
      <c r="W658" s="5"/>
      <c r="X658" s="5"/>
      <c r="Y658" s="5"/>
    </row>
    <row r="659" ht="15.75" customHeight="1">
      <c r="T659" s="5"/>
      <c r="U659" s="5"/>
      <c r="V659" s="5"/>
      <c r="W659" s="5"/>
      <c r="X659" s="5"/>
      <c r="Y659" s="5"/>
    </row>
    <row r="660" ht="15.75" customHeight="1">
      <c r="T660" s="5"/>
      <c r="U660" s="5"/>
      <c r="V660" s="5"/>
      <c r="W660" s="5"/>
      <c r="X660" s="5"/>
      <c r="Y660" s="5"/>
    </row>
    <row r="661" ht="15.75" customHeight="1">
      <c r="T661" s="5"/>
      <c r="U661" s="5"/>
      <c r="V661" s="5"/>
      <c r="W661" s="5"/>
      <c r="X661" s="5"/>
      <c r="Y661" s="5"/>
    </row>
    <row r="662" ht="15.75" customHeight="1">
      <c r="T662" s="5"/>
      <c r="U662" s="5"/>
      <c r="V662" s="5"/>
      <c r="W662" s="5"/>
      <c r="X662" s="5"/>
      <c r="Y662" s="5"/>
    </row>
    <row r="663" ht="15.75" customHeight="1">
      <c r="T663" s="5"/>
      <c r="U663" s="5"/>
      <c r="V663" s="5"/>
      <c r="W663" s="5"/>
      <c r="X663" s="5"/>
      <c r="Y663" s="5"/>
    </row>
    <row r="664" ht="15.75" customHeight="1">
      <c r="T664" s="5"/>
      <c r="U664" s="5"/>
      <c r="V664" s="5"/>
      <c r="W664" s="5"/>
      <c r="X664" s="5"/>
      <c r="Y664" s="5"/>
    </row>
    <row r="665" ht="15.75" customHeight="1">
      <c r="T665" s="5"/>
      <c r="U665" s="5"/>
      <c r="V665" s="5"/>
      <c r="W665" s="5"/>
      <c r="X665" s="5"/>
      <c r="Y665" s="5"/>
    </row>
    <row r="666" ht="15.75" customHeight="1">
      <c r="T666" s="5"/>
      <c r="U666" s="5"/>
      <c r="V666" s="5"/>
      <c r="W666" s="5"/>
      <c r="X666" s="5"/>
      <c r="Y666" s="5"/>
    </row>
    <row r="667" ht="15.75" customHeight="1">
      <c r="T667" s="5"/>
      <c r="U667" s="5"/>
      <c r="V667" s="5"/>
      <c r="W667" s="5"/>
      <c r="X667" s="5"/>
      <c r="Y667" s="5"/>
    </row>
    <row r="668" ht="15.75" customHeight="1">
      <c r="T668" s="5"/>
      <c r="U668" s="5"/>
      <c r="V668" s="5"/>
      <c r="W668" s="5"/>
      <c r="X668" s="5"/>
      <c r="Y668" s="5"/>
    </row>
    <row r="669" ht="15.75" customHeight="1">
      <c r="T669" s="5"/>
      <c r="U669" s="5"/>
      <c r="V669" s="5"/>
      <c r="W669" s="5"/>
      <c r="X669" s="5"/>
      <c r="Y669" s="5"/>
    </row>
    <row r="670" ht="15.75" customHeight="1">
      <c r="T670" s="5"/>
      <c r="U670" s="5"/>
      <c r="V670" s="5"/>
      <c r="W670" s="5"/>
      <c r="X670" s="5"/>
      <c r="Y670" s="5"/>
    </row>
    <row r="671" ht="15.75" customHeight="1">
      <c r="T671" s="5"/>
      <c r="U671" s="5"/>
      <c r="V671" s="5"/>
      <c r="W671" s="5"/>
      <c r="X671" s="5"/>
      <c r="Y671" s="5"/>
    </row>
    <row r="672" ht="15.75" customHeight="1">
      <c r="T672" s="5"/>
      <c r="U672" s="5"/>
      <c r="V672" s="5"/>
      <c r="W672" s="5"/>
      <c r="X672" s="5"/>
      <c r="Y672" s="5"/>
    </row>
    <row r="673" ht="15.75" customHeight="1">
      <c r="T673" s="5"/>
      <c r="U673" s="5"/>
      <c r="V673" s="5"/>
      <c r="W673" s="5"/>
      <c r="X673" s="5"/>
      <c r="Y673" s="5"/>
    </row>
    <row r="674" ht="15.75" customHeight="1">
      <c r="T674" s="5"/>
      <c r="U674" s="5"/>
      <c r="V674" s="5"/>
      <c r="W674" s="5"/>
      <c r="X674" s="5"/>
      <c r="Y674" s="5"/>
    </row>
    <row r="675" ht="15.75" customHeight="1">
      <c r="T675" s="5"/>
      <c r="U675" s="5"/>
      <c r="V675" s="5"/>
      <c r="W675" s="5"/>
      <c r="X675" s="5"/>
      <c r="Y675" s="5"/>
    </row>
    <row r="676" ht="15.75" customHeight="1">
      <c r="T676" s="5"/>
      <c r="U676" s="5"/>
      <c r="V676" s="5"/>
      <c r="W676" s="5"/>
      <c r="X676" s="5"/>
      <c r="Y676" s="5"/>
    </row>
    <row r="677" ht="15.75" customHeight="1">
      <c r="T677" s="5"/>
      <c r="U677" s="5"/>
      <c r="V677" s="5"/>
      <c r="W677" s="5"/>
      <c r="X677" s="5"/>
      <c r="Y677" s="5"/>
    </row>
    <row r="678" ht="15.75" customHeight="1">
      <c r="T678" s="5"/>
      <c r="U678" s="5"/>
      <c r="V678" s="5"/>
      <c r="W678" s="5"/>
      <c r="X678" s="5"/>
      <c r="Y678" s="5"/>
    </row>
    <row r="679" ht="15.75" customHeight="1">
      <c r="T679" s="5"/>
      <c r="U679" s="5"/>
      <c r="V679" s="5"/>
      <c r="W679" s="5"/>
      <c r="X679" s="5"/>
      <c r="Y679" s="5"/>
    </row>
    <row r="680" ht="15.75" customHeight="1">
      <c r="T680" s="5"/>
      <c r="U680" s="5"/>
      <c r="V680" s="5"/>
      <c r="W680" s="5"/>
      <c r="X680" s="5"/>
      <c r="Y680" s="5"/>
    </row>
    <row r="681" ht="15.75" customHeight="1">
      <c r="T681" s="5"/>
      <c r="U681" s="5"/>
      <c r="V681" s="5"/>
      <c r="W681" s="5"/>
      <c r="X681" s="5"/>
      <c r="Y681" s="5"/>
    </row>
    <row r="682" ht="15.75" customHeight="1">
      <c r="T682" s="5"/>
      <c r="U682" s="5"/>
      <c r="V682" s="5"/>
      <c r="W682" s="5"/>
      <c r="X682" s="5"/>
      <c r="Y682" s="5"/>
    </row>
    <row r="683" ht="15.75" customHeight="1">
      <c r="T683" s="5"/>
      <c r="U683" s="5"/>
      <c r="V683" s="5"/>
      <c r="W683" s="5"/>
      <c r="X683" s="5"/>
      <c r="Y683" s="5"/>
    </row>
    <row r="684" ht="15.75" customHeight="1">
      <c r="T684" s="5"/>
      <c r="U684" s="5"/>
      <c r="V684" s="5"/>
      <c r="W684" s="5"/>
      <c r="X684" s="5"/>
      <c r="Y684" s="5"/>
    </row>
    <row r="685" ht="15.75" customHeight="1">
      <c r="T685" s="5"/>
      <c r="U685" s="5"/>
      <c r="V685" s="5"/>
      <c r="W685" s="5"/>
      <c r="X685" s="5"/>
      <c r="Y685" s="5"/>
    </row>
    <row r="686" ht="15.75" customHeight="1">
      <c r="T686" s="5"/>
      <c r="U686" s="5"/>
      <c r="V686" s="5"/>
      <c r="W686" s="5"/>
      <c r="X686" s="5"/>
      <c r="Y686" s="5"/>
    </row>
    <row r="687" ht="15.75" customHeight="1">
      <c r="T687" s="5"/>
      <c r="U687" s="5"/>
      <c r="V687" s="5"/>
      <c r="W687" s="5"/>
      <c r="X687" s="5"/>
      <c r="Y687" s="5"/>
    </row>
    <row r="688" ht="15.75" customHeight="1">
      <c r="T688" s="5"/>
      <c r="U688" s="5"/>
      <c r="V688" s="5"/>
      <c r="W688" s="5"/>
      <c r="X688" s="5"/>
      <c r="Y688" s="5"/>
    </row>
    <row r="689" ht="15.75" customHeight="1">
      <c r="T689" s="5"/>
      <c r="U689" s="5"/>
      <c r="V689" s="5"/>
      <c r="W689" s="5"/>
      <c r="X689" s="5"/>
      <c r="Y689" s="5"/>
    </row>
    <row r="690" ht="15.75" customHeight="1">
      <c r="T690" s="5"/>
      <c r="U690" s="5"/>
      <c r="V690" s="5"/>
      <c r="W690" s="5"/>
      <c r="X690" s="5"/>
      <c r="Y690" s="5"/>
    </row>
    <row r="691" ht="15.75" customHeight="1">
      <c r="T691" s="5"/>
      <c r="U691" s="5"/>
      <c r="V691" s="5"/>
      <c r="W691" s="5"/>
      <c r="X691" s="5"/>
      <c r="Y691" s="5"/>
    </row>
    <row r="692" ht="15.75" customHeight="1">
      <c r="T692" s="5"/>
      <c r="U692" s="5"/>
      <c r="V692" s="5"/>
      <c r="W692" s="5"/>
      <c r="X692" s="5"/>
      <c r="Y692" s="5"/>
    </row>
    <row r="693" ht="15.75" customHeight="1">
      <c r="T693" s="5"/>
      <c r="U693" s="5"/>
      <c r="V693" s="5"/>
      <c r="W693" s="5"/>
      <c r="X693" s="5"/>
      <c r="Y693" s="5"/>
    </row>
    <row r="694" ht="15.75" customHeight="1">
      <c r="T694" s="5"/>
      <c r="U694" s="5"/>
      <c r="V694" s="5"/>
      <c r="W694" s="5"/>
      <c r="X694" s="5"/>
      <c r="Y694" s="5"/>
    </row>
    <row r="695" ht="15.75" customHeight="1">
      <c r="T695" s="5"/>
      <c r="U695" s="5"/>
      <c r="V695" s="5"/>
      <c r="W695" s="5"/>
      <c r="X695" s="5"/>
      <c r="Y695" s="5"/>
    </row>
    <row r="696" ht="15.75" customHeight="1">
      <c r="T696" s="5"/>
      <c r="U696" s="5"/>
      <c r="V696" s="5"/>
      <c r="W696" s="5"/>
      <c r="X696" s="5"/>
      <c r="Y696" s="5"/>
    </row>
    <row r="697" ht="15.75" customHeight="1">
      <c r="T697" s="5"/>
      <c r="U697" s="5"/>
      <c r="V697" s="5"/>
      <c r="W697" s="5"/>
      <c r="X697" s="5"/>
      <c r="Y697" s="5"/>
    </row>
    <row r="698" ht="15.75" customHeight="1">
      <c r="T698" s="5"/>
      <c r="U698" s="5"/>
      <c r="V698" s="5"/>
      <c r="W698" s="5"/>
      <c r="X698" s="5"/>
      <c r="Y698" s="5"/>
    </row>
    <row r="699" ht="15.75" customHeight="1">
      <c r="T699" s="5"/>
      <c r="U699" s="5"/>
      <c r="V699" s="5"/>
      <c r="W699" s="5"/>
      <c r="X699" s="5"/>
      <c r="Y699" s="5"/>
    </row>
    <row r="700" ht="15.75" customHeight="1">
      <c r="T700" s="5"/>
      <c r="U700" s="5"/>
      <c r="V700" s="5"/>
      <c r="W700" s="5"/>
      <c r="X700" s="5"/>
      <c r="Y700" s="5"/>
    </row>
    <row r="701" ht="15.75" customHeight="1">
      <c r="T701" s="5"/>
      <c r="U701" s="5"/>
      <c r="V701" s="5"/>
      <c r="W701" s="5"/>
      <c r="X701" s="5"/>
      <c r="Y701" s="5"/>
    </row>
    <row r="702" ht="15.75" customHeight="1">
      <c r="T702" s="5"/>
      <c r="U702" s="5"/>
      <c r="V702" s="5"/>
      <c r="W702" s="5"/>
      <c r="X702" s="5"/>
      <c r="Y702" s="5"/>
    </row>
    <row r="703" ht="15.75" customHeight="1">
      <c r="T703" s="5"/>
      <c r="U703" s="5"/>
      <c r="V703" s="5"/>
      <c r="W703" s="5"/>
      <c r="X703" s="5"/>
      <c r="Y703" s="5"/>
    </row>
    <row r="704" ht="15.75" customHeight="1">
      <c r="T704" s="5"/>
      <c r="U704" s="5"/>
      <c r="V704" s="5"/>
      <c r="W704" s="5"/>
      <c r="X704" s="5"/>
      <c r="Y704" s="5"/>
    </row>
    <row r="705" ht="15.75" customHeight="1">
      <c r="T705" s="5"/>
      <c r="U705" s="5"/>
      <c r="V705" s="5"/>
      <c r="W705" s="5"/>
      <c r="X705" s="5"/>
      <c r="Y705" s="5"/>
    </row>
    <row r="706" ht="15.75" customHeight="1">
      <c r="T706" s="5"/>
      <c r="U706" s="5"/>
      <c r="V706" s="5"/>
      <c r="W706" s="5"/>
      <c r="X706" s="5"/>
      <c r="Y706" s="5"/>
    </row>
    <row r="707" ht="15.75" customHeight="1">
      <c r="T707" s="5"/>
      <c r="U707" s="5"/>
      <c r="V707" s="5"/>
      <c r="W707" s="5"/>
      <c r="X707" s="5"/>
      <c r="Y707" s="5"/>
    </row>
    <row r="708" ht="15.75" customHeight="1">
      <c r="T708" s="5"/>
      <c r="U708" s="5"/>
      <c r="V708" s="5"/>
      <c r="W708" s="5"/>
      <c r="X708" s="5"/>
      <c r="Y708" s="5"/>
    </row>
    <row r="709" ht="15.75" customHeight="1">
      <c r="T709" s="5"/>
      <c r="U709" s="5"/>
      <c r="V709" s="5"/>
      <c r="W709" s="5"/>
      <c r="X709" s="5"/>
      <c r="Y709" s="5"/>
    </row>
    <row r="710" ht="15.75" customHeight="1">
      <c r="T710" s="5"/>
      <c r="U710" s="5"/>
      <c r="V710" s="5"/>
      <c r="W710" s="5"/>
      <c r="X710" s="5"/>
      <c r="Y710" s="5"/>
    </row>
    <row r="711" ht="15.75" customHeight="1">
      <c r="T711" s="5"/>
      <c r="U711" s="5"/>
      <c r="V711" s="5"/>
      <c r="W711" s="5"/>
      <c r="X711" s="5"/>
      <c r="Y711" s="5"/>
    </row>
    <row r="712" ht="15.75" customHeight="1">
      <c r="T712" s="5"/>
      <c r="U712" s="5"/>
      <c r="V712" s="5"/>
      <c r="W712" s="5"/>
      <c r="X712" s="5"/>
      <c r="Y712" s="5"/>
    </row>
    <row r="713" ht="15.75" customHeight="1">
      <c r="T713" s="5"/>
      <c r="U713" s="5"/>
      <c r="V713" s="5"/>
      <c r="W713" s="5"/>
      <c r="X713" s="5"/>
      <c r="Y713" s="5"/>
    </row>
    <row r="714" ht="15.75" customHeight="1">
      <c r="T714" s="5"/>
      <c r="U714" s="5"/>
      <c r="V714" s="5"/>
      <c r="W714" s="5"/>
      <c r="X714" s="5"/>
      <c r="Y714" s="5"/>
    </row>
    <row r="715" ht="15.75" customHeight="1">
      <c r="T715" s="5"/>
      <c r="U715" s="5"/>
      <c r="V715" s="5"/>
      <c r="W715" s="5"/>
      <c r="X715" s="5"/>
      <c r="Y715" s="5"/>
    </row>
    <row r="716" ht="15.75" customHeight="1">
      <c r="T716" s="5"/>
      <c r="U716" s="5"/>
      <c r="V716" s="5"/>
      <c r="W716" s="5"/>
      <c r="X716" s="5"/>
      <c r="Y716" s="5"/>
    </row>
    <row r="717" ht="15.75" customHeight="1">
      <c r="T717" s="5"/>
      <c r="U717" s="5"/>
      <c r="V717" s="5"/>
      <c r="W717" s="5"/>
      <c r="X717" s="5"/>
      <c r="Y717" s="5"/>
    </row>
    <row r="718" ht="15.75" customHeight="1">
      <c r="T718" s="5"/>
      <c r="U718" s="5"/>
      <c r="V718" s="5"/>
      <c r="W718" s="5"/>
      <c r="X718" s="5"/>
      <c r="Y718" s="5"/>
    </row>
    <row r="719" ht="15.75" customHeight="1">
      <c r="T719" s="5"/>
      <c r="U719" s="5"/>
      <c r="V719" s="5"/>
      <c r="W719" s="5"/>
      <c r="X719" s="5"/>
      <c r="Y719" s="5"/>
    </row>
    <row r="720" ht="15.75" customHeight="1">
      <c r="T720" s="5"/>
      <c r="U720" s="5"/>
      <c r="V720" s="5"/>
      <c r="W720" s="5"/>
      <c r="X720" s="5"/>
      <c r="Y720" s="5"/>
    </row>
    <row r="721" ht="15.75" customHeight="1">
      <c r="T721" s="5"/>
      <c r="U721" s="5"/>
      <c r="V721" s="5"/>
      <c r="W721" s="5"/>
      <c r="X721" s="5"/>
      <c r="Y721" s="5"/>
    </row>
    <row r="722" ht="15.75" customHeight="1">
      <c r="T722" s="5"/>
      <c r="U722" s="5"/>
      <c r="V722" s="5"/>
      <c r="W722" s="5"/>
      <c r="X722" s="5"/>
      <c r="Y722" s="5"/>
    </row>
    <row r="723" ht="15.75" customHeight="1">
      <c r="T723" s="5"/>
      <c r="U723" s="5"/>
      <c r="V723" s="5"/>
      <c r="W723" s="5"/>
      <c r="X723" s="5"/>
      <c r="Y723" s="5"/>
    </row>
    <row r="724" ht="15.75" customHeight="1">
      <c r="T724" s="5"/>
      <c r="U724" s="5"/>
      <c r="V724" s="5"/>
      <c r="W724" s="5"/>
      <c r="X724" s="5"/>
      <c r="Y724" s="5"/>
    </row>
    <row r="725" ht="15.75" customHeight="1">
      <c r="T725" s="5"/>
      <c r="U725" s="5"/>
      <c r="V725" s="5"/>
      <c r="W725" s="5"/>
      <c r="X725" s="5"/>
      <c r="Y725" s="5"/>
    </row>
    <row r="726" ht="15.75" customHeight="1">
      <c r="T726" s="5"/>
      <c r="U726" s="5"/>
      <c r="V726" s="5"/>
      <c r="W726" s="5"/>
      <c r="X726" s="5"/>
      <c r="Y726" s="5"/>
    </row>
    <row r="727" ht="15.75" customHeight="1">
      <c r="T727" s="5"/>
      <c r="U727" s="5"/>
      <c r="V727" s="5"/>
      <c r="W727" s="5"/>
      <c r="X727" s="5"/>
      <c r="Y727" s="5"/>
    </row>
    <row r="728" ht="15.75" customHeight="1">
      <c r="T728" s="5"/>
      <c r="U728" s="5"/>
      <c r="V728" s="5"/>
      <c r="W728" s="5"/>
      <c r="X728" s="5"/>
      <c r="Y728" s="5"/>
    </row>
    <row r="729" ht="15.75" customHeight="1">
      <c r="T729" s="5"/>
      <c r="U729" s="5"/>
      <c r="V729" s="5"/>
      <c r="W729" s="5"/>
      <c r="X729" s="5"/>
      <c r="Y729" s="5"/>
    </row>
    <row r="730" ht="15.75" customHeight="1">
      <c r="T730" s="5"/>
      <c r="U730" s="5"/>
      <c r="V730" s="5"/>
      <c r="W730" s="5"/>
      <c r="X730" s="5"/>
      <c r="Y730" s="5"/>
    </row>
    <row r="731" ht="15.75" customHeight="1">
      <c r="T731" s="5"/>
      <c r="U731" s="5"/>
      <c r="V731" s="5"/>
      <c r="W731" s="5"/>
      <c r="X731" s="5"/>
      <c r="Y731" s="5"/>
    </row>
    <row r="732" ht="15.75" customHeight="1">
      <c r="T732" s="5"/>
      <c r="U732" s="5"/>
      <c r="V732" s="5"/>
      <c r="W732" s="5"/>
      <c r="X732" s="5"/>
      <c r="Y732" s="5"/>
    </row>
    <row r="733" ht="15.75" customHeight="1">
      <c r="T733" s="5"/>
      <c r="U733" s="5"/>
      <c r="V733" s="5"/>
      <c r="W733" s="5"/>
      <c r="X733" s="5"/>
      <c r="Y733" s="5"/>
    </row>
    <row r="734" ht="15.75" customHeight="1">
      <c r="T734" s="5"/>
      <c r="U734" s="5"/>
      <c r="V734" s="5"/>
      <c r="W734" s="5"/>
      <c r="X734" s="5"/>
      <c r="Y734" s="5"/>
    </row>
    <row r="735" ht="15.75" customHeight="1">
      <c r="T735" s="5"/>
      <c r="U735" s="5"/>
      <c r="V735" s="5"/>
      <c r="W735" s="5"/>
      <c r="X735" s="5"/>
      <c r="Y735" s="5"/>
    </row>
    <row r="736" ht="15.75" customHeight="1">
      <c r="T736" s="5"/>
      <c r="U736" s="5"/>
      <c r="V736" s="5"/>
      <c r="W736" s="5"/>
      <c r="X736" s="5"/>
      <c r="Y736" s="5"/>
    </row>
    <row r="737" ht="15.75" customHeight="1">
      <c r="T737" s="5"/>
      <c r="U737" s="5"/>
      <c r="V737" s="5"/>
      <c r="W737" s="5"/>
      <c r="X737" s="5"/>
      <c r="Y737" s="5"/>
    </row>
    <row r="738" ht="15.75" customHeight="1">
      <c r="T738" s="5"/>
      <c r="U738" s="5"/>
      <c r="V738" s="5"/>
      <c r="W738" s="5"/>
      <c r="X738" s="5"/>
      <c r="Y738" s="5"/>
    </row>
    <row r="739" ht="15.75" customHeight="1">
      <c r="T739" s="5"/>
      <c r="U739" s="5"/>
      <c r="V739" s="5"/>
      <c r="W739" s="5"/>
      <c r="X739" s="5"/>
      <c r="Y739" s="5"/>
    </row>
    <row r="740" ht="15.75" customHeight="1">
      <c r="T740" s="5"/>
      <c r="U740" s="5"/>
      <c r="V740" s="5"/>
      <c r="W740" s="5"/>
      <c r="X740" s="5"/>
      <c r="Y740" s="5"/>
    </row>
    <row r="741" ht="15.75" customHeight="1">
      <c r="T741" s="5"/>
      <c r="U741" s="5"/>
      <c r="V741" s="5"/>
      <c r="W741" s="5"/>
      <c r="X741" s="5"/>
      <c r="Y741" s="5"/>
    </row>
    <row r="742" ht="15.75" customHeight="1">
      <c r="T742" s="5"/>
      <c r="U742" s="5"/>
      <c r="V742" s="5"/>
      <c r="W742" s="5"/>
      <c r="X742" s="5"/>
      <c r="Y742" s="5"/>
    </row>
    <row r="743" ht="15.75" customHeight="1">
      <c r="T743" s="5"/>
      <c r="U743" s="5"/>
      <c r="V743" s="5"/>
      <c r="W743" s="5"/>
      <c r="X743" s="5"/>
      <c r="Y743" s="5"/>
    </row>
    <row r="744" ht="15.75" customHeight="1">
      <c r="T744" s="5"/>
      <c r="U744" s="5"/>
      <c r="V744" s="5"/>
      <c r="W744" s="5"/>
      <c r="X744" s="5"/>
      <c r="Y744" s="5"/>
    </row>
    <row r="745" ht="15.75" customHeight="1">
      <c r="T745" s="5"/>
      <c r="U745" s="5"/>
      <c r="V745" s="5"/>
      <c r="W745" s="5"/>
      <c r="X745" s="5"/>
      <c r="Y745" s="5"/>
    </row>
    <row r="746" ht="15.75" customHeight="1">
      <c r="T746" s="5"/>
      <c r="U746" s="5"/>
      <c r="V746" s="5"/>
      <c r="W746" s="5"/>
      <c r="X746" s="5"/>
      <c r="Y746" s="5"/>
    </row>
    <row r="747" ht="15.75" customHeight="1">
      <c r="T747" s="5"/>
      <c r="U747" s="5"/>
      <c r="V747" s="5"/>
      <c r="W747" s="5"/>
      <c r="X747" s="5"/>
      <c r="Y747" s="5"/>
    </row>
    <row r="748" ht="15.75" customHeight="1">
      <c r="T748" s="5"/>
      <c r="U748" s="5"/>
      <c r="V748" s="5"/>
      <c r="W748" s="5"/>
      <c r="X748" s="5"/>
      <c r="Y748" s="5"/>
    </row>
    <row r="749" ht="15.75" customHeight="1">
      <c r="T749" s="5"/>
      <c r="U749" s="5"/>
      <c r="V749" s="5"/>
      <c r="W749" s="5"/>
      <c r="X749" s="5"/>
      <c r="Y749" s="5"/>
    </row>
    <row r="750" ht="15.75" customHeight="1">
      <c r="T750" s="5"/>
      <c r="U750" s="5"/>
      <c r="V750" s="5"/>
      <c r="W750" s="5"/>
      <c r="X750" s="5"/>
      <c r="Y750" s="5"/>
    </row>
    <row r="751" ht="15.75" customHeight="1">
      <c r="T751" s="5"/>
      <c r="U751" s="5"/>
      <c r="V751" s="5"/>
      <c r="W751" s="5"/>
      <c r="X751" s="5"/>
      <c r="Y751" s="5"/>
    </row>
    <row r="752" ht="15.75" customHeight="1">
      <c r="T752" s="5"/>
      <c r="U752" s="5"/>
      <c r="V752" s="5"/>
      <c r="W752" s="5"/>
      <c r="X752" s="5"/>
      <c r="Y752" s="5"/>
    </row>
    <row r="753" ht="15.75" customHeight="1">
      <c r="T753" s="5"/>
      <c r="U753" s="5"/>
      <c r="V753" s="5"/>
      <c r="W753" s="5"/>
      <c r="X753" s="5"/>
      <c r="Y753" s="5"/>
    </row>
    <row r="754" ht="15.75" customHeight="1">
      <c r="T754" s="5"/>
      <c r="U754" s="5"/>
      <c r="V754" s="5"/>
      <c r="W754" s="5"/>
      <c r="X754" s="5"/>
      <c r="Y754" s="5"/>
    </row>
    <row r="755" ht="15.75" customHeight="1">
      <c r="T755" s="5"/>
      <c r="U755" s="5"/>
      <c r="V755" s="5"/>
      <c r="W755" s="5"/>
      <c r="X755" s="5"/>
      <c r="Y755" s="5"/>
    </row>
    <row r="756" ht="15.75" customHeight="1">
      <c r="T756" s="5"/>
      <c r="U756" s="5"/>
      <c r="V756" s="5"/>
      <c r="W756" s="5"/>
      <c r="X756" s="5"/>
      <c r="Y756" s="5"/>
    </row>
    <row r="757" ht="15.75" customHeight="1">
      <c r="T757" s="5"/>
      <c r="U757" s="5"/>
      <c r="V757" s="5"/>
      <c r="W757" s="5"/>
      <c r="X757" s="5"/>
      <c r="Y757" s="5"/>
    </row>
    <row r="758" ht="15.75" customHeight="1">
      <c r="T758" s="5"/>
      <c r="U758" s="5"/>
      <c r="V758" s="5"/>
      <c r="W758" s="5"/>
      <c r="X758" s="5"/>
      <c r="Y758" s="5"/>
    </row>
    <row r="759" ht="15.75" customHeight="1">
      <c r="T759" s="5"/>
      <c r="U759" s="5"/>
      <c r="V759" s="5"/>
      <c r="W759" s="5"/>
      <c r="X759" s="5"/>
      <c r="Y759" s="5"/>
    </row>
    <row r="760" ht="15.75" customHeight="1">
      <c r="T760" s="5"/>
      <c r="U760" s="5"/>
      <c r="V760" s="5"/>
      <c r="W760" s="5"/>
      <c r="X760" s="5"/>
      <c r="Y760" s="5"/>
    </row>
    <row r="761" ht="15.75" customHeight="1">
      <c r="T761" s="5"/>
      <c r="U761" s="5"/>
      <c r="V761" s="5"/>
      <c r="W761" s="5"/>
      <c r="X761" s="5"/>
      <c r="Y761" s="5"/>
    </row>
    <row r="762" ht="15.75" customHeight="1">
      <c r="T762" s="5"/>
      <c r="U762" s="5"/>
      <c r="V762" s="5"/>
      <c r="W762" s="5"/>
      <c r="X762" s="5"/>
      <c r="Y762" s="5"/>
    </row>
    <row r="763" ht="15.75" customHeight="1">
      <c r="T763" s="5"/>
      <c r="U763" s="5"/>
      <c r="V763" s="5"/>
      <c r="W763" s="5"/>
      <c r="X763" s="5"/>
      <c r="Y763" s="5"/>
    </row>
    <row r="764" ht="15.75" customHeight="1">
      <c r="T764" s="5"/>
      <c r="U764" s="5"/>
      <c r="V764" s="5"/>
      <c r="W764" s="5"/>
      <c r="X764" s="5"/>
      <c r="Y764" s="5"/>
    </row>
    <row r="765" ht="15.75" customHeight="1">
      <c r="T765" s="5"/>
      <c r="U765" s="5"/>
      <c r="V765" s="5"/>
      <c r="W765" s="5"/>
      <c r="X765" s="5"/>
      <c r="Y765" s="5"/>
    </row>
    <row r="766" ht="15.75" customHeight="1">
      <c r="T766" s="5"/>
      <c r="U766" s="5"/>
      <c r="V766" s="5"/>
      <c r="W766" s="5"/>
      <c r="X766" s="5"/>
      <c r="Y766" s="5"/>
    </row>
    <row r="767" ht="15.75" customHeight="1">
      <c r="T767" s="5"/>
      <c r="U767" s="5"/>
      <c r="V767" s="5"/>
      <c r="W767" s="5"/>
      <c r="X767" s="5"/>
      <c r="Y767" s="5"/>
    </row>
    <row r="768" ht="15.75" customHeight="1">
      <c r="T768" s="5"/>
      <c r="U768" s="5"/>
      <c r="V768" s="5"/>
      <c r="W768" s="5"/>
      <c r="X768" s="5"/>
      <c r="Y768" s="5"/>
    </row>
    <row r="769" ht="15.75" customHeight="1">
      <c r="T769" s="5"/>
      <c r="U769" s="5"/>
      <c r="V769" s="5"/>
      <c r="W769" s="5"/>
      <c r="X769" s="5"/>
      <c r="Y769" s="5"/>
    </row>
    <row r="770" ht="15.75" customHeight="1">
      <c r="T770" s="5"/>
      <c r="U770" s="5"/>
      <c r="V770" s="5"/>
      <c r="W770" s="5"/>
      <c r="X770" s="5"/>
      <c r="Y770" s="5"/>
    </row>
    <row r="771" ht="15.75" customHeight="1">
      <c r="T771" s="5"/>
      <c r="U771" s="5"/>
      <c r="V771" s="5"/>
      <c r="W771" s="5"/>
      <c r="X771" s="5"/>
      <c r="Y771" s="5"/>
    </row>
    <row r="772" ht="15.75" customHeight="1">
      <c r="T772" s="5"/>
      <c r="U772" s="5"/>
      <c r="V772" s="5"/>
      <c r="W772" s="5"/>
      <c r="X772" s="5"/>
      <c r="Y772" s="5"/>
    </row>
    <row r="773" ht="15.75" customHeight="1">
      <c r="T773" s="5"/>
      <c r="U773" s="5"/>
      <c r="V773" s="5"/>
      <c r="W773" s="5"/>
      <c r="X773" s="5"/>
      <c r="Y773" s="5"/>
    </row>
    <row r="774" ht="15.75" customHeight="1">
      <c r="T774" s="5"/>
      <c r="U774" s="5"/>
      <c r="V774" s="5"/>
      <c r="W774" s="5"/>
      <c r="X774" s="5"/>
      <c r="Y774" s="5"/>
    </row>
    <row r="775" ht="15.75" customHeight="1">
      <c r="T775" s="5"/>
      <c r="U775" s="5"/>
      <c r="V775" s="5"/>
      <c r="W775" s="5"/>
      <c r="X775" s="5"/>
      <c r="Y775" s="5"/>
    </row>
    <row r="776" ht="15.75" customHeight="1">
      <c r="T776" s="5"/>
      <c r="U776" s="5"/>
      <c r="V776" s="5"/>
      <c r="W776" s="5"/>
      <c r="X776" s="5"/>
      <c r="Y776" s="5"/>
    </row>
    <row r="777" ht="15.75" customHeight="1">
      <c r="T777" s="5"/>
      <c r="U777" s="5"/>
      <c r="V777" s="5"/>
      <c r="W777" s="5"/>
      <c r="X777" s="5"/>
      <c r="Y777" s="5"/>
    </row>
    <row r="778" ht="15.75" customHeight="1">
      <c r="T778" s="5"/>
      <c r="U778" s="5"/>
      <c r="V778" s="5"/>
      <c r="W778" s="5"/>
      <c r="X778" s="5"/>
      <c r="Y778" s="5"/>
    </row>
    <row r="779" ht="15.75" customHeight="1">
      <c r="T779" s="5"/>
      <c r="U779" s="5"/>
      <c r="V779" s="5"/>
      <c r="W779" s="5"/>
      <c r="X779" s="5"/>
      <c r="Y779" s="5"/>
    </row>
    <row r="780" ht="15.75" customHeight="1">
      <c r="T780" s="5"/>
      <c r="U780" s="5"/>
      <c r="V780" s="5"/>
      <c r="W780" s="5"/>
      <c r="X780" s="5"/>
      <c r="Y780" s="5"/>
    </row>
    <row r="781" ht="15.75" customHeight="1">
      <c r="T781" s="5"/>
      <c r="U781" s="5"/>
      <c r="V781" s="5"/>
      <c r="W781" s="5"/>
      <c r="X781" s="5"/>
      <c r="Y781" s="5"/>
    </row>
    <row r="782" ht="15.75" customHeight="1">
      <c r="T782" s="5"/>
      <c r="U782" s="5"/>
      <c r="V782" s="5"/>
      <c r="W782" s="5"/>
      <c r="X782" s="5"/>
      <c r="Y782" s="5"/>
    </row>
    <row r="783" ht="15.75" customHeight="1">
      <c r="T783" s="5"/>
      <c r="U783" s="5"/>
      <c r="V783" s="5"/>
      <c r="W783" s="5"/>
      <c r="X783" s="5"/>
      <c r="Y783" s="5"/>
    </row>
    <row r="784" ht="15.75" customHeight="1">
      <c r="T784" s="5"/>
      <c r="U784" s="5"/>
      <c r="V784" s="5"/>
      <c r="W784" s="5"/>
      <c r="X784" s="5"/>
      <c r="Y784" s="5"/>
    </row>
    <row r="785" ht="15.75" customHeight="1">
      <c r="T785" s="5"/>
      <c r="U785" s="5"/>
      <c r="V785" s="5"/>
      <c r="W785" s="5"/>
      <c r="X785" s="5"/>
      <c r="Y785" s="5"/>
    </row>
    <row r="786" ht="15.75" customHeight="1">
      <c r="T786" s="5"/>
      <c r="U786" s="5"/>
      <c r="V786" s="5"/>
      <c r="W786" s="5"/>
      <c r="X786" s="5"/>
      <c r="Y786" s="5"/>
    </row>
    <row r="787" ht="15.75" customHeight="1">
      <c r="T787" s="5"/>
      <c r="U787" s="5"/>
      <c r="V787" s="5"/>
      <c r="W787" s="5"/>
      <c r="X787" s="5"/>
      <c r="Y787" s="5"/>
    </row>
    <row r="788" ht="15.75" customHeight="1">
      <c r="T788" s="5"/>
      <c r="U788" s="5"/>
      <c r="V788" s="5"/>
      <c r="W788" s="5"/>
      <c r="X788" s="5"/>
      <c r="Y788" s="5"/>
    </row>
    <row r="789" ht="15.75" customHeight="1">
      <c r="T789" s="5"/>
      <c r="U789" s="5"/>
      <c r="V789" s="5"/>
      <c r="W789" s="5"/>
      <c r="X789" s="5"/>
      <c r="Y789" s="5"/>
    </row>
    <row r="790" ht="15.75" customHeight="1">
      <c r="T790" s="5"/>
      <c r="U790" s="5"/>
      <c r="V790" s="5"/>
      <c r="W790" s="5"/>
      <c r="X790" s="5"/>
      <c r="Y790" s="5"/>
    </row>
    <row r="791" ht="15.75" customHeight="1">
      <c r="T791" s="5"/>
      <c r="U791" s="5"/>
      <c r="V791" s="5"/>
      <c r="W791" s="5"/>
      <c r="X791" s="5"/>
      <c r="Y791" s="5"/>
    </row>
    <row r="792" ht="15.75" customHeight="1">
      <c r="T792" s="5"/>
      <c r="U792" s="5"/>
      <c r="V792" s="5"/>
      <c r="W792" s="5"/>
      <c r="X792" s="5"/>
      <c r="Y792" s="5"/>
    </row>
    <row r="793" ht="15.75" customHeight="1">
      <c r="T793" s="5"/>
      <c r="U793" s="5"/>
      <c r="V793" s="5"/>
      <c r="W793" s="5"/>
      <c r="X793" s="5"/>
      <c r="Y793" s="5"/>
    </row>
    <row r="794" ht="15.75" customHeight="1">
      <c r="T794" s="5"/>
      <c r="U794" s="5"/>
      <c r="V794" s="5"/>
      <c r="W794" s="5"/>
      <c r="X794" s="5"/>
      <c r="Y794" s="5"/>
    </row>
    <row r="795" ht="15.75" customHeight="1">
      <c r="T795" s="5"/>
      <c r="U795" s="5"/>
      <c r="V795" s="5"/>
      <c r="W795" s="5"/>
      <c r="X795" s="5"/>
      <c r="Y795" s="5"/>
    </row>
    <row r="796" ht="15.75" customHeight="1">
      <c r="T796" s="5"/>
      <c r="U796" s="5"/>
      <c r="V796" s="5"/>
      <c r="W796" s="5"/>
      <c r="X796" s="5"/>
      <c r="Y796" s="5"/>
    </row>
    <row r="797" ht="15.75" customHeight="1">
      <c r="T797" s="5"/>
      <c r="U797" s="5"/>
      <c r="V797" s="5"/>
      <c r="W797" s="5"/>
      <c r="X797" s="5"/>
      <c r="Y797" s="5"/>
    </row>
    <row r="798" ht="15.75" customHeight="1">
      <c r="T798" s="5"/>
      <c r="U798" s="5"/>
      <c r="V798" s="5"/>
      <c r="W798" s="5"/>
      <c r="X798" s="5"/>
      <c r="Y798" s="5"/>
    </row>
    <row r="799" ht="15.75" customHeight="1">
      <c r="T799" s="5"/>
      <c r="U799" s="5"/>
      <c r="V799" s="5"/>
      <c r="W799" s="5"/>
      <c r="X799" s="5"/>
      <c r="Y799" s="5"/>
    </row>
    <row r="800" ht="15.75" customHeight="1">
      <c r="T800" s="5"/>
      <c r="U800" s="5"/>
      <c r="V800" s="5"/>
      <c r="W800" s="5"/>
      <c r="X800" s="5"/>
      <c r="Y800" s="5"/>
    </row>
    <row r="801" ht="15.75" customHeight="1">
      <c r="T801" s="5"/>
      <c r="U801" s="5"/>
      <c r="V801" s="5"/>
      <c r="W801" s="5"/>
      <c r="X801" s="5"/>
      <c r="Y801" s="5"/>
    </row>
    <row r="802" ht="15.75" customHeight="1">
      <c r="T802" s="5"/>
      <c r="U802" s="5"/>
      <c r="V802" s="5"/>
      <c r="W802" s="5"/>
      <c r="X802" s="5"/>
      <c r="Y802" s="5"/>
    </row>
    <row r="803" ht="15.75" customHeight="1">
      <c r="T803" s="5"/>
      <c r="U803" s="5"/>
      <c r="V803" s="5"/>
      <c r="W803" s="5"/>
      <c r="X803" s="5"/>
      <c r="Y803" s="5"/>
    </row>
    <row r="804" ht="15.75" customHeight="1">
      <c r="T804" s="5"/>
      <c r="U804" s="5"/>
      <c r="V804" s="5"/>
      <c r="W804" s="5"/>
      <c r="X804" s="5"/>
      <c r="Y804" s="5"/>
    </row>
    <row r="805" ht="15.75" customHeight="1">
      <c r="T805" s="5"/>
      <c r="U805" s="5"/>
      <c r="V805" s="5"/>
      <c r="W805" s="5"/>
      <c r="X805" s="5"/>
      <c r="Y805" s="5"/>
    </row>
    <row r="806" ht="15.75" customHeight="1">
      <c r="T806" s="5"/>
      <c r="U806" s="5"/>
      <c r="V806" s="5"/>
      <c r="W806" s="5"/>
      <c r="X806" s="5"/>
      <c r="Y806" s="5"/>
    </row>
    <row r="807" ht="15.75" customHeight="1">
      <c r="T807" s="5"/>
      <c r="U807" s="5"/>
      <c r="V807" s="5"/>
      <c r="W807" s="5"/>
      <c r="X807" s="5"/>
      <c r="Y807" s="5"/>
    </row>
    <row r="808" ht="15.75" customHeight="1">
      <c r="T808" s="5"/>
      <c r="U808" s="5"/>
      <c r="V808" s="5"/>
      <c r="W808" s="5"/>
      <c r="X808" s="5"/>
      <c r="Y808" s="5"/>
    </row>
    <row r="809" ht="15.75" customHeight="1">
      <c r="T809" s="5"/>
      <c r="U809" s="5"/>
      <c r="V809" s="5"/>
      <c r="W809" s="5"/>
      <c r="X809" s="5"/>
      <c r="Y809" s="5"/>
    </row>
    <row r="810" ht="15.75" customHeight="1">
      <c r="T810" s="5"/>
      <c r="U810" s="5"/>
      <c r="V810" s="5"/>
      <c r="W810" s="5"/>
      <c r="X810" s="5"/>
      <c r="Y810" s="5"/>
    </row>
    <row r="811" ht="15.75" customHeight="1">
      <c r="T811" s="5"/>
      <c r="U811" s="5"/>
      <c r="V811" s="5"/>
      <c r="W811" s="5"/>
      <c r="X811" s="5"/>
      <c r="Y811" s="5"/>
    </row>
    <row r="812" ht="15.75" customHeight="1">
      <c r="T812" s="5"/>
      <c r="U812" s="5"/>
      <c r="V812" s="5"/>
      <c r="W812" s="5"/>
      <c r="X812" s="5"/>
      <c r="Y812" s="5"/>
    </row>
    <row r="813" ht="15.75" customHeight="1">
      <c r="T813" s="5"/>
      <c r="U813" s="5"/>
      <c r="V813" s="5"/>
      <c r="W813" s="5"/>
      <c r="X813" s="5"/>
      <c r="Y813" s="5"/>
    </row>
    <row r="814" ht="15.75" customHeight="1">
      <c r="T814" s="5"/>
      <c r="U814" s="5"/>
      <c r="V814" s="5"/>
      <c r="W814" s="5"/>
      <c r="X814" s="5"/>
      <c r="Y814" s="5"/>
    </row>
    <row r="815" ht="15.75" customHeight="1">
      <c r="T815" s="5"/>
      <c r="U815" s="5"/>
      <c r="V815" s="5"/>
      <c r="W815" s="5"/>
      <c r="X815" s="5"/>
      <c r="Y815" s="5"/>
    </row>
    <row r="816" ht="15.75" customHeight="1">
      <c r="T816" s="5"/>
      <c r="U816" s="5"/>
      <c r="V816" s="5"/>
      <c r="W816" s="5"/>
      <c r="X816" s="5"/>
      <c r="Y816" s="5"/>
    </row>
    <row r="817" ht="15.75" customHeight="1">
      <c r="T817" s="5"/>
      <c r="U817" s="5"/>
      <c r="V817" s="5"/>
      <c r="W817" s="5"/>
      <c r="X817" s="5"/>
      <c r="Y817" s="5"/>
    </row>
    <row r="818" ht="15.75" customHeight="1">
      <c r="T818" s="5"/>
      <c r="U818" s="5"/>
      <c r="V818" s="5"/>
      <c r="W818" s="5"/>
      <c r="X818" s="5"/>
      <c r="Y818" s="5"/>
    </row>
    <row r="819" ht="15.75" customHeight="1">
      <c r="T819" s="5"/>
      <c r="U819" s="5"/>
      <c r="V819" s="5"/>
      <c r="W819" s="5"/>
      <c r="X819" s="5"/>
      <c r="Y819" s="5"/>
    </row>
    <row r="820" ht="15.75" customHeight="1">
      <c r="T820" s="5"/>
      <c r="U820" s="5"/>
      <c r="V820" s="5"/>
      <c r="W820" s="5"/>
      <c r="X820" s="5"/>
      <c r="Y820" s="5"/>
    </row>
    <row r="821" ht="15.75" customHeight="1">
      <c r="T821" s="5"/>
      <c r="U821" s="5"/>
      <c r="V821" s="5"/>
      <c r="W821" s="5"/>
      <c r="X821" s="5"/>
      <c r="Y821" s="5"/>
    </row>
    <row r="822" ht="15.75" customHeight="1">
      <c r="T822" s="5"/>
      <c r="U822" s="5"/>
      <c r="V822" s="5"/>
      <c r="W822" s="5"/>
      <c r="X822" s="5"/>
      <c r="Y822" s="5"/>
    </row>
    <row r="823" ht="15.75" customHeight="1">
      <c r="T823" s="5"/>
      <c r="U823" s="5"/>
      <c r="V823" s="5"/>
      <c r="W823" s="5"/>
      <c r="X823" s="5"/>
      <c r="Y823" s="5"/>
    </row>
    <row r="824" ht="15.75" customHeight="1">
      <c r="T824" s="5"/>
      <c r="U824" s="5"/>
      <c r="V824" s="5"/>
      <c r="W824" s="5"/>
      <c r="X824" s="5"/>
      <c r="Y824" s="5"/>
    </row>
    <row r="825" ht="15.75" customHeight="1">
      <c r="T825" s="5"/>
      <c r="U825" s="5"/>
      <c r="V825" s="5"/>
      <c r="W825" s="5"/>
      <c r="X825" s="5"/>
      <c r="Y825" s="5"/>
    </row>
    <row r="826" ht="15.75" customHeight="1">
      <c r="T826" s="5"/>
      <c r="U826" s="5"/>
      <c r="V826" s="5"/>
      <c r="W826" s="5"/>
      <c r="X826" s="5"/>
      <c r="Y826" s="5"/>
    </row>
    <row r="827" ht="15.75" customHeight="1">
      <c r="T827" s="5"/>
      <c r="U827" s="5"/>
      <c r="V827" s="5"/>
      <c r="W827" s="5"/>
      <c r="X827" s="5"/>
      <c r="Y827" s="5"/>
    </row>
    <row r="828" ht="15.75" customHeight="1">
      <c r="T828" s="5"/>
      <c r="U828" s="5"/>
      <c r="V828" s="5"/>
      <c r="W828" s="5"/>
      <c r="X828" s="5"/>
      <c r="Y828" s="5"/>
    </row>
    <row r="829" ht="15.75" customHeight="1">
      <c r="T829" s="5"/>
      <c r="U829" s="5"/>
      <c r="V829" s="5"/>
      <c r="W829" s="5"/>
      <c r="X829" s="5"/>
      <c r="Y829" s="5"/>
    </row>
    <row r="830" ht="15.75" customHeight="1">
      <c r="T830" s="5"/>
      <c r="U830" s="5"/>
      <c r="V830" s="5"/>
      <c r="W830" s="5"/>
      <c r="X830" s="5"/>
      <c r="Y830" s="5"/>
    </row>
    <row r="831" ht="15.75" customHeight="1">
      <c r="T831" s="5"/>
      <c r="U831" s="5"/>
      <c r="V831" s="5"/>
      <c r="W831" s="5"/>
      <c r="X831" s="5"/>
      <c r="Y831" s="5"/>
    </row>
    <row r="832" ht="15.75" customHeight="1">
      <c r="T832" s="5"/>
      <c r="U832" s="5"/>
      <c r="V832" s="5"/>
      <c r="W832" s="5"/>
      <c r="X832" s="5"/>
      <c r="Y832" s="5"/>
    </row>
    <row r="833" ht="15.75" customHeight="1">
      <c r="T833" s="5"/>
      <c r="U833" s="5"/>
      <c r="V833" s="5"/>
      <c r="W833" s="5"/>
      <c r="X833" s="5"/>
      <c r="Y833" s="5"/>
    </row>
    <row r="834" ht="15.75" customHeight="1">
      <c r="T834" s="5"/>
      <c r="U834" s="5"/>
      <c r="V834" s="5"/>
      <c r="W834" s="5"/>
      <c r="X834" s="5"/>
      <c r="Y834" s="5"/>
    </row>
    <row r="835" ht="15.75" customHeight="1">
      <c r="T835" s="5"/>
      <c r="U835" s="5"/>
      <c r="V835" s="5"/>
      <c r="W835" s="5"/>
      <c r="X835" s="5"/>
      <c r="Y835" s="5"/>
    </row>
    <row r="836" ht="15.75" customHeight="1">
      <c r="T836" s="5"/>
      <c r="U836" s="5"/>
      <c r="V836" s="5"/>
      <c r="W836" s="5"/>
      <c r="X836" s="5"/>
      <c r="Y836" s="5"/>
    </row>
    <row r="837" ht="15.75" customHeight="1">
      <c r="T837" s="5"/>
      <c r="U837" s="5"/>
      <c r="V837" s="5"/>
      <c r="W837" s="5"/>
      <c r="X837" s="5"/>
      <c r="Y837" s="5"/>
    </row>
    <row r="838" ht="15.75" customHeight="1">
      <c r="T838" s="5"/>
      <c r="U838" s="5"/>
      <c r="V838" s="5"/>
      <c r="W838" s="5"/>
      <c r="X838" s="5"/>
      <c r="Y838" s="5"/>
    </row>
    <row r="839" ht="15.75" customHeight="1">
      <c r="T839" s="5"/>
      <c r="U839" s="5"/>
      <c r="V839" s="5"/>
      <c r="W839" s="5"/>
      <c r="X839" s="5"/>
      <c r="Y839" s="5"/>
    </row>
    <row r="840" ht="15.75" customHeight="1">
      <c r="T840" s="5"/>
      <c r="U840" s="5"/>
      <c r="V840" s="5"/>
      <c r="W840" s="5"/>
      <c r="X840" s="5"/>
      <c r="Y840" s="5"/>
    </row>
    <row r="841" ht="15.75" customHeight="1">
      <c r="T841" s="5"/>
      <c r="U841" s="5"/>
      <c r="V841" s="5"/>
      <c r="W841" s="5"/>
      <c r="X841" s="5"/>
      <c r="Y841" s="5"/>
    </row>
    <row r="842" ht="15.75" customHeight="1">
      <c r="T842" s="5"/>
      <c r="U842" s="5"/>
      <c r="V842" s="5"/>
      <c r="W842" s="5"/>
      <c r="X842" s="5"/>
      <c r="Y842" s="5"/>
    </row>
    <row r="843" ht="15.75" customHeight="1">
      <c r="T843" s="5"/>
      <c r="U843" s="5"/>
      <c r="V843" s="5"/>
      <c r="W843" s="5"/>
      <c r="X843" s="5"/>
      <c r="Y843" s="5"/>
    </row>
    <row r="844" ht="15.75" customHeight="1">
      <c r="T844" s="5"/>
      <c r="U844" s="5"/>
      <c r="V844" s="5"/>
      <c r="W844" s="5"/>
      <c r="X844" s="5"/>
      <c r="Y844" s="5"/>
    </row>
    <row r="845" ht="15.75" customHeight="1">
      <c r="T845" s="5"/>
      <c r="U845" s="5"/>
      <c r="V845" s="5"/>
      <c r="W845" s="5"/>
      <c r="X845" s="5"/>
      <c r="Y845" s="5"/>
    </row>
    <row r="846" ht="15.75" customHeight="1">
      <c r="T846" s="5"/>
      <c r="U846" s="5"/>
      <c r="V846" s="5"/>
      <c r="W846" s="5"/>
      <c r="X846" s="5"/>
      <c r="Y846" s="5"/>
    </row>
    <row r="847" ht="15.75" customHeight="1">
      <c r="T847" s="5"/>
      <c r="U847" s="5"/>
      <c r="V847" s="5"/>
      <c r="W847" s="5"/>
      <c r="X847" s="5"/>
      <c r="Y847" s="5"/>
    </row>
    <row r="848" ht="15.75" customHeight="1">
      <c r="T848" s="5"/>
      <c r="U848" s="5"/>
      <c r="V848" s="5"/>
      <c r="W848" s="5"/>
      <c r="X848" s="5"/>
      <c r="Y848" s="5"/>
    </row>
    <row r="849" ht="15.75" customHeight="1">
      <c r="T849" s="5"/>
      <c r="U849" s="5"/>
      <c r="V849" s="5"/>
      <c r="W849" s="5"/>
      <c r="X849" s="5"/>
      <c r="Y849" s="5"/>
    </row>
    <row r="850" ht="15.75" customHeight="1">
      <c r="T850" s="5"/>
      <c r="U850" s="5"/>
      <c r="V850" s="5"/>
      <c r="W850" s="5"/>
      <c r="X850" s="5"/>
      <c r="Y850" s="5"/>
    </row>
    <row r="851" ht="15.75" customHeight="1">
      <c r="T851" s="5"/>
      <c r="U851" s="5"/>
      <c r="V851" s="5"/>
      <c r="W851" s="5"/>
      <c r="X851" s="5"/>
      <c r="Y851" s="5"/>
    </row>
    <row r="852" ht="15.75" customHeight="1">
      <c r="T852" s="5"/>
      <c r="U852" s="5"/>
      <c r="V852" s="5"/>
      <c r="W852" s="5"/>
      <c r="X852" s="5"/>
      <c r="Y852" s="5"/>
    </row>
    <row r="853" ht="15.75" customHeight="1">
      <c r="T853" s="5"/>
      <c r="U853" s="5"/>
      <c r="V853" s="5"/>
      <c r="W853" s="5"/>
      <c r="X853" s="5"/>
      <c r="Y853" s="5"/>
    </row>
    <row r="854" ht="15.75" customHeight="1">
      <c r="T854" s="5"/>
      <c r="U854" s="5"/>
      <c r="V854" s="5"/>
      <c r="W854" s="5"/>
      <c r="X854" s="5"/>
      <c r="Y854" s="5"/>
    </row>
    <row r="855" ht="15.75" customHeight="1">
      <c r="T855" s="5"/>
      <c r="U855" s="5"/>
      <c r="V855" s="5"/>
      <c r="W855" s="5"/>
      <c r="X855" s="5"/>
      <c r="Y855" s="5"/>
    </row>
    <row r="856" ht="15.75" customHeight="1">
      <c r="T856" s="5"/>
      <c r="U856" s="5"/>
      <c r="V856" s="5"/>
      <c r="W856" s="5"/>
      <c r="X856" s="5"/>
      <c r="Y856" s="5"/>
    </row>
    <row r="857" ht="15.75" customHeight="1">
      <c r="T857" s="5"/>
      <c r="U857" s="5"/>
      <c r="V857" s="5"/>
      <c r="W857" s="5"/>
      <c r="X857" s="5"/>
      <c r="Y857" s="5"/>
    </row>
    <row r="858" ht="15.75" customHeight="1">
      <c r="T858" s="5"/>
      <c r="U858" s="5"/>
      <c r="V858" s="5"/>
      <c r="W858" s="5"/>
      <c r="X858" s="5"/>
      <c r="Y858" s="5"/>
    </row>
    <row r="859" ht="15.75" customHeight="1">
      <c r="T859" s="5"/>
      <c r="U859" s="5"/>
      <c r="V859" s="5"/>
      <c r="W859" s="5"/>
      <c r="X859" s="5"/>
      <c r="Y859" s="5"/>
    </row>
    <row r="860" ht="15.75" customHeight="1">
      <c r="T860" s="5"/>
      <c r="U860" s="5"/>
      <c r="V860" s="5"/>
      <c r="W860" s="5"/>
      <c r="X860" s="5"/>
      <c r="Y860" s="5"/>
    </row>
    <row r="861" ht="15.75" customHeight="1">
      <c r="T861" s="5"/>
      <c r="U861" s="5"/>
      <c r="V861" s="5"/>
      <c r="W861" s="5"/>
      <c r="X861" s="5"/>
      <c r="Y861" s="5"/>
    </row>
    <row r="862" ht="15.75" customHeight="1">
      <c r="T862" s="5"/>
      <c r="U862" s="5"/>
      <c r="V862" s="5"/>
      <c r="W862" s="5"/>
      <c r="X862" s="5"/>
      <c r="Y862" s="5"/>
    </row>
    <row r="863" ht="15.75" customHeight="1">
      <c r="T863" s="5"/>
      <c r="U863" s="5"/>
      <c r="V863" s="5"/>
      <c r="W863" s="5"/>
      <c r="X863" s="5"/>
      <c r="Y863" s="5"/>
    </row>
    <row r="864" ht="15.75" customHeight="1">
      <c r="T864" s="5"/>
      <c r="U864" s="5"/>
      <c r="V864" s="5"/>
      <c r="W864" s="5"/>
      <c r="X864" s="5"/>
      <c r="Y864" s="5"/>
    </row>
    <row r="865" ht="15.75" customHeight="1">
      <c r="T865" s="5"/>
      <c r="U865" s="5"/>
      <c r="V865" s="5"/>
      <c r="W865" s="5"/>
      <c r="X865" s="5"/>
      <c r="Y865" s="5"/>
    </row>
    <row r="866" ht="15.75" customHeight="1">
      <c r="T866" s="5"/>
      <c r="U866" s="5"/>
      <c r="V866" s="5"/>
      <c r="W866" s="5"/>
      <c r="X866" s="5"/>
      <c r="Y866" s="5"/>
    </row>
    <row r="867" ht="15.75" customHeight="1">
      <c r="T867" s="5"/>
      <c r="U867" s="5"/>
      <c r="V867" s="5"/>
      <c r="W867" s="5"/>
      <c r="X867" s="5"/>
      <c r="Y867" s="5"/>
    </row>
    <row r="868" ht="15.75" customHeight="1">
      <c r="T868" s="5"/>
      <c r="U868" s="5"/>
      <c r="V868" s="5"/>
      <c r="W868" s="5"/>
      <c r="X868" s="5"/>
      <c r="Y868" s="5"/>
    </row>
    <row r="869" ht="15.75" customHeight="1">
      <c r="T869" s="5"/>
      <c r="U869" s="5"/>
      <c r="V869" s="5"/>
      <c r="W869" s="5"/>
      <c r="X869" s="5"/>
      <c r="Y869" s="5"/>
    </row>
    <row r="870" ht="15.75" customHeight="1">
      <c r="T870" s="5"/>
      <c r="U870" s="5"/>
      <c r="V870" s="5"/>
      <c r="W870" s="5"/>
      <c r="X870" s="5"/>
      <c r="Y870" s="5"/>
    </row>
    <row r="871" ht="15.75" customHeight="1">
      <c r="T871" s="5"/>
      <c r="U871" s="5"/>
      <c r="V871" s="5"/>
      <c r="W871" s="5"/>
      <c r="X871" s="5"/>
      <c r="Y871" s="5"/>
    </row>
    <row r="872" ht="15.75" customHeight="1">
      <c r="T872" s="5"/>
      <c r="U872" s="5"/>
      <c r="V872" s="5"/>
      <c r="W872" s="5"/>
      <c r="X872" s="5"/>
      <c r="Y872" s="5"/>
    </row>
    <row r="873" ht="15.75" customHeight="1">
      <c r="T873" s="5"/>
      <c r="U873" s="5"/>
      <c r="V873" s="5"/>
      <c r="W873" s="5"/>
      <c r="X873" s="5"/>
      <c r="Y873" s="5"/>
    </row>
    <row r="874" ht="15.75" customHeight="1">
      <c r="T874" s="5"/>
      <c r="U874" s="5"/>
      <c r="V874" s="5"/>
      <c r="W874" s="5"/>
      <c r="X874" s="5"/>
      <c r="Y874" s="5"/>
    </row>
    <row r="875" ht="15.75" customHeight="1">
      <c r="T875" s="5"/>
      <c r="U875" s="5"/>
      <c r="V875" s="5"/>
      <c r="W875" s="5"/>
      <c r="X875" s="5"/>
      <c r="Y875" s="5"/>
    </row>
    <row r="876" ht="15.75" customHeight="1">
      <c r="T876" s="5"/>
      <c r="U876" s="5"/>
      <c r="V876" s="5"/>
      <c r="W876" s="5"/>
      <c r="X876" s="5"/>
      <c r="Y876" s="5"/>
    </row>
    <row r="877" ht="15.75" customHeight="1">
      <c r="T877" s="5"/>
      <c r="U877" s="5"/>
      <c r="V877" s="5"/>
      <c r="W877" s="5"/>
      <c r="X877" s="5"/>
      <c r="Y877" s="5"/>
    </row>
    <row r="878" ht="15.75" customHeight="1">
      <c r="T878" s="5"/>
      <c r="U878" s="5"/>
      <c r="V878" s="5"/>
      <c r="W878" s="5"/>
      <c r="X878" s="5"/>
      <c r="Y878" s="5"/>
    </row>
    <row r="879" ht="15.75" customHeight="1">
      <c r="T879" s="5"/>
      <c r="U879" s="5"/>
      <c r="V879" s="5"/>
      <c r="W879" s="5"/>
      <c r="X879" s="5"/>
      <c r="Y879" s="5"/>
    </row>
    <row r="880" ht="15.75" customHeight="1">
      <c r="T880" s="5"/>
      <c r="U880" s="5"/>
      <c r="V880" s="5"/>
      <c r="W880" s="5"/>
      <c r="X880" s="5"/>
      <c r="Y880" s="5"/>
    </row>
    <row r="881" ht="15.75" customHeight="1">
      <c r="T881" s="5"/>
      <c r="U881" s="5"/>
      <c r="V881" s="5"/>
      <c r="W881" s="5"/>
      <c r="X881" s="5"/>
      <c r="Y881" s="5"/>
    </row>
    <row r="882" ht="15.75" customHeight="1">
      <c r="T882" s="5"/>
      <c r="U882" s="5"/>
      <c r="V882" s="5"/>
      <c r="W882" s="5"/>
      <c r="X882" s="5"/>
      <c r="Y882" s="5"/>
    </row>
    <row r="883" ht="15.75" customHeight="1">
      <c r="T883" s="5"/>
      <c r="U883" s="5"/>
      <c r="V883" s="5"/>
      <c r="W883" s="5"/>
      <c r="X883" s="5"/>
      <c r="Y883" s="5"/>
    </row>
    <row r="884" ht="15.75" customHeight="1">
      <c r="T884" s="5"/>
      <c r="U884" s="5"/>
      <c r="V884" s="5"/>
      <c r="W884" s="5"/>
      <c r="X884" s="5"/>
      <c r="Y884" s="5"/>
    </row>
    <row r="885" ht="15.75" customHeight="1">
      <c r="T885" s="5"/>
      <c r="U885" s="5"/>
      <c r="V885" s="5"/>
      <c r="W885" s="5"/>
      <c r="X885" s="5"/>
      <c r="Y885" s="5"/>
    </row>
    <row r="886" ht="15.75" customHeight="1">
      <c r="T886" s="5"/>
      <c r="U886" s="5"/>
      <c r="V886" s="5"/>
      <c r="W886" s="5"/>
      <c r="X886" s="5"/>
      <c r="Y886" s="5"/>
    </row>
    <row r="887" ht="15.75" customHeight="1">
      <c r="T887" s="5"/>
      <c r="U887" s="5"/>
      <c r="V887" s="5"/>
      <c r="W887" s="5"/>
      <c r="X887" s="5"/>
      <c r="Y887" s="5"/>
    </row>
    <row r="888" ht="15.75" customHeight="1">
      <c r="T888" s="5"/>
      <c r="U888" s="5"/>
      <c r="V888" s="5"/>
      <c r="W888" s="5"/>
      <c r="X888" s="5"/>
      <c r="Y888" s="5"/>
    </row>
    <row r="889" ht="15.75" customHeight="1">
      <c r="T889" s="5"/>
      <c r="U889" s="5"/>
      <c r="V889" s="5"/>
      <c r="W889" s="5"/>
      <c r="X889" s="5"/>
      <c r="Y889" s="5"/>
    </row>
    <row r="890" ht="15.75" customHeight="1">
      <c r="T890" s="5"/>
      <c r="U890" s="5"/>
      <c r="V890" s="5"/>
      <c r="W890" s="5"/>
      <c r="X890" s="5"/>
      <c r="Y890" s="5"/>
    </row>
    <row r="891" ht="15.75" customHeight="1">
      <c r="T891" s="5"/>
      <c r="U891" s="5"/>
      <c r="V891" s="5"/>
      <c r="W891" s="5"/>
      <c r="X891" s="5"/>
      <c r="Y891" s="5"/>
    </row>
    <row r="892" ht="15.75" customHeight="1">
      <c r="T892" s="5"/>
      <c r="U892" s="5"/>
      <c r="V892" s="5"/>
      <c r="W892" s="5"/>
      <c r="X892" s="5"/>
      <c r="Y892" s="5"/>
    </row>
    <row r="893" ht="15.75" customHeight="1">
      <c r="T893" s="5"/>
      <c r="U893" s="5"/>
      <c r="V893" s="5"/>
      <c r="W893" s="5"/>
      <c r="X893" s="5"/>
      <c r="Y893" s="5"/>
    </row>
    <row r="894" ht="15.75" customHeight="1">
      <c r="T894" s="5"/>
      <c r="U894" s="5"/>
      <c r="V894" s="5"/>
      <c r="W894" s="5"/>
      <c r="X894" s="5"/>
      <c r="Y894" s="5"/>
    </row>
    <row r="895" ht="15.75" customHeight="1">
      <c r="T895" s="5"/>
      <c r="U895" s="5"/>
      <c r="V895" s="5"/>
      <c r="W895" s="5"/>
      <c r="X895" s="5"/>
      <c r="Y895" s="5"/>
    </row>
    <row r="896" ht="15.75" customHeight="1">
      <c r="T896" s="5"/>
      <c r="U896" s="5"/>
      <c r="V896" s="5"/>
      <c r="W896" s="5"/>
      <c r="X896" s="5"/>
      <c r="Y896" s="5"/>
    </row>
    <row r="897" ht="15.75" customHeight="1">
      <c r="T897" s="5"/>
      <c r="U897" s="5"/>
      <c r="V897" s="5"/>
      <c r="W897" s="5"/>
      <c r="X897" s="5"/>
      <c r="Y897" s="5"/>
    </row>
    <row r="898" ht="15.75" customHeight="1">
      <c r="T898" s="5"/>
      <c r="U898" s="5"/>
      <c r="V898" s="5"/>
      <c r="W898" s="5"/>
      <c r="X898" s="5"/>
      <c r="Y898" s="5"/>
    </row>
    <row r="899" ht="15.75" customHeight="1">
      <c r="T899" s="5"/>
      <c r="U899" s="5"/>
      <c r="V899" s="5"/>
      <c r="W899" s="5"/>
      <c r="X899" s="5"/>
      <c r="Y899" s="5"/>
    </row>
    <row r="900" ht="15.75" customHeight="1">
      <c r="T900" s="5"/>
      <c r="U900" s="5"/>
      <c r="V900" s="5"/>
      <c r="W900" s="5"/>
      <c r="X900" s="5"/>
      <c r="Y900" s="5"/>
    </row>
    <row r="901" ht="15.75" customHeight="1">
      <c r="T901" s="5"/>
      <c r="U901" s="5"/>
      <c r="V901" s="5"/>
      <c r="W901" s="5"/>
      <c r="X901" s="5"/>
      <c r="Y901" s="5"/>
    </row>
    <row r="902" ht="15.75" customHeight="1">
      <c r="T902" s="5"/>
      <c r="U902" s="5"/>
      <c r="V902" s="5"/>
      <c r="W902" s="5"/>
      <c r="X902" s="5"/>
      <c r="Y902" s="5"/>
    </row>
    <row r="903" ht="15.75" customHeight="1">
      <c r="T903" s="5"/>
      <c r="U903" s="5"/>
      <c r="V903" s="5"/>
      <c r="W903" s="5"/>
      <c r="X903" s="5"/>
      <c r="Y903" s="5"/>
    </row>
    <row r="904" ht="15.75" customHeight="1">
      <c r="T904" s="5"/>
      <c r="U904" s="5"/>
      <c r="V904" s="5"/>
      <c r="W904" s="5"/>
      <c r="X904" s="5"/>
      <c r="Y904" s="5"/>
    </row>
    <row r="905" ht="15.75" customHeight="1">
      <c r="T905" s="5"/>
      <c r="U905" s="5"/>
      <c r="V905" s="5"/>
      <c r="W905" s="5"/>
      <c r="X905" s="5"/>
      <c r="Y905" s="5"/>
    </row>
    <row r="906" ht="15.75" customHeight="1">
      <c r="T906" s="5"/>
      <c r="U906" s="5"/>
      <c r="V906" s="5"/>
      <c r="W906" s="5"/>
      <c r="X906" s="5"/>
      <c r="Y906" s="5"/>
    </row>
    <row r="907" ht="15.75" customHeight="1">
      <c r="T907" s="5"/>
      <c r="U907" s="5"/>
      <c r="V907" s="5"/>
      <c r="W907" s="5"/>
      <c r="X907" s="5"/>
      <c r="Y907" s="5"/>
    </row>
    <row r="908" ht="15.75" customHeight="1">
      <c r="T908" s="5"/>
      <c r="U908" s="5"/>
      <c r="V908" s="5"/>
      <c r="W908" s="5"/>
      <c r="X908" s="5"/>
      <c r="Y908" s="5"/>
    </row>
    <row r="909" ht="15.75" customHeight="1">
      <c r="T909" s="5"/>
      <c r="U909" s="5"/>
      <c r="V909" s="5"/>
      <c r="W909" s="5"/>
      <c r="X909" s="5"/>
      <c r="Y909" s="5"/>
    </row>
    <row r="910" ht="15.75" customHeight="1">
      <c r="T910" s="5"/>
      <c r="U910" s="5"/>
      <c r="V910" s="5"/>
      <c r="W910" s="5"/>
      <c r="X910" s="5"/>
      <c r="Y910" s="5"/>
    </row>
    <row r="911" ht="15.75" customHeight="1">
      <c r="T911" s="5"/>
      <c r="U911" s="5"/>
      <c r="V911" s="5"/>
      <c r="W911" s="5"/>
      <c r="X911" s="5"/>
      <c r="Y911" s="5"/>
    </row>
    <row r="912" ht="15.75" customHeight="1">
      <c r="T912" s="5"/>
      <c r="U912" s="5"/>
      <c r="V912" s="5"/>
      <c r="W912" s="5"/>
      <c r="X912" s="5"/>
      <c r="Y912" s="5"/>
    </row>
    <row r="913" ht="15.75" customHeight="1">
      <c r="T913" s="5"/>
      <c r="U913" s="5"/>
      <c r="V913" s="5"/>
      <c r="W913" s="5"/>
      <c r="X913" s="5"/>
      <c r="Y913" s="5"/>
    </row>
    <row r="914" ht="15.75" customHeight="1">
      <c r="T914" s="5"/>
      <c r="U914" s="5"/>
      <c r="V914" s="5"/>
      <c r="W914" s="5"/>
      <c r="X914" s="5"/>
      <c r="Y914" s="5"/>
    </row>
    <row r="915" ht="15.75" customHeight="1">
      <c r="T915" s="5"/>
      <c r="U915" s="5"/>
      <c r="V915" s="5"/>
      <c r="W915" s="5"/>
      <c r="X915" s="5"/>
      <c r="Y915" s="5"/>
    </row>
    <row r="916" ht="15.75" customHeight="1">
      <c r="T916" s="5"/>
      <c r="U916" s="5"/>
      <c r="V916" s="5"/>
      <c r="W916" s="5"/>
      <c r="X916" s="5"/>
      <c r="Y916" s="5"/>
    </row>
    <row r="917" ht="15.75" customHeight="1">
      <c r="T917" s="5"/>
      <c r="U917" s="5"/>
      <c r="V917" s="5"/>
      <c r="W917" s="5"/>
      <c r="X917" s="5"/>
      <c r="Y917" s="5"/>
    </row>
    <row r="918" ht="15.75" customHeight="1">
      <c r="T918" s="5"/>
      <c r="U918" s="5"/>
      <c r="V918" s="5"/>
      <c r="W918" s="5"/>
      <c r="X918" s="5"/>
      <c r="Y918" s="5"/>
    </row>
    <row r="919" ht="15.75" customHeight="1">
      <c r="T919" s="5"/>
      <c r="U919" s="5"/>
      <c r="V919" s="5"/>
      <c r="W919" s="5"/>
      <c r="X919" s="5"/>
      <c r="Y919" s="5"/>
    </row>
    <row r="920" ht="15.75" customHeight="1">
      <c r="T920" s="5"/>
      <c r="U920" s="5"/>
      <c r="V920" s="5"/>
      <c r="W920" s="5"/>
      <c r="X920" s="5"/>
      <c r="Y920" s="5"/>
    </row>
    <row r="921" ht="15.75" customHeight="1">
      <c r="T921" s="5"/>
      <c r="U921" s="5"/>
      <c r="V921" s="5"/>
      <c r="W921" s="5"/>
      <c r="X921" s="5"/>
      <c r="Y921" s="5"/>
    </row>
    <row r="922" ht="15.75" customHeight="1">
      <c r="T922" s="5"/>
      <c r="U922" s="5"/>
      <c r="V922" s="5"/>
      <c r="W922" s="5"/>
      <c r="X922" s="5"/>
      <c r="Y922" s="5"/>
    </row>
    <row r="923" ht="15.75" customHeight="1">
      <c r="T923" s="5"/>
      <c r="U923" s="5"/>
      <c r="V923" s="5"/>
      <c r="W923" s="5"/>
      <c r="X923" s="5"/>
      <c r="Y923" s="5"/>
    </row>
    <row r="924" ht="15.75" customHeight="1">
      <c r="T924" s="5"/>
      <c r="U924" s="5"/>
      <c r="V924" s="5"/>
      <c r="W924" s="5"/>
      <c r="X924" s="5"/>
      <c r="Y924" s="5"/>
    </row>
    <row r="925" ht="15.75" customHeight="1">
      <c r="T925" s="5"/>
      <c r="U925" s="5"/>
      <c r="V925" s="5"/>
      <c r="W925" s="5"/>
      <c r="X925" s="5"/>
      <c r="Y925" s="5"/>
    </row>
    <row r="926" ht="15.75" customHeight="1">
      <c r="T926" s="5"/>
      <c r="U926" s="5"/>
      <c r="V926" s="5"/>
      <c r="W926" s="5"/>
      <c r="X926" s="5"/>
      <c r="Y926" s="5"/>
    </row>
    <row r="927" ht="15.75" customHeight="1">
      <c r="T927" s="5"/>
      <c r="U927" s="5"/>
      <c r="V927" s="5"/>
      <c r="W927" s="5"/>
      <c r="X927" s="5"/>
      <c r="Y927" s="5"/>
    </row>
    <row r="928" ht="15.75" customHeight="1">
      <c r="T928" s="5"/>
      <c r="U928" s="5"/>
      <c r="V928" s="5"/>
      <c r="W928" s="5"/>
      <c r="X928" s="5"/>
      <c r="Y928" s="5"/>
    </row>
    <row r="929" ht="15.75" customHeight="1">
      <c r="T929" s="5"/>
      <c r="U929" s="5"/>
      <c r="V929" s="5"/>
      <c r="W929" s="5"/>
      <c r="X929" s="5"/>
      <c r="Y929" s="5"/>
    </row>
    <row r="930" ht="15.75" customHeight="1">
      <c r="T930" s="5"/>
      <c r="U930" s="5"/>
      <c r="V930" s="5"/>
      <c r="W930" s="5"/>
      <c r="X930" s="5"/>
      <c r="Y930" s="5"/>
    </row>
    <row r="931" ht="15.75" customHeight="1">
      <c r="T931" s="5"/>
      <c r="U931" s="5"/>
      <c r="V931" s="5"/>
      <c r="W931" s="5"/>
      <c r="X931" s="5"/>
      <c r="Y931" s="5"/>
    </row>
    <row r="932" ht="15.75" customHeight="1">
      <c r="T932" s="5"/>
      <c r="U932" s="5"/>
      <c r="V932" s="5"/>
      <c r="W932" s="5"/>
      <c r="X932" s="5"/>
      <c r="Y932" s="5"/>
    </row>
    <row r="933" ht="15.75" customHeight="1">
      <c r="T933" s="5"/>
      <c r="U933" s="5"/>
      <c r="V933" s="5"/>
      <c r="W933" s="5"/>
      <c r="X933" s="5"/>
      <c r="Y933" s="5"/>
    </row>
    <row r="934" ht="15.75" customHeight="1">
      <c r="T934" s="5"/>
      <c r="U934" s="5"/>
      <c r="V934" s="5"/>
      <c r="W934" s="5"/>
      <c r="X934" s="5"/>
      <c r="Y934" s="5"/>
    </row>
    <row r="935" ht="15.75" customHeight="1">
      <c r="T935" s="5"/>
      <c r="U935" s="5"/>
      <c r="V935" s="5"/>
      <c r="W935" s="5"/>
      <c r="X935" s="5"/>
      <c r="Y935" s="5"/>
    </row>
    <row r="936" ht="15.75" customHeight="1">
      <c r="T936" s="5"/>
      <c r="U936" s="5"/>
      <c r="V936" s="5"/>
      <c r="W936" s="5"/>
      <c r="X936" s="5"/>
      <c r="Y936" s="5"/>
    </row>
    <row r="937" ht="15.75" customHeight="1">
      <c r="T937" s="5"/>
      <c r="U937" s="5"/>
      <c r="V937" s="5"/>
      <c r="W937" s="5"/>
      <c r="X937" s="5"/>
      <c r="Y937" s="5"/>
    </row>
    <row r="938" ht="15.75" customHeight="1">
      <c r="T938" s="5"/>
      <c r="U938" s="5"/>
      <c r="V938" s="5"/>
      <c r="W938" s="5"/>
      <c r="X938" s="5"/>
      <c r="Y938" s="5"/>
    </row>
    <row r="939" ht="15.75" customHeight="1">
      <c r="T939" s="5"/>
      <c r="U939" s="5"/>
      <c r="V939" s="5"/>
      <c r="W939" s="5"/>
      <c r="X939" s="5"/>
      <c r="Y939" s="5"/>
    </row>
    <row r="940" ht="15.75" customHeight="1">
      <c r="T940" s="5"/>
      <c r="U940" s="5"/>
      <c r="V940" s="5"/>
      <c r="W940" s="5"/>
      <c r="X940" s="5"/>
      <c r="Y940" s="5"/>
    </row>
    <row r="941" ht="15.75" customHeight="1">
      <c r="T941" s="5"/>
      <c r="U941" s="5"/>
      <c r="V941" s="5"/>
      <c r="W941" s="5"/>
      <c r="X941" s="5"/>
      <c r="Y941" s="5"/>
    </row>
    <row r="942" ht="15.75" customHeight="1">
      <c r="T942" s="5"/>
      <c r="U942" s="5"/>
      <c r="V942" s="5"/>
      <c r="W942" s="5"/>
      <c r="X942" s="5"/>
      <c r="Y942" s="5"/>
    </row>
    <row r="943" ht="15.75" customHeight="1">
      <c r="T943" s="5"/>
      <c r="U943" s="5"/>
      <c r="V943" s="5"/>
      <c r="W943" s="5"/>
      <c r="X943" s="5"/>
      <c r="Y943" s="5"/>
    </row>
    <row r="944" ht="15.75" customHeight="1">
      <c r="T944" s="5"/>
      <c r="U944" s="5"/>
      <c r="V944" s="5"/>
      <c r="W944" s="5"/>
      <c r="X944" s="5"/>
      <c r="Y944" s="5"/>
    </row>
    <row r="945" ht="15.75" customHeight="1">
      <c r="T945" s="5"/>
      <c r="U945" s="5"/>
      <c r="V945" s="5"/>
      <c r="W945" s="5"/>
      <c r="X945" s="5"/>
      <c r="Y945" s="5"/>
    </row>
    <row r="946" ht="15.75" customHeight="1">
      <c r="T946" s="5"/>
      <c r="U946" s="5"/>
      <c r="V946" s="5"/>
      <c r="W946" s="5"/>
      <c r="X946" s="5"/>
      <c r="Y946" s="5"/>
    </row>
    <row r="947" ht="15.75" customHeight="1">
      <c r="T947" s="5"/>
      <c r="U947" s="5"/>
      <c r="V947" s="5"/>
      <c r="W947" s="5"/>
      <c r="X947" s="5"/>
      <c r="Y947" s="5"/>
    </row>
    <row r="948" ht="15.75" customHeight="1">
      <c r="T948" s="5"/>
      <c r="U948" s="5"/>
      <c r="V948" s="5"/>
      <c r="W948" s="5"/>
      <c r="X948" s="5"/>
      <c r="Y948" s="5"/>
    </row>
    <row r="949" ht="15.75" customHeight="1">
      <c r="T949" s="5"/>
      <c r="U949" s="5"/>
      <c r="V949" s="5"/>
      <c r="W949" s="5"/>
      <c r="X949" s="5"/>
      <c r="Y949" s="5"/>
    </row>
    <row r="950" ht="15.75" customHeight="1">
      <c r="T950" s="5"/>
      <c r="U950" s="5"/>
      <c r="V950" s="5"/>
      <c r="W950" s="5"/>
      <c r="X950" s="5"/>
      <c r="Y950" s="5"/>
    </row>
    <row r="951" ht="15.75" customHeight="1">
      <c r="T951" s="5"/>
      <c r="U951" s="5"/>
      <c r="V951" s="5"/>
      <c r="W951" s="5"/>
      <c r="X951" s="5"/>
      <c r="Y951" s="5"/>
    </row>
    <row r="952" ht="15.75" customHeight="1">
      <c r="T952" s="5"/>
      <c r="U952" s="5"/>
      <c r="V952" s="5"/>
      <c r="W952" s="5"/>
      <c r="X952" s="5"/>
      <c r="Y952" s="5"/>
    </row>
    <row r="953" ht="15.75" customHeight="1">
      <c r="T953" s="5"/>
      <c r="U953" s="5"/>
      <c r="V953" s="5"/>
      <c r="W953" s="5"/>
      <c r="X953" s="5"/>
      <c r="Y953" s="5"/>
    </row>
    <row r="954" ht="15.75" customHeight="1">
      <c r="T954" s="5"/>
      <c r="U954" s="5"/>
      <c r="V954" s="5"/>
      <c r="W954" s="5"/>
      <c r="X954" s="5"/>
      <c r="Y954" s="5"/>
    </row>
    <row r="955" ht="15.75" customHeight="1">
      <c r="T955" s="5"/>
      <c r="U955" s="5"/>
      <c r="V955" s="5"/>
      <c r="W955" s="5"/>
      <c r="X955" s="5"/>
      <c r="Y955" s="5"/>
    </row>
    <row r="956" ht="15.75" customHeight="1">
      <c r="T956" s="5"/>
      <c r="U956" s="5"/>
      <c r="V956" s="5"/>
      <c r="W956" s="5"/>
      <c r="X956" s="5"/>
      <c r="Y956" s="5"/>
    </row>
    <row r="957" ht="15.75" customHeight="1">
      <c r="T957" s="5"/>
      <c r="U957" s="5"/>
      <c r="V957" s="5"/>
      <c r="W957" s="5"/>
      <c r="X957" s="5"/>
      <c r="Y957" s="5"/>
    </row>
    <row r="958" ht="15.75" customHeight="1">
      <c r="T958" s="5"/>
      <c r="U958" s="5"/>
      <c r="V958" s="5"/>
      <c r="W958" s="5"/>
      <c r="X958" s="5"/>
      <c r="Y958" s="5"/>
    </row>
    <row r="959" ht="15.75" customHeight="1">
      <c r="T959" s="5"/>
      <c r="U959" s="5"/>
      <c r="V959" s="5"/>
      <c r="W959" s="5"/>
      <c r="X959" s="5"/>
      <c r="Y959" s="5"/>
    </row>
    <row r="960" ht="15.75" customHeight="1">
      <c r="T960" s="5"/>
      <c r="U960" s="5"/>
      <c r="V960" s="5"/>
      <c r="W960" s="5"/>
      <c r="X960" s="5"/>
      <c r="Y960" s="5"/>
    </row>
    <row r="961" ht="15.75" customHeight="1">
      <c r="T961" s="5"/>
      <c r="U961" s="5"/>
      <c r="V961" s="5"/>
      <c r="W961" s="5"/>
      <c r="X961" s="5"/>
      <c r="Y961" s="5"/>
    </row>
    <row r="962" ht="15.75" customHeight="1">
      <c r="T962" s="5"/>
      <c r="U962" s="5"/>
      <c r="V962" s="5"/>
      <c r="W962" s="5"/>
      <c r="X962" s="5"/>
      <c r="Y962" s="5"/>
    </row>
    <row r="963" ht="15.75" customHeight="1">
      <c r="T963" s="5"/>
      <c r="U963" s="5"/>
      <c r="V963" s="5"/>
      <c r="W963" s="5"/>
      <c r="X963" s="5"/>
      <c r="Y963" s="5"/>
    </row>
    <row r="964" ht="15.75" customHeight="1">
      <c r="T964" s="5"/>
      <c r="U964" s="5"/>
      <c r="V964" s="5"/>
      <c r="W964" s="5"/>
      <c r="X964" s="5"/>
      <c r="Y964" s="5"/>
    </row>
    <row r="965" ht="15.75" customHeight="1">
      <c r="T965" s="5"/>
      <c r="U965" s="5"/>
      <c r="V965" s="5"/>
      <c r="W965" s="5"/>
      <c r="X965" s="5"/>
      <c r="Y965" s="5"/>
    </row>
    <row r="966" ht="15.75" customHeight="1">
      <c r="T966" s="5"/>
      <c r="U966" s="5"/>
      <c r="V966" s="5"/>
      <c r="W966" s="5"/>
      <c r="X966" s="5"/>
      <c r="Y966" s="5"/>
    </row>
    <row r="967" ht="15.75" customHeight="1">
      <c r="T967" s="5"/>
      <c r="U967" s="5"/>
      <c r="V967" s="5"/>
      <c r="W967" s="5"/>
      <c r="X967" s="5"/>
      <c r="Y967" s="5"/>
    </row>
    <row r="968" ht="15.75" customHeight="1">
      <c r="T968" s="5"/>
      <c r="U968" s="5"/>
      <c r="V968" s="5"/>
      <c r="W968" s="5"/>
      <c r="X968" s="5"/>
      <c r="Y968" s="5"/>
    </row>
    <row r="969" ht="15.75" customHeight="1">
      <c r="T969" s="5"/>
      <c r="U969" s="5"/>
      <c r="V969" s="5"/>
      <c r="W969" s="5"/>
      <c r="X969" s="5"/>
      <c r="Y969" s="5"/>
    </row>
    <row r="970" ht="15.75" customHeight="1">
      <c r="T970" s="5"/>
      <c r="U970" s="5"/>
      <c r="V970" s="5"/>
      <c r="W970" s="5"/>
      <c r="X970" s="5"/>
      <c r="Y970" s="5"/>
    </row>
    <row r="971" ht="15.75" customHeight="1">
      <c r="T971" s="5"/>
      <c r="U971" s="5"/>
      <c r="V971" s="5"/>
      <c r="W971" s="5"/>
      <c r="X971" s="5"/>
      <c r="Y971" s="5"/>
    </row>
    <row r="972" ht="15.75" customHeight="1">
      <c r="T972" s="5"/>
      <c r="U972" s="5"/>
      <c r="V972" s="5"/>
      <c r="W972" s="5"/>
      <c r="X972" s="5"/>
      <c r="Y972" s="5"/>
    </row>
    <row r="973" ht="15.75" customHeight="1">
      <c r="T973" s="5"/>
      <c r="U973" s="5"/>
      <c r="V973" s="5"/>
      <c r="W973" s="5"/>
      <c r="X973" s="5"/>
      <c r="Y973" s="5"/>
    </row>
    <row r="974" ht="15.75" customHeight="1">
      <c r="T974" s="5"/>
      <c r="U974" s="5"/>
      <c r="V974" s="5"/>
      <c r="W974" s="5"/>
      <c r="X974" s="5"/>
      <c r="Y974" s="5"/>
    </row>
    <row r="975" ht="15.75" customHeight="1">
      <c r="T975" s="5"/>
      <c r="U975" s="5"/>
      <c r="V975" s="5"/>
      <c r="W975" s="5"/>
      <c r="X975" s="5"/>
      <c r="Y975" s="5"/>
    </row>
    <row r="976" ht="15.75" customHeight="1">
      <c r="T976" s="5"/>
      <c r="U976" s="5"/>
      <c r="V976" s="5"/>
      <c r="W976" s="5"/>
      <c r="X976" s="5"/>
      <c r="Y976" s="5"/>
    </row>
    <row r="977" ht="15.75" customHeight="1">
      <c r="T977" s="5"/>
      <c r="U977" s="5"/>
      <c r="V977" s="5"/>
      <c r="W977" s="5"/>
      <c r="X977" s="5"/>
      <c r="Y977" s="5"/>
    </row>
    <row r="978" ht="15.75" customHeight="1">
      <c r="T978" s="5"/>
      <c r="U978" s="5"/>
      <c r="V978" s="5"/>
      <c r="W978" s="5"/>
      <c r="X978" s="5"/>
      <c r="Y978" s="5"/>
    </row>
    <row r="979" ht="15.75" customHeight="1">
      <c r="T979" s="5"/>
      <c r="U979" s="5"/>
      <c r="V979" s="5"/>
      <c r="W979" s="5"/>
      <c r="X979" s="5"/>
      <c r="Y979" s="5"/>
    </row>
    <row r="980" ht="15.75" customHeight="1">
      <c r="T980" s="5"/>
      <c r="U980" s="5"/>
      <c r="V980" s="5"/>
      <c r="W980" s="5"/>
      <c r="X980" s="5"/>
      <c r="Y980" s="5"/>
    </row>
    <row r="981" ht="15.75" customHeight="1">
      <c r="T981" s="5"/>
      <c r="U981" s="5"/>
      <c r="V981" s="5"/>
      <c r="W981" s="5"/>
      <c r="X981" s="5"/>
      <c r="Y981" s="5"/>
    </row>
    <row r="982" ht="15.75" customHeight="1">
      <c r="T982" s="5"/>
      <c r="U982" s="5"/>
      <c r="V982" s="5"/>
      <c r="W982" s="5"/>
      <c r="X982" s="5"/>
      <c r="Y982" s="5"/>
    </row>
    <row r="983" ht="15.75" customHeight="1">
      <c r="T983" s="5"/>
      <c r="U983" s="5"/>
      <c r="V983" s="5"/>
      <c r="W983" s="5"/>
      <c r="X983" s="5"/>
      <c r="Y983" s="5"/>
    </row>
    <row r="984" ht="15.75" customHeight="1">
      <c r="T984" s="5"/>
      <c r="U984" s="5"/>
      <c r="V984" s="5"/>
      <c r="W984" s="5"/>
      <c r="X984" s="5"/>
      <c r="Y984" s="5"/>
    </row>
    <row r="985" ht="15.75" customHeight="1">
      <c r="T985" s="5"/>
      <c r="U985" s="5"/>
      <c r="V985" s="5"/>
      <c r="W985" s="5"/>
      <c r="X985" s="5"/>
      <c r="Y985" s="5"/>
    </row>
    <row r="986" ht="15.75" customHeight="1">
      <c r="T986" s="5"/>
      <c r="U986" s="5"/>
      <c r="V986" s="5"/>
      <c r="W986" s="5"/>
      <c r="X986" s="5"/>
      <c r="Y986" s="5"/>
    </row>
    <row r="987" ht="15.75" customHeight="1">
      <c r="T987" s="5"/>
      <c r="U987" s="5"/>
      <c r="V987" s="5"/>
      <c r="W987" s="5"/>
      <c r="X987" s="5"/>
      <c r="Y987" s="5"/>
    </row>
    <row r="988" ht="15.75" customHeight="1">
      <c r="T988" s="5"/>
      <c r="U988" s="5"/>
      <c r="V988" s="5"/>
      <c r="W988" s="5"/>
      <c r="X988" s="5"/>
      <c r="Y988" s="5"/>
    </row>
    <row r="989" ht="15.75" customHeight="1">
      <c r="T989" s="5"/>
      <c r="U989" s="5"/>
      <c r="V989" s="5"/>
      <c r="W989" s="5"/>
      <c r="X989" s="5"/>
      <c r="Y989" s="5"/>
    </row>
    <row r="990" ht="15.75" customHeight="1">
      <c r="T990" s="5"/>
      <c r="U990" s="5"/>
      <c r="V990" s="5"/>
      <c r="W990" s="5"/>
      <c r="X990" s="5"/>
      <c r="Y990" s="5"/>
    </row>
    <row r="991" ht="15.75" customHeight="1">
      <c r="T991" s="5"/>
      <c r="U991" s="5"/>
      <c r="V991" s="5"/>
      <c r="W991" s="5"/>
      <c r="X991" s="5"/>
      <c r="Y991" s="5"/>
    </row>
    <row r="992" ht="15.75" customHeight="1">
      <c r="T992" s="5"/>
      <c r="U992" s="5"/>
      <c r="V992" s="5"/>
      <c r="W992" s="5"/>
      <c r="X992" s="5"/>
      <c r="Y992" s="5"/>
    </row>
    <row r="993" ht="15.75" customHeight="1">
      <c r="T993" s="5"/>
      <c r="U993" s="5"/>
      <c r="V993" s="5"/>
      <c r="W993" s="5"/>
      <c r="X993" s="5"/>
      <c r="Y993" s="5"/>
    </row>
    <row r="994" ht="15.75" customHeight="1">
      <c r="T994" s="5"/>
      <c r="U994" s="5"/>
      <c r="V994" s="5"/>
      <c r="W994" s="5"/>
      <c r="X994" s="5"/>
      <c r="Y994" s="5"/>
    </row>
    <row r="995" ht="15.75" customHeight="1">
      <c r="T995" s="5"/>
      <c r="U995" s="5"/>
      <c r="V995" s="5"/>
      <c r="W995" s="5"/>
      <c r="X995" s="5"/>
      <c r="Y995" s="5"/>
    </row>
    <row r="996" ht="15.75" customHeight="1">
      <c r="T996" s="5"/>
      <c r="U996" s="5"/>
      <c r="V996" s="5"/>
      <c r="W996" s="5"/>
      <c r="X996" s="5"/>
      <c r="Y996" s="5"/>
    </row>
    <row r="997" ht="15.75" customHeight="1">
      <c r="T997" s="5"/>
      <c r="U997" s="5"/>
      <c r="V997" s="5"/>
      <c r="W997" s="5"/>
      <c r="X997" s="5"/>
      <c r="Y997" s="5"/>
    </row>
    <row r="998" ht="15.75" customHeight="1">
      <c r="T998" s="5"/>
      <c r="U998" s="5"/>
      <c r="V998" s="5"/>
      <c r="W998" s="5"/>
      <c r="X998" s="5"/>
      <c r="Y998" s="5"/>
    </row>
    <row r="999" ht="15.75" customHeight="1">
      <c r="T999" s="5"/>
      <c r="U999" s="5"/>
      <c r="V999" s="5"/>
      <c r="W999" s="5"/>
      <c r="X999" s="5"/>
      <c r="Y999" s="5"/>
    </row>
    <row r="1000" ht="15.75" customHeight="1">
      <c r="T1000" s="5"/>
      <c r="U1000" s="5"/>
      <c r="V1000" s="5"/>
      <c r="W1000" s="5"/>
      <c r="X1000" s="5"/>
      <c r="Y1000" s="5"/>
    </row>
  </sheetData>
  <conditionalFormatting sqref="B31:B3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1:C3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1:D3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1:E3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1:F3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1:F36">
    <cfRule type="colorScale" priority="6">
      <colorScale>
        <cfvo type="min"/>
        <cfvo type="max"/>
        <color rgb="FFF8696B"/>
        <color rgb="FFFCFCFF"/>
      </colorScale>
    </cfRule>
  </conditionalFormatting>
  <conditionalFormatting sqref="G31:G3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1:H36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1:I3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1:J36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1:K36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1:L3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1:M1000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1:N36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1:O36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1:P36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67"/>
    <col customWidth="1" min="2" max="3" width="22.22"/>
    <col customWidth="1" min="4" max="4" width="13.22"/>
    <col customWidth="1" min="5" max="5" width="23.0"/>
    <col customWidth="1" min="6" max="6" width="10.44"/>
    <col customWidth="1" min="7" max="7" width="8.33"/>
    <col customWidth="1" min="8" max="8" width="22.22"/>
    <col customWidth="1" hidden="1" min="9" max="9" width="10.44"/>
    <col customWidth="1" hidden="1" min="10" max="10" width="14.44"/>
    <col customWidth="1" hidden="1" min="11" max="11" width="22.22"/>
    <col customWidth="1" min="12" max="12" width="11.89"/>
    <col customWidth="1" min="13" max="26" width="8.56"/>
  </cols>
  <sheetData>
    <row r="1" ht="15.75" customHeight="1">
      <c r="A1" s="6" t="s">
        <v>1</v>
      </c>
      <c r="B1" s="6" t="s">
        <v>2</v>
      </c>
      <c r="C1" s="6" t="s">
        <v>4</v>
      </c>
      <c r="D1" s="6" t="s">
        <v>6</v>
      </c>
      <c r="E1" s="6" t="s">
        <v>60</v>
      </c>
      <c r="F1" s="6" t="s">
        <v>62</v>
      </c>
      <c r="G1" s="6" t="s">
        <v>0</v>
      </c>
      <c r="H1" s="6" t="s">
        <v>74</v>
      </c>
      <c r="I1" s="6" t="s">
        <v>75</v>
      </c>
      <c r="J1" s="6" t="s">
        <v>76</v>
      </c>
      <c r="K1" s="6" t="s">
        <v>77</v>
      </c>
      <c r="L1" s="6" t="s">
        <v>56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">
        <v>2021.0</v>
      </c>
      <c r="B2" s="1" t="s">
        <v>33</v>
      </c>
      <c r="C2" s="1" t="s">
        <v>13</v>
      </c>
      <c r="D2" s="8">
        <v>7.0</v>
      </c>
      <c r="E2" s="8" t="str">
        <f t="shared" ref="E2:E1080" si="1">IF($D2&lt;7,"Playoff Team", "Non-Playoff Team")</f>
        <v>Non-Playoff Team</v>
      </c>
      <c r="F2" s="8">
        <v>1.0</v>
      </c>
      <c r="G2" s="8">
        <v>1.0</v>
      </c>
      <c r="H2" s="1" t="s">
        <v>78</v>
      </c>
      <c r="I2" s="1" t="str">
        <f t="shared" ref="I2:I1080" si="2">TRIM(SUBSTITUTE(LEFT($H2,(FIND(" ",$H2,1)-1)),".",""))</f>
        <v>Christian</v>
      </c>
      <c r="J2" s="1" t="str">
        <f t="shared" ref="J2:J1080" si="3">TRIM(SUBSTITUTE(MID($H2,FIND(" ",$H2)+1,256),".",""))</f>
        <v>McCaffrey</v>
      </c>
      <c r="K2" s="1" t="str">
        <f t="shared" ref="K2:K1080" si="4">TRIM(CONCAT($I2," ",IF(RIGHT($J2,2)="FA",SUBSTITUTE($J2,"FA",""),IF(RIGHT($J2,2)="Sr",SUBSTITUTE($J2,"Sr",""),IF(RIGHT($J2,2)="Jr",SUBSTITUTE($J2,"Jr",""),IF(RIGHT($J2,3)="III",SUBSTITUTE($J2,"III",""),IF(RIGHT($J2,2)="IV",SUBSTITUTE($J2,"IV",""),IF(RIGHT($J2,2)=" V",SUBSTITUTE($J2," V",""),IF(RIGHT($J2,3)=" II",SUBSTITUTE($J2," II",""),$J2)))))))))</f>
        <v>#N/A</v>
      </c>
      <c r="L2" s="1" t="str">
        <f>IFERROR(VLOOKUP($K2,Players!$D:$E,2,FALSE),VLOOKUP($H2,Players!A:E,5,FALSE))</f>
        <v>RB</v>
      </c>
    </row>
    <row r="3" ht="15.75" customHeight="1">
      <c r="A3" s="1">
        <v>2021.0</v>
      </c>
      <c r="B3" s="1" t="s">
        <v>33</v>
      </c>
      <c r="C3" s="1" t="s">
        <v>13</v>
      </c>
      <c r="D3" s="8">
        <v>7.0</v>
      </c>
      <c r="E3" s="8" t="str">
        <f t="shared" si="1"/>
        <v>Non-Playoff Team</v>
      </c>
      <c r="F3" s="8">
        <v>2.0</v>
      </c>
      <c r="G3" s="8">
        <v>24.0</v>
      </c>
      <c r="H3" s="1" t="s">
        <v>79</v>
      </c>
      <c r="I3" s="1" t="str">
        <f t="shared" si="2"/>
        <v>Clyde</v>
      </c>
      <c r="J3" s="1" t="str">
        <f t="shared" si="3"/>
        <v>Edwards-Helaire</v>
      </c>
      <c r="K3" s="1" t="str">
        <f t="shared" si="4"/>
        <v>#N/A</v>
      </c>
      <c r="L3" s="1" t="str">
        <f>IFERROR(VLOOKUP($K3,Players!$D:$E,2,FALSE),VLOOKUP($H3,Players!A:E,5,FALSE))</f>
        <v>RB</v>
      </c>
    </row>
    <row r="4" ht="15.75" customHeight="1">
      <c r="A4" s="1">
        <v>2021.0</v>
      </c>
      <c r="B4" s="1" t="s">
        <v>33</v>
      </c>
      <c r="C4" s="1" t="s">
        <v>13</v>
      </c>
      <c r="D4" s="8">
        <v>7.0</v>
      </c>
      <c r="E4" s="8" t="str">
        <f t="shared" si="1"/>
        <v>Non-Playoff Team</v>
      </c>
      <c r="F4" s="8">
        <v>3.0</v>
      </c>
      <c r="G4" s="8">
        <v>25.0</v>
      </c>
      <c r="H4" s="1" t="s">
        <v>80</v>
      </c>
      <c r="I4" s="1" t="str">
        <f t="shared" si="2"/>
        <v>Keenan</v>
      </c>
      <c r="J4" s="1" t="str">
        <f t="shared" si="3"/>
        <v>Allen</v>
      </c>
      <c r="K4" s="1" t="str">
        <f t="shared" si="4"/>
        <v>#N/A</v>
      </c>
      <c r="L4" s="1" t="str">
        <f>IFERROR(VLOOKUP($K4,Players!$D:$E,2,FALSE),VLOOKUP($H4,Players!A:E,5,FALSE))</f>
        <v>WR</v>
      </c>
    </row>
    <row r="5" ht="15.75" customHeight="1">
      <c r="A5" s="1">
        <v>2021.0</v>
      </c>
      <c r="B5" s="1" t="s">
        <v>33</v>
      </c>
      <c r="C5" s="1" t="s">
        <v>13</v>
      </c>
      <c r="D5" s="8">
        <v>7.0</v>
      </c>
      <c r="E5" s="8" t="str">
        <f t="shared" si="1"/>
        <v>Non-Playoff Team</v>
      </c>
      <c r="F5" s="8">
        <v>4.0</v>
      </c>
      <c r="G5" s="8">
        <v>48.0</v>
      </c>
      <c r="H5" s="1" t="s">
        <v>81</v>
      </c>
      <c r="I5" s="1" t="str">
        <f t="shared" si="2"/>
        <v>Mark</v>
      </c>
      <c r="J5" s="1" t="str">
        <f t="shared" si="3"/>
        <v>Andrews</v>
      </c>
      <c r="K5" s="1" t="str">
        <f t="shared" si="4"/>
        <v>#N/A</v>
      </c>
      <c r="L5" s="1" t="str">
        <f>IFERROR(VLOOKUP($K5,Players!$D:$E,2,FALSE),VLOOKUP($H5,Players!A:E,5,FALSE))</f>
        <v>TE</v>
      </c>
    </row>
    <row r="6" ht="15.75" customHeight="1">
      <c r="A6" s="1">
        <v>2021.0</v>
      </c>
      <c r="B6" s="1" t="s">
        <v>33</v>
      </c>
      <c r="C6" s="1" t="s">
        <v>13</v>
      </c>
      <c r="D6" s="8">
        <v>7.0</v>
      </c>
      <c r="E6" s="8" t="str">
        <f t="shared" si="1"/>
        <v>Non-Playoff Team</v>
      </c>
      <c r="F6" s="8">
        <v>5.0</v>
      </c>
      <c r="G6" s="8">
        <v>49.0</v>
      </c>
      <c r="H6" s="1" t="s">
        <v>82</v>
      </c>
      <c r="I6" s="1" t="str">
        <f t="shared" si="2"/>
        <v>Diontae</v>
      </c>
      <c r="J6" s="1" t="str">
        <f t="shared" si="3"/>
        <v>Johnson</v>
      </c>
      <c r="K6" s="1" t="str">
        <f t="shared" si="4"/>
        <v>#N/A</v>
      </c>
      <c r="L6" s="1" t="str">
        <f>IFERROR(VLOOKUP($K6,Players!$D:$E,2,FALSE),VLOOKUP($H6,Players!A:E,5,FALSE))</f>
        <v>WR</v>
      </c>
    </row>
    <row r="7" ht="15.75" customHeight="1">
      <c r="A7" s="1">
        <v>2021.0</v>
      </c>
      <c r="B7" s="1" t="s">
        <v>33</v>
      </c>
      <c r="C7" s="1" t="s">
        <v>13</v>
      </c>
      <c r="D7" s="8">
        <v>7.0</v>
      </c>
      <c r="E7" s="8" t="str">
        <f t="shared" si="1"/>
        <v>Non-Playoff Team</v>
      </c>
      <c r="F7" s="8">
        <v>6.0</v>
      </c>
      <c r="G7" s="8">
        <v>72.0</v>
      </c>
      <c r="H7" s="1" t="s">
        <v>83</v>
      </c>
      <c r="I7" s="1" t="str">
        <f t="shared" si="2"/>
        <v>Jalen</v>
      </c>
      <c r="J7" s="1" t="str">
        <f t="shared" si="3"/>
        <v>Hurts</v>
      </c>
      <c r="K7" s="1" t="str">
        <f t="shared" si="4"/>
        <v>#N/A</v>
      </c>
      <c r="L7" s="1" t="str">
        <f>IFERROR(VLOOKUP($K7,Players!$D:$E,2,FALSE),VLOOKUP($H7,Players!A:E,5,FALSE))</f>
        <v>QB</v>
      </c>
    </row>
    <row r="8" ht="15.75" customHeight="1">
      <c r="A8" s="1">
        <v>2021.0</v>
      </c>
      <c r="B8" s="1" t="s">
        <v>33</v>
      </c>
      <c r="C8" s="1" t="s">
        <v>13</v>
      </c>
      <c r="D8" s="8">
        <v>7.0</v>
      </c>
      <c r="E8" s="8" t="str">
        <f t="shared" si="1"/>
        <v>Non-Playoff Team</v>
      </c>
      <c r="F8" s="8">
        <v>7.0</v>
      </c>
      <c r="G8" s="8">
        <v>73.0</v>
      </c>
      <c r="H8" s="1" t="s">
        <v>84</v>
      </c>
      <c r="I8" s="1" t="str">
        <f t="shared" si="2"/>
        <v>Jerry</v>
      </c>
      <c r="J8" s="1" t="str">
        <f t="shared" si="3"/>
        <v>Jeudy</v>
      </c>
      <c r="K8" s="1" t="str">
        <f t="shared" si="4"/>
        <v>#N/A</v>
      </c>
      <c r="L8" s="1" t="str">
        <f>IFERROR(VLOOKUP($K8,Players!$D:$E,2,FALSE),VLOOKUP($H8,Players!A:E,5,FALSE))</f>
        <v>WR</v>
      </c>
    </row>
    <row r="9" ht="15.75" customHeight="1">
      <c r="A9" s="1">
        <v>2021.0</v>
      </c>
      <c r="B9" s="1" t="s">
        <v>33</v>
      </c>
      <c r="C9" s="1" t="s">
        <v>13</v>
      </c>
      <c r="D9" s="8">
        <v>7.0</v>
      </c>
      <c r="E9" s="8" t="str">
        <f t="shared" si="1"/>
        <v>Non-Playoff Team</v>
      </c>
      <c r="F9" s="8">
        <v>8.0</v>
      </c>
      <c r="G9" s="8">
        <v>96.0</v>
      </c>
      <c r="H9" s="1" t="s">
        <v>85</v>
      </c>
      <c r="I9" s="1" t="str">
        <f t="shared" si="2"/>
        <v>James</v>
      </c>
      <c r="J9" s="1" t="str">
        <f t="shared" si="3"/>
        <v>Conner</v>
      </c>
      <c r="K9" s="1" t="str">
        <f t="shared" si="4"/>
        <v>#N/A</v>
      </c>
      <c r="L9" s="1" t="str">
        <f>IFERROR(VLOOKUP($K9,Players!$D:$E,2,FALSE),VLOOKUP($H9,Players!A:E,5,FALSE))</f>
        <v>RB</v>
      </c>
    </row>
    <row r="10" ht="15.75" customHeight="1">
      <c r="A10" s="1">
        <v>2021.0</v>
      </c>
      <c r="B10" s="1" t="s">
        <v>33</v>
      </c>
      <c r="C10" s="1" t="s">
        <v>13</v>
      </c>
      <c r="D10" s="8">
        <v>7.0</v>
      </c>
      <c r="E10" s="8" t="str">
        <f t="shared" si="1"/>
        <v>Non-Playoff Team</v>
      </c>
      <c r="F10" s="8">
        <v>9.0</v>
      </c>
      <c r="G10" s="8">
        <v>97.0</v>
      </c>
      <c r="H10" s="1" t="s">
        <v>86</v>
      </c>
      <c r="I10" s="1" t="str">
        <f t="shared" si="2"/>
        <v>DeVonta</v>
      </c>
      <c r="J10" s="1" t="str">
        <f t="shared" si="3"/>
        <v>Smith</v>
      </c>
      <c r="K10" s="1" t="str">
        <f t="shared" si="4"/>
        <v>#N/A</v>
      </c>
      <c r="L10" s="1" t="str">
        <f>IFERROR(VLOOKUP($K10,Players!$D:$E,2,FALSE),VLOOKUP($H10,Players!A:E,5,FALSE))</f>
        <v>WR</v>
      </c>
    </row>
    <row r="11" ht="15.75" customHeight="1">
      <c r="A11" s="1">
        <v>2021.0</v>
      </c>
      <c r="B11" s="1" t="s">
        <v>33</v>
      </c>
      <c r="C11" s="1" t="s">
        <v>13</v>
      </c>
      <c r="D11" s="8">
        <v>7.0</v>
      </c>
      <c r="E11" s="8" t="str">
        <f t="shared" si="1"/>
        <v>Non-Playoff Team</v>
      </c>
      <c r="F11" s="8">
        <v>10.0</v>
      </c>
      <c r="G11" s="8">
        <v>120.0</v>
      </c>
      <c r="H11" s="1" t="s">
        <v>87</v>
      </c>
      <c r="I11" s="1" t="str">
        <f t="shared" si="2"/>
        <v>#VALUE!</v>
      </c>
      <c r="J11" s="1" t="str">
        <f t="shared" si="3"/>
        <v>#VALUE!</v>
      </c>
      <c r="K11" s="1" t="str">
        <f t="shared" si="4"/>
        <v>#N/A</v>
      </c>
      <c r="L11" s="1" t="str">
        <f>IFERROR(VLOOKUP($K11,Players!$D:$E,2,FALSE),VLOOKUP($H11,Players!A:E,5,FALSE))</f>
        <v>DEF</v>
      </c>
    </row>
    <row r="12" ht="15.75" customHeight="1">
      <c r="A12" s="1">
        <v>2021.0</v>
      </c>
      <c r="B12" s="1" t="s">
        <v>33</v>
      </c>
      <c r="C12" s="1" t="s">
        <v>13</v>
      </c>
      <c r="D12" s="8">
        <v>7.0</v>
      </c>
      <c r="E12" s="8" t="str">
        <f t="shared" si="1"/>
        <v>Non-Playoff Team</v>
      </c>
      <c r="F12" s="8">
        <v>11.0</v>
      </c>
      <c r="G12" s="8">
        <v>121.0</v>
      </c>
      <c r="H12" s="1" t="s">
        <v>88</v>
      </c>
      <c r="I12" s="1" t="str">
        <f t="shared" si="2"/>
        <v>Tony</v>
      </c>
      <c r="J12" s="1" t="str">
        <f t="shared" si="3"/>
        <v>Pollard</v>
      </c>
      <c r="K12" s="1" t="str">
        <f t="shared" si="4"/>
        <v>#N/A</v>
      </c>
      <c r="L12" s="1" t="str">
        <f>IFERROR(VLOOKUP($K12,Players!$D:$E,2,FALSE),VLOOKUP($H12,Players!A:E,5,FALSE))</f>
        <v>RB</v>
      </c>
    </row>
    <row r="13" ht="15.75" customHeight="1">
      <c r="A13" s="1">
        <v>2021.0</v>
      </c>
      <c r="B13" s="1" t="s">
        <v>33</v>
      </c>
      <c r="C13" s="1" t="s">
        <v>13</v>
      </c>
      <c r="D13" s="8">
        <v>7.0</v>
      </c>
      <c r="E13" s="8" t="str">
        <f t="shared" si="1"/>
        <v>Non-Playoff Team</v>
      </c>
      <c r="F13" s="8">
        <v>12.0</v>
      </c>
      <c r="G13" s="8">
        <v>144.0</v>
      </c>
      <c r="H13" s="1" t="s">
        <v>89</v>
      </c>
      <c r="I13" s="1" t="str">
        <f t="shared" si="2"/>
        <v>Chuba</v>
      </c>
      <c r="J13" s="1" t="str">
        <f t="shared" si="3"/>
        <v>Hubbard</v>
      </c>
      <c r="K13" s="1" t="str">
        <f t="shared" si="4"/>
        <v>#N/A</v>
      </c>
      <c r="L13" s="1" t="str">
        <f>IFERROR(VLOOKUP($K13,Players!$D:$E,2,FALSE),VLOOKUP($H13,Players!A:E,5,FALSE))</f>
        <v>RB</v>
      </c>
    </row>
    <row r="14" ht="15.75" customHeight="1">
      <c r="A14" s="1">
        <v>2021.0</v>
      </c>
      <c r="B14" s="1" t="s">
        <v>33</v>
      </c>
      <c r="C14" s="1" t="s">
        <v>13</v>
      </c>
      <c r="D14" s="8">
        <v>7.0</v>
      </c>
      <c r="E14" s="8" t="str">
        <f t="shared" si="1"/>
        <v>Non-Playoff Team</v>
      </c>
      <c r="F14" s="8">
        <v>13.0</v>
      </c>
      <c r="G14" s="8">
        <v>145.0</v>
      </c>
      <c r="H14" s="1" t="s">
        <v>90</v>
      </c>
      <c r="I14" s="1" t="str">
        <f t="shared" si="2"/>
        <v>Ryan</v>
      </c>
      <c r="J14" s="1" t="str">
        <f t="shared" si="3"/>
        <v>Succop</v>
      </c>
      <c r="K14" s="1" t="str">
        <f t="shared" si="4"/>
        <v>#N/A</v>
      </c>
      <c r="L14" s="1" t="str">
        <f>IFERROR(VLOOKUP($K14,Players!$D:$E,2,FALSE),VLOOKUP($H14,Players!A:E,5,FALSE))</f>
        <v>K</v>
      </c>
    </row>
    <row r="15" ht="15.75" customHeight="1">
      <c r="A15" s="1">
        <v>2021.0</v>
      </c>
      <c r="B15" s="1" t="s">
        <v>33</v>
      </c>
      <c r="C15" s="1" t="s">
        <v>13</v>
      </c>
      <c r="D15" s="8">
        <v>7.0</v>
      </c>
      <c r="E15" s="8" t="str">
        <f t="shared" si="1"/>
        <v>Non-Playoff Team</v>
      </c>
      <c r="F15" s="8">
        <v>14.0</v>
      </c>
      <c r="G15" s="8">
        <v>168.0</v>
      </c>
      <c r="H15" s="1" t="s">
        <v>91</v>
      </c>
      <c r="I15" s="1" t="str">
        <f t="shared" si="2"/>
        <v>Tyrell</v>
      </c>
      <c r="J15" s="1" t="str">
        <f t="shared" si="3"/>
        <v>Williams</v>
      </c>
      <c r="K15" s="1" t="str">
        <f t="shared" si="4"/>
        <v>#N/A</v>
      </c>
      <c r="L15" s="1" t="str">
        <f>IFERROR(VLOOKUP($K15,Players!$D:$E,2,FALSE),VLOOKUP($H15,Players!A:E,5,FALSE))</f>
        <v>WR</v>
      </c>
    </row>
    <row r="16" ht="15.75" customHeight="1">
      <c r="A16" s="1">
        <v>2021.0</v>
      </c>
      <c r="B16" s="1" t="s">
        <v>33</v>
      </c>
      <c r="C16" s="1" t="s">
        <v>13</v>
      </c>
      <c r="D16" s="8">
        <v>7.0</v>
      </c>
      <c r="E16" s="8" t="str">
        <f t="shared" si="1"/>
        <v>Non-Playoff Team</v>
      </c>
      <c r="F16" s="8">
        <v>15.0</v>
      </c>
      <c r="G16" s="8">
        <v>169.0</v>
      </c>
      <c r="H16" s="1" t="s">
        <v>92</v>
      </c>
      <c r="I16" s="1" t="str">
        <f t="shared" si="2"/>
        <v>Devontae</v>
      </c>
      <c r="J16" s="1" t="str">
        <f t="shared" si="3"/>
        <v>Booker</v>
      </c>
      <c r="K16" s="1" t="str">
        <f t="shared" si="4"/>
        <v>#N/A</v>
      </c>
      <c r="L16" s="1" t="str">
        <f>IFERROR(VLOOKUP($K16,Players!$D:$E,2,FALSE),VLOOKUP($H16,Players!A:E,5,FALSE))</f>
        <v>#N/A</v>
      </c>
    </row>
    <row r="17" ht="15.75" customHeight="1">
      <c r="A17" s="1">
        <v>2021.0</v>
      </c>
      <c r="B17" s="1" t="s">
        <v>40</v>
      </c>
      <c r="C17" s="1" t="s">
        <v>19</v>
      </c>
      <c r="D17" s="8">
        <v>11.0</v>
      </c>
      <c r="E17" s="8" t="str">
        <f t="shared" si="1"/>
        <v>Non-Playoff Team</v>
      </c>
      <c r="F17" s="8">
        <v>1.0</v>
      </c>
      <c r="G17" s="8">
        <v>2.0</v>
      </c>
      <c r="H17" s="1" t="s">
        <v>93</v>
      </c>
      <c r="I17" s="1" t="str">
        <f t="shared" si="2"/>
        <v>Dalvin</v>
      </c>
      <c r="J17" s="1" t="str">
        <f t="shared" si="3"/>
        <v>Cook</v>
      </c>
      <c r="K17" s="1" t="str">
        <f t="shared" si="4"/>
        <v>#N/A</v>
      </c>
      <c r="L17" s="1" t="str">
        <f>IFERROR(VLOOKUP($K17,Players!$D:$E,2,FALSE),VLOOKUP($H17,Players!A:E,5,FALSE))</f>
        <v>RB</v>
      </c>
    </row>
    <row r="18" ht="15.75" customHeight="1">
      <c r="A18" s="1">
        <v>2021.0</v>
      </c>
      <c r="B18" s="1" t="s">
        <v>40</v>
      </c>
      <c r="C18" s="1" t="s">
        <v>19</v>
      </c>
      <c r="D18" s="8">
        <v>11.0</v>
      </c>
      <c r="E18" s="8" t="str">
        <f t="shared" si="1"/>
        <v>Non-Playoff Team</v>
      </c>
      <c r="F18" s="8">
        <v>2.0</v>
      </c>
      <c r="G18" s="8">
        <v>23.0</v>
      </c>
      <c r="H18" s="1" t="s">
        <v>94</v>
      </c>
      <c r="I18" s="1" t="str">
        <f t="shared" si="2"/>
        <v>Joe</v>
      </c>
      <c r="J18" s="1" t="str">
        <f t="shared" si="3"/>
        <v>Mixon</v>
      </c>
      <c r="K18" s="1" t="str">
        <f t="shared" si="4"/>
        <v>#N/A</v>
      </c>
      <c r="L18" s="1" t="str">
        <f>IFERROR(VLOOKUP($K18,Players!$D:$E,2,FALSE),VLOOKUP($H18,Players!A:E,5,FALSE))</f>
        <v>RB</v>
      </c>
    </row>
    <row r="19" ht="15.75" customHeight="1">
      <c r="A19" s="1">
        <v>2021.0</v>
      </c>
      <c r="B19" s="1" t="s">
        <v>40</v>
      </c>
      <c r="C19" s="1" t="s">
        <v>19</v>
      </c>
      <c r="D19" s="8">
        <v>11.0</v>
      </c>
      <c r="E19" s="8" t="str">
        <f t="shared" si="1"/>
        <v>Non-Playoff Team</v>
      </c>
      <c r="F19" s="8">
        <v>3.0</v>
      </c>
      <c r="G19" s="8">
        <v>26.0</v>
      </c>
      <c r="H19" s="1" t="s">
        <v>95</v>
      </c>
      <c r="I19" s="1" t="str">
        <f t="shared" si="2"/>
        <v>Allen</v>
      </c>
      <c r="J19" s="1" t="str">
        <f t="shared" si="3"/>
        <v>Robinson II</v>
      </c>
      <c r="K19" s="1" t="str">
        <f t="shared" si="4"/>
        <v>#N/A</v>
      </c>
      <c r="L19" s="1" t="str">
        <f>IFERROR(VLOOKUP($K19,Players!$D:$E,2,FALSE),VLOOKUP($H19,Players!A:E,5,FALSE))</f>
        <v>#N/A</v>
      </c>
    </row>
    <row r="20" ht="15.75" customHeight="1">
      <c r="A20" s="1">
        <v>2021.0</v>
      </c>
      <c r="B20" s="1" t="s">
        <v>40</v>
      </c>
      <c r="C20" s="1" t="s">
        <v>19</v>
      </c>
      <c r="D20" s="8">
        <v>11.0</v>
      </c>
      <c r="E20" s="8" t="str">
        <f t="shared" si="1"/>
        <v>Non-Playoff Team</v>
      </c>
      <c r="F20" s="8">
        <v>4.0</v>
      </c>
      <c r="G20" s="8">
        <v>47.0</v>
      </c>
      <c r="H20" s="1" t="s">
        <v>96</v>
      </c>
      <c r="I20" s="1" t="str">
        <f t="shared" si="2"/>
        <v>Julio</v>
      </c>
      <c r="J20" s="1" t="str">
        <f t="shared" si="3"/>
        <v>Jones</v>
      </c>
      <c r="K20" s="1" t="str">
        <f t="shared" si="4"/>
        <v>#N/A</v>
      </c>
      <c r="L20" s="1" t="str">
        <f>IFERROR(VLOOKUP($K20,Players!$D:$E,2,FALSE),VLOOKUP($H20,Players!A:E,5,FALSE))</f>
        <v>WR</v>
      </c>
    </row>
    <row r="21" ht="15.75" customHeight="1">
      <c r="A21" s="1">
        <v>2021.0</v>
      </c>
      <c r="B21" s="1" t="s">
        <v>40</v>
      </c>
      <c r="C21" s="1" t="s">
        <v>19</v>
      </c>
      <c r="D21" s="8">
        <v>11.0</v>
      </c>
      <c r="E21" s="8" t="str">
        <f t="shared" si="1"/>
        <v>Non-Playoff Team</v>
      </c>
      <c r="F21" s="8">
        <v>5.0</v>
      </c>
      <c r="G21" s="8">
        <v>50.0</v>
      </c>
      <c r="H21" s="1" t="s">
        <v>97</v>
      </c>
      <c r="I21" s="1" t="str">
        <f t="shared" si="2"/>
        <v>Josh</v>
      </c>
      <c r="J21" s="1" t="str">
        <f t="shared" si="3"/>
        <v>Jacobs</v>
      </c>
      <c r="K21" s="1" t="str">
        <f t="shared" si="4"/>
        <v>#N/A</v>
      </c>
      <c r="L21" s="1" t="str">
        <f>IFERROR(VLOOKUP($K21,Players!$D:$E,2,FALSE),VLOOKUP($H21,Players!A:E,5,FALSE))</f>
        <v>RB</v>
      </c>
    </row>
    <row r="22" ht="15.75" customHeight="1">
      <c r="A22" s="1">
        <v>2021.0</v>
      </c>
      <c r="B22" s="1" t="s">
        <v>40</v>
      </c>
      <c r="C22" s="1" t="s">
        <v>19</v>
      </c>
      <c r="D22" s="8">
        <v>11.0</v>
      </c>
      <c r="E22" s="8" t="str">
        <f t="shared" si="1"/>
        <v>Non-Playoff Team</v>
      </c>
      <c r="F22" s="8">
        <v>6.0</v>
      </c>
      <c r="G22" s="8">
        <v>71.0</v>
      </c>
      <c r="H22" s="1" t="s">
        <v>98</v>
      </c>
      <c r="I22" s="1" t="str">
        <f t="shared" si="2"/>
        <v>Deebo</v>
      </c>
      <c r="J22" s="1" t="str">
        <f t="shared" si="3"/>
        <v>Samuel</v>
      </c>
      <c r="K22" s="1" t="str">
        <f t="shared" si="4"/>
        <v>#N/A</v>
      </c>
      <c r="L22" s="1" t="str">
        <f>IFERROR(VLOOKUP($K22,Players!$D:$E,2,FALSE),VLOOKUP($H22,Players!A:E,5,FALSE))</f>
        <v>WR</v>
      </c>
    </row>
    <row r="23" ht="15.75" customHeight="1">
      <c r="A23" s="1">
        <v>2021.0</v>
      </c>
      <c r="B23" s="1" t="s">
        <v>40</v>
      </c>
      <c r="C23" s="1" t="s">
        <v>19</v>
      </c>
      <c r="D23" s="8">
        <v>11.0</v>
      </c>
      <c r="E23" s="8" t="str">
        <f t="shared" si="1"/>
        <v>Non-Playoff Team</v>
      </c>
      <c r="F23" s="8">
        <v>7.0</v>
      </c>
      <c r="G23" s="8">
        <v>74.0</v>
      </c>
      <c r="H23" s="1" t="s">
        <v>99</v>
      </c>
      <c r="I23" s="1" t="str">
        <f t="shared" si="2"/>
        <v>Robbie</v>
      </c>
      <c r="J23" s="1" t="str">
        <f t="shared" si="3"/>
        <v>Anderson</v>
      </c>
      <c r="K23" s="1" t="str">
        <f t="shared" si="4"/>
        <v>#N/A</v>
      </c>
      <c r="L23" s="1" t="str">
        <f>IFERROR(VLOOKUP($K23,Players!$D:$E,2,FALSE),VLOOKUP($H23,Players!A:E,5,FALSE))</f>
        <v>WR</v>
      </c>
    </row>
    <row r="24" ht="15.75" customHeight="1">
      <c r="A24" s="1">
        <v>2021.0</v>
      </c>
      <c r="B24" s="1" t="s">
        <v>40</v>
      </c>
      <c r="C24" s="1" t="s">
        <v>19</v>
      </c>
      <c r="D24" s="8">
        <v>11.0</v>
      </c>
      <c r="E24" s="8" t="str">
        <f t="shared" si="1"/>
        <v>Non-Playoff Team</v>
      </c>
      <c r="F24" s="8">
        <v>8.0</v>
      </c>
      <c r="G24" s="8">
        <v>95.0</v>
      </c>
      <c r="H24" s="1" t="s">
        <v>100</v>
      </c>
      <c r="I24" s="1" t="str">
        <f t="shared" si="2"/>
        <v>Trey</v>
      </c>
      <c r="J24" s="1" t="str">
        <f t="shared" si="3"/>
        <v>Lance</v>
      </c>
      <c r="K24" s="1" t="str">
        <f t="shared" si="4"/>
        <v>#N/A</v>
      </c>
      <c r="L24" s="1" t="str">
        <f>IFERROR(VLOOKUP($K24,Players!$D:$E,2,FALSE),VLOOKUP($H24,Players!A:E,5,FALSE))</f>
        <v>QB</v>
      </c>
    </row>
    <row r="25" ht="15.75" customHeight="1">
      <c r="A25" s="1">
        <v>2021.0</v>
      </c>
      <c r="B25" s="1" t="s">
        <v>40</v>
      </c>
      <c r="C25" s="1" t="s">
        <v>19</v>
      </c>
      <c r="D25" s="8">
        <v>11.0</v>
      </c>
      <c r="E25" s="8" t="str">
        <f t="shared" si="1"/>
        <v>Non-Playoff Team</v>
      </c>
      <c r="F25" s="8">
        <v>9.0</v>
      </c>
      <c r="G25" s="8">
        <v>98.0</v>
      </c>
      <c r="H25" s="1" t="s">
        <v>101</v>
      </c>
      <c r="I25" s="1" t="str">
        <f t="shared" si="2"/>
        <v>Tyler</v>
      </c>
      <c r="J25" s="1" t="str">
        <f t="shared" si="3"/>
        <v>Higbee</v>
      </c>
      <c r="K25" s="1" t="str">
        <f t="shared" si="4"/>
        <v>#N/A</v>
      </c>
      <c r="L25" s="1" t="str">
        <f>IFERROR(VLOOKUP($K25,Players!$D:$E,2,FALSE),VLOOKUP($H25,Players!A:E,5,FALSE))</f>
        <v>TE</v>
      </c>
    </row>
    <row r="26" ht="15.75" customHeight="1">
      <c r="A26" s="1">
        <v>2021.0</v>
      </c>
      <c r="B26" s="1" t="s">
        <v>40</v>
      </c>
      <c r="C26" s="1" t="s">
        <v>19</v>
      </c>
      <c r="D26" s="8">
        <v>11.0</v>
      </c>
      <c r="E26" s="8" t="str">
        <f t="shared" si="1"/>
        <v>Non-Playoff Team</v>
      </c>
      <c r="F26" s="8">
        <v>10.0</v>
      </c>
      <c r="G26" s="8">
        <v>119.0</v>
      </c>
      <c r="H26" s="1" t="s">
        <v>102</v>
      </c>
      <c r="I26" s="1" t="str">
        <f t="shared" si="2"/>
        <v>Nyheim</v>
      </c>
      <c r="J26" s="1" t="str">
        <f t="shared" si="3"/>
        <v>Hines</v>
      </c>
      <c r="K26" s="1" t="str">
        <f t="shared" si="4"/>
        <v>#N/A</v>
      </c>
      <c r="L26" s="1" t="str">
        <f>IFERROR(VLOOKUP($K26,Players!$D:$E,2,FALSE),VLOOKUP($H26,Players!A:E,5,FALSE))</f>
        <v>RB</v>
      </c>
    </row>
    <row r="27" ht="15.75" customHeight="1">
      <c r="A27" s="1">
        <v>2021.0</v>
      </c>
      <c r="B27" s="1" t="s">
        <v>40</v>
      </c>
      <c r="C27" s="1" t="s">
        <v>19</v>
      </c>
      <c r="D27" s="8">
        <v>11.0</v>
      </c>
      <c r="E27" s="8" t="str">
        <f t="shared" si="1"/>
        <v>Non-Playoff Team</v>
      </c>
      <c r="F27" s="8">
        <v>11.0</v>
      </c>
      <c r="G27" s="8">
        <v>122.0</v>
      </c>
      <c r="H27" s="1" t="s">
        <v>103</v>
      </c>
      <c r="I27" s="1" t="str">
        <f t="shared" si="2"/>
        <v>Cole</v>
      </c>
      <c r="J27" s="1" t="str">
        <f t="shared" si="3"/>
        <v>Beasley</v>
      </c>
      <c r="K27" s="1" t="str">
        <f t="shared" si="4"/>
        <v>#N/A</v>
      </c>
      <c r="L27" s="1" t="str">
        <f>IFERROR(VLOOKUP($K27,Players!$D:$E,2,FALSE),VLOOKUP($H27,Players!A:E,5,FALSE))</f>
        <v>WR</v>
      </c>
    </row>
    <row r="28" ht="15.75" customHeight="1">
      <c r="A28" s="1">
        <v>2021.0</v>
      </c>
      <c r="B28" s="1" t="s">
        <v>40</v>
      </c>
      <c r="C28" s="1" t="s">
        <v>19</v>
      </c>
      <c r="D28" s="8">
        <v>11.0</v>
      </c>
      <c r="E28" s="8" t="str">
        <f t="shared" si="1"/>
        <v>Non-Playoff Team</v>
      </c>
      <c r="F28" s="8">
        <v>12.0</v>
      </c>
      <c r="G28" s="8">
        <v>143.0</v>
      </c>
      <c r="H28" s="1" t="s">
        <v>104</v>
      </c>
      <c r="I28" s="1" t="str">
        <f t="shared" si="2"/>
        <v>Parris</v>
      </c>
      <c r="J28" s="1" t="str">
        <f t="shared" si="3"/>
        <v>Campbell</v>
      </c>
      <c r="K28" s="1" t="str">
        <f t="shared" si="4"/>
        <v>#N/A</v>
      </c>
      <c r="L28" s="1" t="str">
        <f>IFERROR(VLOOKUP($K28,Players!$D:$E,2,FALSE),VLOOKUP($H28,Players!A:E,5,FALSE))</f>
        <v>WR</v>
      </c>
    </row>
    <row r="29" ht="15.75" customHeight="1">
      <c r="A29" s="1">
        <v>2021.0</v>
      </c>
      <c r="B29" s="1" t="s">
        <v>40</v>
      </c>
      <c r="C29" s="1" t="s">
        <v>19</v>
      </c>
      <c r="D29" s="8">
        <v>11.0</v>
      </c>
      <c r="E29" s="8" t="str">
        <f t="shared" si="1"/>
        <v>Non-Playoff Team</v>
      </c>
      <c r="F29" s="8">
        <v>13.0</v>
      </c>
      <c r="G29" s="8">
        <v>146.0</v>
      </c>
      <c r="H29" s="1" t="s">
        <v>105</v>
      </c>
      <c r="I29" s="1" t="str">
        <f t="shared" si="2"/>
        <v>#VALUE!</v>
      </c>
      <c r="J29" s="1" t="str">
        <f t="shared" si="3"/>
        <v>#VALUE!</v>
      </c>
      <c r="K29" s="1" t="str">
        <f t="shared" si="4"/>
        <v>#N/A</v>
      </c>
      <c r="L29" s="1" t="str">
        <f>IFERROR(VLOOKUP($K29,Players!$D:$E,2,FALSE),VLOOKUP($H29,Players!A:E,5,FALSE))</f>
        <v>DEF</v>
      </c>
    </row>
    <row r="30" ht="15.75" customHeight="1">
      <c r="A30" s="1">
        <v>2021.0</v>
      </c>
      <c r="B30" s="1" t="s">
        <v>40</v>
      </c>
      <c r="C30" s="1" t="s">
        <v>19</v>
      </c>
      <c r="D30" s="8">
        <v>11.0</v>
      </c>
      <c r="E30" s="8" t="str">
        <f t="shared" si="1"/>
        <v>Non-Playoff Team</v>
      </c>
      <c r="F30" s="8">
        <v>14.0</v>
      </c>
      <c r="G30" s="8">
        <v>167.0</v>
      </c>
      <c r="H30" s="1" t="s">
        <v>106</v>
      </c>
      <c r="I30" s="1" t="str">
        <f t="shared" si="2"/>
        <v>Matt</v>
      </c>
      <c r="J30" s="1" t="str">
        <f t="shared" si="3"/>
        <v>Gay</v>
      </c>
      <c r="K30" s="1" t="str">
        <f t="shared" si="4"/>
        <v>#N/A</v>
      </c>
      <c r="L30" s="1" t="str">
        <f>IFERROR(VLOOKUP($K30,Players!$D:$E,2,FALSE),VLOOKUP($H30,Players!A:E,5,FALSE))</f>
        <v>K</v>
      </c>
    </row>
    <row r="31" ht="15.75" customHeight="1">
      <c r="A31" s="1">
        <v>2021.0</v>
      </c>
      <c r="B31" s="1" t="s">
        <v>40</v>
      </c>
      <c r="C31" s="1" t="s">
        <v>19</v>
      </c>
      <c r="D31" s="8">
        <v>11.0</v>
      </c>
      <c r="E31" s="8" t="str">
        <f t="shared" si="1"/>
        <v>Non-Playoff Team</v>
      </c>
      <c r="F31" s="8">
        <v>15.0</v>
      </c>
      <c r="G31" s="8">
        <v>170.0</v>
      </c>
      <c r="H31" s="1" t="s">
        <v>107</v>
      </c>
      <c r="I31" s="1" t="str">
        <f t="shared" si="2"/>
        <v>Matt</v>
      </c>
      <c r="J31" s="1" t="str">
        <f t="shared" si="3"/>
        <v>Ryan</v>
      </c>
      <c r="K31" s="1" t="str">
        <f t="shared" si="4"/>
        <v>#N/A</v>
      </c>
      <c r="L31" s="1" t="str">
        <f>IFERROR(VLOOKUP($K31,Players!$D:$E,2,FALSE),VLOOKUP($H31,Players!A:E,5,FALSE))</f>
        <v>#N/A</v>
      </c>
    </row>
    <row r="32" ht="15.75" customHeight="1">
      <c r="A32" s="1">
        <v>2021.0</v>
      </c>
      <c r="B32" s="1" t="s">
        <v>27</v>
      </c>
      <c r="C32" s="1" t="s">
        <v>23</v>
      </c>
      <c r="D32" s="8">
        <v>4.0</v>
      </c>
      <c r="E32" s="8" t="str">
        <f t="shared" si="1"/>
        <v>Playoff Team</v>
      </c>
      <c r="F32" s="8">
        <v>1.0</v>
      </c>
      <c r="G32" s="8">
        <v>3.0</v>
      </c>
      <c r="H32" s="1" t="s">
        <v>108</v>
      </c>
      <c r="I32" s="1" t="str">
        <f t="shared" si="2"/>
        <v>Alvin</v>
      </c>
      <c r="J32" s="1" t="str">
        <f t="shared" si="3"/>
        <v>Kamara</v>
      </c>
      <c r="K32" s="1" t="str">
        <f t="shared" si="4"/>
        <v>#N/A</v>
      </c>
      <c r="L32" s="1" t="str">
        <f>IFERROR(VLOOKUP($K32,Players!$D:$E,2,FALSE),VLOOKUP($H32,Players!A:E,5,FALSE))</f>
        <v>RB</v>
      </c>
    </row>
    <row r="33" ht="15.75" customHeight="1">
      <c r="A33" s="1">
        <v>2021.0</v>
      </c>
      <c r="B33" s="1" t="s">
        <v>27</v>
      </c>
      <c r="C33" s="1" t="s">
        <v>23</v>
      </c>
      <c r="D33" s="8">
        <v>4.0</v>
      </c>
      <c r="E33" s="8" t="str">
        <f t="shared" si="1"/>
        <v>Playoff Team</v>
      </c>
      <c r="F33" s="8">
        <v>2.0</v>
      </c>
      <c r="G33" s="8">
        <v>22.0</v>
      </c>
      <c r="H33" s="1" t="s">
        <v>109</v>
      </c>
      <c r="I33" s="1" t="str">
        <f t="shared" si="2"/>
        <v>Antonio</v>
      </c>
      <c r="J33" s="1" t="str">
        <f t="shared" si="3"/>
        <v>Gibson</v>
      </c>
      <c r="K33" s="1" t="str">
        <f t="shared" si="4"/>
        <v>#N/A</v>
      </c>
      <c r="L33" s="1" t="str">
        <f>IFERROR(VLOOKUP($K33,Players!$D:$E,2,FALSE),VLOOKUP($H33,Players!A:E,5,FALSE))</f>
        <v>RB</v>
      </c>
    </row>
    <row r="34" ht="15.75" customHeight="1">
      <c r="A34" s="1">
        <v>2021.0</v>
      </c>
      <c r="B34" s="1" t="s">
        <v>27</v>
      </c>
      <c r="C34" s="1" t="s">
        <v>23</v>
      </c>
      <c r="D34" s="8">
        <v>4.0</v>
      </c>
      <c r="E34" s="8" t="str">
        <f t="shared" si="1"/>
        <v>Playoff Team</v>
      </c>
      <c r="F34" s="8">
        <v>3.0</v>
      </c>
      <c r="G34" s="8">
        <v>27.0</v>
      </c>
      <c r="H34" s="1" t="s">
        <v>110</v>
      </c>
      <c r="I34" s="1" t="str">
        <f t="shared" si="2"/>
        <v>Patrick</v>
      </c>
      <c r="J34" s="1" t="str">
        <f t="shared" si="3"/>
        <v>Mahomes</v>
      </c>
      <c r="K34" s="1" t="str">
        <f t="shared" si="4"/>
        <v>#N/A</v>
      </c>
      <c r="L34" s="1" t="str">
        <f>IFERROR(VLOOKUP($K34,Players!$D:$E,2,FALSE),VLOOKUP($H34,Players!A:E,5,FALSE))</f>
        <v>QB</v>
      </c>
    </row>
    <row r="35" ht="15.75" customHeight="1">
      <c r="A35" s="1">
        <v>2021.0</v>
      </c>
      <c r="B35" s="1" t="s">
        <v>27</v>
      </c>
      <c r="C35" s="1" t="s">
        <v>23</v>
      </c>
      <c r="D35" s="8">
        <v>4.0</v>
      </c>
      <c r="E35" s="8" t="str">
        <f t="shared" si="1"/>
        <v>Playoff Team</v>
      </c>
      <c r="F35" s="8">
        <v>4.0</v>
      </c>
      <c r="G35" s="8">
        <v>46.0</v>
      </c>
      <c r="H35" s="1" t="s">
        <v>111</v>
      </c>
      <c r="I35" s="1" t="str">
        <f t="shared" si="2"/>
        <v>DJ</v>
      </c>
      <c r="J35" s="1" t="str">
        <f t="shared" si="3"/>
        <v>Moore</v>
      </c>
      <c r="K35" s="1" t="str">
        <f t="shared" si="4"/>
        <v>#N/A</v>
      </c>
      <c r="L35" s="1" t="str">
        <f>IFERROR(VLOOKUP($K35,Players!$D:$E,2,FALSE),VLOOKUP($H35,Players!A:E,5,FALSE))</f>
        <v>#N/A</v>
      </c>
    </row>
    <row r="36" ht="15.75" customHeight="1">
      <c r="A36" s="1">
        <v>2021.0</v>
      </c>
      <c r="B36" s="1" t="s">
        <v>27</v>
      </c>
      <c r="C36" s="1" t="s">
        <v>23</v>
      </c>
      <c r="D36" s="8">
        <v>4.0</v>
      </c>
      <c r="E36" s="8" t="str">
        <f t="shared" si="1"/>
        <v>Playoff Team</v>
      </c>
      <c r="F36" s="8">
        <v>5.0</v>
      </c>
      <c r="G36" s="8">
        <v>51.0</v>
      </c>
      <c r="H36" s="1" t="s">
        <v>112</v>
      </c>
      <c r="I36" s="1" t="str">
        <f t="shared" si="2"/>
        <v>Adam</v>
      </c>
      <c r="J36" s="1" t="str">
        <f t="shared" si="3"/>
        <v>Thielen</v>
      </c>
      <c r="K36" s="1" t="str">
        <f t="shared" si="4"/>
        <v>#N/A</v>
      </c>
      <c r="L36" s="1" t="str">
        <f>IFERROR(VLOOKUP($K36,Players!$D:$E,2,FALSE),VLOOKUP($H36,Players!A:E,5,FALSE))</f>
        <v>WR</v>
      </c>
    </row>
    <row r="37" ht="15.75" customHeight="1">
      <c r="A37" s="1">
        <v>2021.0</v>
      </c>
      <c r="B37" s="1" t="s">
        <v>27</v>
      </c>
      <c r="C37" s="1" t="s">
        <v>23</v>
      </c>
      <c r="D37" s="8">
        <v>4.0</v>
      </c>
      <c r="E37" s="8" t="str">
        <f t="shared" si="1"/>
        <v>Playoff Team</v>
      </c>
      <c r="F37" s="8">
        <v>6.0</v>
      </c>
      <c r="G37" s="8">
        <v>70.0</v>
      </c>
      <c r="H37" s="1" t="s">
        <v>113</v>
      </c>
      <c r="I37" s="1" t="str">
        <f t="shared" si="2"/>
        <v>Kareem</v>
      </c>
      <c r="J37" s="1" t="str">
        <f t="shared" si="3"/>
        <v>Hunt</v>
      </c>
      <c r="K37" s="1" t="str">
        <f t="shared" si="4"/>
        <v>#N/A</v>
      </c>
      <c r="L37" s="1" t="str">
        <f>IFERROR(VLOOKUP($K37,Players!$D:$E,2,FALSE),VLOOKUP($H37,Players!A:E,5,FALSE))</f>
        <v>RB</v>
      </c>
    </row>
    <row r="38" ht="15.75" customHeight="1">
      <c r="A38" s="1">
        <v>2021.0</v>
      </c>
      <c r="B38" s="1" t="s">
        <v>27</v>
      </c>
      <c r="C38" s="1" t="s">
        <v>23</v>
      </c>
      <c r="D38" s="8">
        <v>4.0</v>
      </c>
      <c r="E38" s="8" t="str">
        <f t="shared" si="1"/>
        <v>Playoff Team</v>
      </c>
      <c r="F38" s="8">
        <v>7.0</v>
      </c>
      <c r="G38" s="8">
        <v>75.0</v>
      </c>
      <c r="H38" s="1" t="s">
        <v>114</v>
      </c>
      <c r="I38" s="1" t="str">
        <f t="shared" si="2"/>
        <v>Tee</v>
      </c>
      <c r="J38" s="1" t="str">
        <f t="shared" si="3"/>
        <v>Higgins</v>
      </c>
      <c r="K38" s="1" t="str">
        <f t="shared" si="4"/>
        <v>#N/A</v>
      </c>
      <c r="L38" s="1" t="str">
        <f>IFERROR(VLOOKUP($K38,Players!$D:$E,2,FALSE),VLOOKUP($H38,Players!A:E,5,FALSE))</f>
        <v>WR</v>
      </c>
    </row>
    <row r="39" ht="15.75" customHeight="1">
      <c r="A39" s="1">
        <v>2021.0</v>
      </c>
      <c r="B39" s="1" t="s">
        <v>27</v>
      </c>
      <c r="C39" s="1" t="s">
        <v>23</v>
      </c>
      <c r="D39" s="8">
        <v>4.0</v>
      </c>
      <c r="E39" s="8" t="str">
        <f t="shared" si="1"/>
        <v>Playoff Team</v>
      </c>
      <c r="F39" s="8">
        <v>8.0</v>
      </c>
      <c r="G39" s="8">
        <v>94.0</v>
      </c>
      <c r="H39" s="1" t="s">
        <v>115</v>
      </c>
      <c r="I39" s="1" t="str">
        <f t="shared" si="2"/>
        <v>Tampa</v>
      </c>
      <c r="J39" s="1" t="str">
        <f t="shared" si="3"/>
        <v>Bay</v>
      </c>
      <c r="K39" s="1" t="str">
        <f t="shared" si="4"/>
        <v>#N/A</v>
      </c>
      <c r="L39" s="1" t="str">
        <f>IFERROR(VLOOKUP($K39,Players!$D:$E,2,FALSE),VLOOKUP($H39,Players!A:E,5,FALSE))</f>
        <v>DEF</v>
      </c>
    </row>
    <row r="40" ht="15.75" customHeight="1">
      <c r="A40" s="1">
        <v>2021.0</v>
      </c>
      <c r="B40" s="1" t="s">
        <v>27</v>
      </c>
      <c r="C40" s="1" t="s">
        <v>23</v>
      </c>
      <c r="D40" s="8">
        <v>4.0</v>
      </c>
      <c r="E40" s="8" t="str">
        <f t="shared" si="1"/>
        <v>Playoff Team</v>
      </c>
      <c r="F40" s="8">
        <v>9.0</v>
      </c>
      <c r="G40" s="8">
        <v>99.0</v>
      </c>
      <c r="H40" s="1" t="s">
        <v>116</v>
      </c>
      <c r="I40" s="1" t="str">
        <f t="shared" si="2"/>
        <v>Marquez</v>
      </c>
      <c r="J40" s="1" t="str">
        <f t="shared" si="3"/>
        <v>Callaway</v>
      </c>
      <c r="K40" s="1" t="str">
        <f t="shared" si="4"/>
        <v>#N/A</v>
      </c>
      <c r="L40" s="1" t="str">
        <f>IFERROR(VLOOKUP($K40,Players!$D:$E,2,FALSE),VLOOKUP($H40,Players!A:E,5,FALSE))</f>
        <v>WR</v>
      </c>
    </row>
    <row r="41" ht="15.75" customHeight="1">
      <c r="A41" s="1">
        <v>2021.0</v>
      </c>
      <c r="B41" s="1" t="s">
        <v>27</v>
      </c>
      <c r="C41" s="1" t="s">
        <v>23</v>
      </c>
      <c r="D41" s="8">
        <v>4.0</v>
      </c>
      <c r="E41" s="8" t="str">
        <f t="shared" si="1"/>
        <v>Playoff Team</v>
      </c>
      <c r="F41" s="8">
        <v>10.0</v>
      </c>
      <c r="G41" s="8">
        <v>118.0</v>
      </c>
      <c r="H41" s="1" t="s">
        <v>117</v>
      </c>
      <c r="I41" s="1" t="str">
        <f t="shared" si="2"/>
        <v>Jarvis</v>
      </c>
      <c r="J41" s="1" t="str">
        <f t="shared" si="3"/>
        <v>Landry</v>
      </c>
      <c r="K41" s="1" t="str">
        <f t="shared" si="4"/>
        <v>#N/A</v>
      </c>
      <c r="L41" s="1" t="str">
        <f>IFERROR(VLOOKUP($K41,Players!$D:$E,2,FALSE),VLOOKUP($H41,Players!A:E,5,FALSE))</f>
        <v>WR</v>
      </c>
    </row>
    <row r="42" ht="15.75" customHeight="1">
      <c r="A42" s="1">
        <v>2021.0</v>
      </c>
      <c r="B42" s="1" t="s">
        <v>27</v>
      </c>
      <c r="C42" s="1" t="s">
        <v>23</v>
      </c>
      <c r="D42" s="8">
        <v>4.0</v>
      </c>
      <c r="E42" s="8" t="str">
        <f t="shared" si="1"/>
        <v>Playoff Team</v>
      </c>
      <c r="F42" s="8">
        <v>11.0</v>
      </c>
      <c r="G42" s="8">
        <v>123.0</v>
      </c>
      <c r="H42" s="1" t="s">
        <v>118</v>
      </c>
      <c r="I42" s="1" t="str">
        <f t="shared" si="2"/>
        <v>Mike</v>
      </c>
      <c r="J42" s="1" t="str">
        <f t="shared" si="3"/>
        <v>Gesicki</v>
      </c>
      <c r="K42" s="1" t="str">
        <f t="shared" si="4"/>
        <v>#N/A</v>
      </c>
      <c r="L42" s="1" t="str">
        <f>IFERROR(VLOOKUP($K42,Players!$D:$E,2,FALSE),VLOOKUP($H42,Players!A:E,5,FALSE))</f>
        <v>TE</v>
      </c>
    </row>
    <row r="43" ht="15.75" customHeight="1">
      <c r="A43" s="1">
        <v>2021.0</v>
      </c>
      <c r="B43" s="1" t="s">
        <v>27</v>
      </c>
      <c r="C43" s="1" t="s">
        <v>23</v>
      </c>
      <c r="D43" s="8">
        <v>4.0</v>
      </c>
      <c r="E43" s="8" t="str">
        <f t="shared" si="1"/>
        <v>Playoff Team</v>
      </c>
      <c r="F43" s="8">
        <v>12.0</v>
      </c>
      <c r="G43" s="8">
        <v>142.0</v>
      </c>
      <c r="H43" s="1" t="s">
        <v>119</v>
      </c>
      <c r="I43" s="1" t="str">
        <f t="shared" si="2"/>
        <v>Marquise</v>
      </c>
      <c r="J43" s="1" t="str">
        <f t="shared" si="3"/>
        <v>Brown</v>
      </c>
      <c r="K43" s="1" t="str">
        <f t="shared" si="4"/>
        <v>#N/A</v>
      </c>
      <c r="L43" s="1" t="str">
        <f>IFERROR(VLOOKUP($K43,Players!$D:$E,2,FALSE),VLOOKUP($H43,Players!A:E,5,FALSE))</f>
        <v>WR</v>
      </c>
    </row>
    <row r="44" ht="15.75" customHeight="1">
      <c r="A44" s="1">
        <v>2021.0</v>
      </c>
      <c r="B44" s="1" t="s">
        <v>27</v>
      </c>
      <c r="C44" s="1" t="s">
        <v>23</v>
      </c>
      <c r="D44" s="8">
        <v>4.0</v>
      </c>
      <c r="E44" s="8" t="str">
        <f t="shared" si="1"/>
        <v>Playoff Team</v>
      </c>
      <c r="F44" s="8">
        <v>13.0</v>
      </c>
      <c r="G44" s="8">
        <v>147.0</v>
      </c>
      <c r="H44" s="1" t="s">
        <v>120</v>
      </c>
      <c r="I44" s="1" t="str">
        <f t="shared" si="2"/>
        <v>JD</v>
      </c>
      <c r="J44" s="1" t="str">
        <f t="shared" si="3"/>
        <v>McKissic</v>
      </c>
      <c r="K44" s="1" t="str">
        <f t="shared" si="4"/>
        <v>#N/A</v>
      </c>
      <c r="L44" s="1" t="str">
        <f>IFERROR(VLOOKUP($K44,Players!$D:$E,2,FALSE),VLOOKUP($H44,Players!A:E,5,FALSE))</f>
        <v>RB</v>
      </c>
    </row>
    <row r="45" ht="15.75" customHeight="1">
      <c r="A45" s="1">
        <v>2021.0</v>
      </c>
      <c r="B45" s="1" t="s">
        <v>27</v>
      </c>
      <c r="C45" s="1" t="s">
        <v>23</v>
      </c>
      <c r="D45" s="8">
        <v>4.0</v>
      </c>
      <c r="E45" s="8" t="str">
        <f t="shared" si="1"/>
        <v>Playoff Team</v>
      </c>
      <c r="F45" s="8">
        <v>14.0</v>
      </c>
      <c r="G45" s="8">
        <v>166.0</v>
      </c>
      <c r="H45" s="1" t="s">
        <v>121</v>
      </c>
      <c r="I45" s="1" t="str">
        <f t="shared" si="2"/>
        <v>Jalen</v>
      </c>
      <c r="J45" s="1" t="str">
        <f t="shared" si="3"/>
        <v>Reagor</v>
      </c>
      <c r="K45" s="1" t="str">
        <f t="shared" si="4"/>
        <v>#N/A</v>
      </c>
      <c r="L45" s="1" t="str">
        <f>IFERROR(VLOOKUP($K45,Players!$D:$E,2,FALSE),VLOOKUP($H45,Players!A:E,5,FALSE))</f>
        <v>WR</v>
      </c>
    </row>
    <row r="46" ht="15.75" customHeight="1">
      <c r="A46" s="1">
        <v>2021.0</v>
      </c>
      <c r="B46" s="1" t="s">
        <v>27</v>
      </c>
      <c r="C46" s="1" t="s">
        <v>23</v>
      </c>
      <c r="D46" s="8">
        <v>4.0</v>
      </c>
      <c r="E46" s="8" t="str">
        <f t="shared" si="1"/>
        <v>Playoff Team</v>
      </c>
      <c r="F46" s="8">
        <v>15.0</v>
      </c>
      <c r="G46" s="8">
        <v>171.0</v>
      </c>
      <c r="H46" s="1" t="s">
        <v>122</v>
      </c>
      <c r="I46" s="1" t="str">
        <f t="shared" si="2"/>
        <v>Jason</v>
      </c>
      <c r="J46" s="1" t="str">
        <f t="shared" si="3"/>
        <v>Sanders</v>
      </c>
      <c r="K46" s="1" t="str">
        <f t="shared" si="4"/>
        <v>#N/A</v>
      </c>
      <c r="L46" s="1" t="str">
        <f>IFERROR(VLOOKUP($K46,Players!$D:$E,2,FALSE),VLOOKUP($H46,Players!A:E,5,FALSE))</f>
        <v>K</v>
      </c>
    </row>
    <row r="47" ht="15.75" customHeight="1">
      <c r="A47" s="1">
        <v>2021.0</v>
      </c>
      <c r="B47" s="1" t="s">
        <v>29</v>
      </c>
      <c r="C47" s="1" t="s">
        <v>20</v>
      </c>
      <c r="D47" s="8">
        <v>5.0</v>
      </c>
      <c r="E47" s="8" t="str">
        <f t="shared" si="1"/>
        <v>Playoff Team</v>
      </c>
      <c r="F47" s="8">
        <v>1.0</v>
      </c>
      <c r="G47" s="8">
        <v>4.0</v>
      </c>
      <c r="H47" s="1" t="s">
        <v>123</v>
      </c>
      <c r="I47" s="1" t="str">
        <f t="shared" si="2"/>
        <v>Ezekiel</v>
      </c>
      <c r="J47" s="1" t="str">
        <f t="shared" si="3"/>
        <v>Elliott</v>
      </c>
      <c r="K47" s="1" t="str">
        <f t="shared" si="4"/>
        <v>#N/A</v>
      </c>
      <c r="L47" s="1" t="str">
        <f>IFERROR(VLOOKUP($K47,Players!$D:$E,2,FALSE),VLOOKUP($H47,Players!A:E,5,FALSE))</f>
        <v>RB</v>
      </c>
    </row>
    <row r="48" ht="15.75" customHeight="1">
      <c r="A48" s="1">
        <v>2021.0</v>
      </c>
      <c r="B48" s="1" t="s">
        <v>29</v>
      </c>
      <c r="C48" s="1" t="s">
        <v>20</v>
      </c>
      <c r="D48" s="8">
        <v>5.0</v>
      </c>
      <c r="E48" s="8" t="str">
        <f t="shared" si="1"/>
        <v>Playoff Team</v>
      </c>
      <c r="F48" s="8">
        <v>2.0</v>
      </c>
      <c r="G48" s="8">
        <v>21.0</v>
      </c>
      <c r="H48" s="1" t="s">
        <v>124</v>
      </c>
      <c r="I48" s="1" t="str">
        <f t="shared" si="2"/>
        <v>Justin</v>
      </c>
      <c r="J48" s="1" t="str">
        <f t="shared" si="3"/>
        <v>Jefferson</v>
      </c>
      <c r="K48" s="1" t="str">
        <f t="shared" si="4"/>
        <v>#N/A</v>
      </c>
      <c r="L48" s="1" t="str">
        <f>IFERROR(VLOOKUP($K48,Players!$D:$E,2,FALSE),VLOOKUP($H48,Players!A:E,5,FALSE))</f>
        <v>WR</v>
      </c>
    </row>
    <row r="49" ht="15.75" customHeight="1">
      <c r="A49" s="1">
        <v>2021.0</v>
      </c>
      <c r="B49" s="1" t="s">
        <v>29</v>
      </c>
      <c r="C49" s="1" t="s">
        <v>20</v>
      </c>
      <c r="D49" s="8">
        <v>5.0</v>
      </c>
      <c r="E49" s="8" t="str">
        <f t="shared" si="1"/>
        <v>Playoff Team</v>
      </c>
      <c r="F49" s="8">
        <v>3.0</v>
      </c>
      <c r="G49" s="8">
        <v>28.0</v>
      </c>
      <c r="H49" s="1" t="s">
        <v>125</v>
      </c>
      <c r="I49" s="1" t="str">
        <f t="shared" si="2"/>
        <v>Terry</v>
      </c>
      <c r="J49" s="1" t="str">
        <f t="shared" si="3"/>
        <v>McLaurin</v>
      </c>
      <c r="K49" s="1" t="str">
        <f t="shared" si="4"/>
        <v>#N/A</v>
      </c>
      <c r="L49" s="1" t="str">
        <f>IFERROR(VLOOKUP($K49,Players!$D:$E,2,FALSE),VLOOKUP($H49,Players!A:E,5,FALSE))</f>
        <v>WR</v>
      </c>
    </row>
    <row r="50" ht="15.75" customHeight="1">
      <c r="A50" s="1">
        <v>2021.0</v>
      </c>
      <c r="B50" s="1" t="s">
        <v>29</v>
      </c>
      <c r="C50" s="1" t="s">
        <v>20</v>
      </c>
      <c r="D50" s="8">
        <v>5.0</v>
      </c>
      <c r="E50" s="8" t="str">
        <f t="shared" si="1"/>
        <v>Playoff Team</v>
      </c>
      <c r="F50" s="8">
        <v>4.0</v>
      </c>
      <c r="G50" s="8">
        <v>45.0</v>
      </c>
      <c r="H50" s="1" t="s">
        <v>126</v>
      </c>
      <c r="I50" s="1" t="str">
        <f t="shared" si="2"/>
        <v>Kyle</v>
      </c>
      <c r="J50" s="1" t="str">
        <f t="shared" si="3"/>
        <v>Pitts</v>
      </c>
      <c r="K50" s="1" t="str">
        <f t="shared" si="4"/>
        <v>#N/A</v>
      </c>
      <c r="L50" s="1" t="str">
        <f>IFERROR(VLOOKUP($K50,Players!$D:$E,2,FALSE),VLOOKUP($H50,Players!A:E,5,FALSE))</f>
        <v>TE</v>
      </c>
    </row>
    <row r="51" ht="15.75" customHeight="1">
      <c r="A51" s="1">
        <v>2021.0</v>
      </c>
      <c r="B51" s="1" t="s">
        <v>29</v>
      </c>
      <c r="C51" s="1" t="s">
        <v>20</v>
      </c>
      <c r="D51" s="8">
        <v>5.0</v>
      </c>
      <c r="E51" s="8" t="str">
        <f t="shared" si="1"/>
        <v>Playoff Team</v>
      </c>
      <c r="F51" s="8">
        <v>5.0</v>
      </c>
      <c r="G51" s="8">
        <v>52.0</v>
      </c>
      <c r="H51" s="1" t="s">
        <v>127</v>
      </c>
      <c r="I51" s="1" t="str">
        <f t="shared" si="2"/>
        <v>Damien</v>
      </c>
      <c r="J51" s="1" t="str">
        <f t="shared" si="3"/>
        <v>Harris</v>
      </c>
      <c r="K51" s="1" t="str">
        <f t="shared" si="4"/>
        <v>#N/A</v>
      </c>
      <c r="L51" s="1" t="str">
        <f>IFERROR(VLOOKUP($K51,Players!$D:$E,2,FALSE),VLOOKUP($H51,Players!A:E,5,FALSE))</f>
        <v>RB</v>
      </c>
    </row>
    <row r="52" ht="15.75" customHeight="1">
      <c r="A52" s="1">
        <v>2021.0</v>
      </c>
      <c r="B52" s="1" t="s">
        <v>29</v>
      </c>
      <c r="C52" s="1" t="s">
        <v>20</v>
      </c>
      <c r="D52" s="8">
        <v>5.0</v>
      </c>
      <c r="E52" s="8" t="str">
        <f t="shared" si="1"/>
        <v>Playoff Team</v>
      </c>
      <c r="F52" s="8">
        <v>6.0</v>
      </c>
      <c r="G52" s="8">
        <v>69.0</v>
      </c>
      <c r="H52" s="1" t="s">
        <v>128</v>
      </c>
      <c r="I52" s="1" t="str">
        <f t="shared" si="2"/>
        <v>Justin</v>
      </c>
      <c r="J52" s="1" t="str">
        <f t="shared" si="3"/>
        <v>Herbert</v>
      </c>
      <c r="K52" s="1" t="str">
        <f t="shared" si="4"/>
        <v>#N/A</v>
      </c>
      <c r="L52" s="1" t="str">
        <f>IFERROR(VLOOKUP($K52,Players!$D:$E,2,FALSE),VLOOKUP($H52,Players!A:E,5,FALSE))</f>
        <v>QB</v>
      </c>
    </row>
    <row r="53" ht="15.75" customHeight="1">
      <c r="A53" s="1">
        <v>2021.0</v>
      </c>
      <c r="B53" s="1" t="s">
        <v>29</v>
      </c>
      <c r="C53" s="1" t="s">
        <v>20</v>
      </c>
      <c r="D53" s="8">
        <v>5.0</v>
      </c>
      <c r="E53" s="8" t="str">
        <f t="shared" si="1"/>
        <v>Playoff Team</v>
      </c>
      <c r="F53" s="8">
        <v>7.0</v>
      </c>
      <c r="G53" s="8">
        <v>76.0</v>
      </c>
      <c r="H53" s="1" t="s">
        <v>129</v>
      </c>
      <c r="I53" s="1" t="str">
        <f t="shared" si="2"/>
        <v>Trey</v>
      </c>
      <c r="J53" s="1" t="str">
        <f t="shared" si="3"/>
        <v>Sermon</v>
      </c>
      <c r="K53" s="1" t="str">
        <f t="shared" si="4"/>
        <v>#N/A</v>
      </c>
      <c r="L53" s="1" t="str">
        <f>IFERROR(VLOOKUP($K53,Players!$D:$E,2,FALSE),VLOOKUP($H53,Players!A:E,5,FALSE))</f>
        <v>RB</v>
      </c>
    </row>
    <row r="54" ht="15.75" customHeight="1">
      <c r="A54" s="1">
        <v>2021.0</v>
      </c>
      <c r="B54" s="1" t="s">
        <v>29</v>
      </c>
      <c r="C54" s="1" t="s">
        <v>20</v>
      </c>
      <c r="D54" s="8">
        <v>5.0</v>
      </c>
      <c r="E54" s="8" t="str">
        <f t="shared" si="1"/>
        <v>Playoff Team</v>
      </c>
      <c r="F54" s="8">
        <v>8.0</v>
      </c>
      <c r="G54" s="8">
        <v>93.0</v>
      </c>
      <c r="H54" s="1" t="s">
        <v>130</v>
      </c>
      <c r="I54" s="1" t="str">
        <f t="shared" si="2"/>
        <v>Kenny</v>
      </c>
      <c r="J54" s="1" t="str">
        <f t="shared" si="3"/>
        <v>Golladay</v>
      </c>
      <c r="K54" s="1" t="str">
        <f t="shared" si="4"/>
        <v>#N/A</v>
      </c>
      <c r="L54" s="1" t="str">
        <f>IFERROR(VLOOKUP($K54,Players!$D:$E,2,FALSE),VLOOKUP($H54,Players!A:E,5,FALSE))</f>
        <v>WR</v>
      </c>
    </row>
    <row r="55" ht="15.75" customHeight="1">
      <c r="A55" s="1">
        <v>2021.0</v>
      </c>
      <c r="B55" s="1" t="s">
        <v>29</v>
      </c>
      <c r="C55" s="1" t="s">
        <v>20</v>
      </c>
      <c r="D55" s="8">
        <v>5.0</v>
      </c>
      <c r="E55" s="8" t="str">
        <f t="shared" si="1"/>
        <v>Playoff Team</v>
      </c>
      <c r="F55" s="8">
        <v>9.0</v>
      </c>
      <c r="G55" s="8">
        <v>100.0</v>
      </c>
      <c r="H55" s="1" t="s">
        <v>131</v>
      </c>
      <c r="I55" s="1" t="str">
        <f t="shared" si="2"/>
        <v>Laviska</v>
      </c>
      <c r="J55" s="1" t="str">
        <f t="shared" si="3"/>
        <v>Shenault Jr</v>
      </c>
      <c r="K55" s="1" t="str">
        <f t="shared" si="4"/>
        <v>#N/A</v>
      </c>
      <c r="L55" s="1" t="str">
        <f>IFERROR(VLOOKUP($K55,Players!$D:$E,2,FALSE),VLOOKUP($H55,Players!A:E,5,FALSE))</f>
        <v>#N/A</v>
      </c>
    </row>
    <row r="56" ht="15.75" customHeight="1">
      <c r="A56" s="1">
        <v>2021.0</v>
      </c>
      <c r="B56" s="1" t="s">
        <v>29</v>
      </c>
      <c r="C56" s="1" t="s">
        <v>20</v>
      </c>
      <c r="D56" s="8">
        <v>5.0</v>
      </c>
      <c r="E56" s="8" t="str">
        <f t="shared" si="1"/>
        <v>Playoff Team</v>
      </c>
      <c r="F56" s="8">
        <v>10.0</v>
      </c>
      <c r="G56" s="8">
        <v>117.0</v>
      </c>
      <c r="H56" s="1" t="s">
        <v>132</v>
      </c>
      <c r="I56" s="1" t="str">
        <f t="shared" si="2"/>
        <v>#VALUE!</v>
      </c>
      <c r="J56" s="1" t="str">
        <f t="shared" si="3"/>
        <v>#VALUE!</v>
      </c>
      <c r="K56" s="1" t="str">
        <f t="shared" si="4"/>
        <v>#N/A</v>
      </c>
      <c r="L56" s="1" t="str">
        <f>IFERROR(VLOOKUP($K56,Players!$D:$E,2,FALSE),VLOOKUP($H56,Players!A:E,5,FALSE))</f>
        <v>DEF</v>
      </c>
    </row>
    <row r="57" ht="15.75" customHeight="1">
      <c r="A57" s="1">
        <v>2021.0</v>
      </c>
      <c r="B57" s="1" t="s">
        <v>29</v>
      </c>
      <c r="C57" s="1" t="s">
        <v>20</v>
      </c>
      <c r="D57" s="8">
        <v>5.0</v>
      </c>
      <c r="E57" s="8" t="str">
        <f t="shared" si="1"/>
        <v>Playoff Team</v>
      </c>
      <c r="F57" s="8">
        <v>11.0</v>
      </c>
      <c r="G57" s="8">
        <v>124.0</v>
      </c>
      <c r="H57" s="1" t="s">
        <v>133</v>
      </c>
      <c r="I57" s="1" t="str">
        <f t="shared" si="2"/>
        <v>David</v>
      </c>
      <c r="J57" s="1" t="str">
        <f t="shared" si="3"/>
        <v>Johnson</v>
      </c>
      <c r="K57" s="1" t="str">
        <f t="shared" si="4"/>
        <v>#N/A</v>
      </c>
      <c r="L57" s="1" t="str">
        <f>IFERROR(VLOOKUP($K57,Players!$D:$E,2,FALSE),VLOOKUP($H57,Players!A:E,5,FALSE))</f>
        <v>RB</v>
      </c>
    </row>
    <row r="58" ht="15.75" customHeight="1">
      <c r="A58" s="1">
        <v>2021.0</v>
      </c>
      <c r="B58" s="1" t="s">
        <v>29</v>
      </c>
      <c r="C58" s="1" t="s">
        <v>20</v>
      </c>
      <c r="D58" s="8">
        <v>5.0</v>
      </c>
      <c r="E58" s="8" t="str">
        <f t="shared" si="1"/>
        <v>Playoff Team</v>
      </c>
      <c r="F58" s="8">
        <v>12.0</v>
      </c>
      <c r="G58" s="8">
        <v>141.0</v>
      </c>
      <c r="H58" s="1" t="s">
        <v>134</v>
      </c>
      <c r="I58" s="1" t="str">
        <f t="shared" si="2"/>
        <v>Jonnu</v>
      </c>
      <c r="J58" s="1" t="str">
        <f t="shared" si="3"/>
        <v>Smith</v>
      </c>
      <c r="K58" s="1" t="str">
        <f t="shared" si="4"/>
        <v>#N/A</v>
      </c>
      <c r="L58" s="1" t="str">
        <f>IFERROR(VLOOKUP($K58,Players!$D:$E,2,FALSE),VLOOKUP($H58,Players!A:E,5,FALSE))</f>
        <v>TE</v>
      </c>
    </row>
    <row r="59" ht="15.75" customHeight="1">
      <c r="A59" s="1">
        <v>2021.0</v>
      </c>
      <c r="B59" s="1" t="s">
        <v>29</v>
      </c>
      <c r="C59" s="1" t="s">
        <v>20</v>
      </c>
      <c r="D59" s="8">
        <v>5.0</v>
      </c>
      <c r="E59" s="8" t="str">
        <f t="shared" si="1"/>
        <v>Playoff Team</v>
      </c>
      <c r="F59" s="8">
        <v>13.0</v>
      </c>
      <c r="G59" s="8">
        <v>148.0</v>
      </c>
      <c r="H59" s="1" t="s">
        <v>135</v>
      </c>
      <c r="I59" s="1" t="str">
        <f t="shared" si="2"/>
        <v>Ty</v>
      </c>
      <c r="J59" s="1" t="str">
        <f t="shared" si="3"/>
        <v>Johnson</v>
      </c>
      <c r="K59" s="1" t="str">
        <f t="shared" si="4"/>
        <v>#N/A</v>
      </c>
      <c r="L59" s="1" t="str">
        <f>IFERROR(VLOOKUP($K59,Players!$D:$E,2,FALSE),VLOOKUP($H59,Players!A:E,5,FALSE))</f>
        <v>RB</v>
      </c>
    </row>
    <row r="60" ht="15.75" customHeight="1">
      <c r="A60" s="1">
        <v>2021.0</v>
      </c>
      <c r="B60" s="1" t="s">
        <v>29</v>
      </c>
      <c r="C60" s="1" t="s">
        <v>20</v>
      </c>
      <c r="D60" s="8">
        <v>5.0</v>
      </c>
      <c r="E60" s="8" t="str">
        <f t="shared" si="1"/>
        <v>Playoff Team</v>
      </c>
      <c r="F60" s="8">
        <v>14.0</v>
      </c>
      <c r="G60" s="8">
        <v>165.0</v>
      </c>
      <c r="H60" s="1" t="s">
        <v>136</v>
      </c>
      <c r="I60" s="1" t="str">
        <f t="shared" si="2"/>
        <v>Nelson</v>
      </c>
      <c r="J60" s="1" t="str">
        <f t="shared" si="3"/>
        <v>Agholor</v>
      </c>
      <c r="K60" s="1" t="str">
        <f t="shared" si="4"/>
        <v>#N/A</v>
      </c>
      <c r="L60" s="1" t="str">
        <f>IFERROR(VLOOKUP($K60,Players!$D:$E,2,FALSE),VLOOKUP($H60,Players!A:E,5,FALSE))</f>
        <v>WR</v>
      </c>
    </row>
    <row r="61" ht="15.75" customHeight="1">
      <c r="A61" s="1">
        <v>2021.0</v>
      </c>
      <c r="B61" s="1" t="s">
        <v>29</v>
      </c>
      <c r="C61" s="1" t="s">
        <v>20</v>
      </c>
      <c r="D61" s="8">
        <v>5.0</v>
      </c>
      <c r="E61" s="8" t="str">
        <f t="shared" si="1"/>
        <v>Playoff Team</v>
      </c>
      <c r="F61" s="8">
        <v>15.0</v>
      </c>
      <c r="G61" s="8">
        <v>172.0</v>
      </c>
      <c r="H61" s="1" t="s">
        <v>137</v>
      </c>
      <c r="I61" s="1" t="str">
        <f t="shared" si="2"/>
        <v>Robbie</v>
      </c>
      <c r="J61" s="1" t="str">
        <f t="shared" si="3"/>
        <v>Gould</v>
      </c>
      <c r="K61" s="1" t="str">
        <f t="shared" si="4"/>
        <v>#N/A</v>
      </c>
      <c r="L61" s="1" t="str">
        <f>IFERROR(VLOOKUP($K61,Players!$D:$E,2,FALSE),VLOOKUP($H61,Players!A:E,5,FALSE))</f>
        <v>K</v>
      </c>
    </row>
    <row r="62" ht="15.75" customHeight="1">
      <c r="A62" s="1">
        <v>2021.0</v>
      </c>
      <c r="B62" s="1" t="s">
        <v>18</v>
      </c>
      <c r="C62" s="1" t="s">
        <v>12</v>
      </c>
      <c r="D62" s="8">
        <v>8.0</v>
      </c>
      <c r="E62" s="8" t="str">
        <f t="shared" si="1"/>
        <v>Non-Playoff Team</v>
      </c>
      <c r="F62" s="8">
        <v>1.0</v>
      </c>
      <c r="G62" s="8">
        <v>5.0</v>
      </c>
      <c r="H62" s="1" t="s">
        <v>139</v>
      </c>
      <c r="I62" s="1" t="str">
        <f t="shared" si="2"/>
        <v>Travis</v>
      </c>
      <c r="J62" s="1" t="str">
        <f t="shared" si="3"/>
        <v>Kelce</v>
      </c>
      <c r="K62" s="1" t="str">
        <f t="shared" si="4"/>
        <v>#N/A</v>
      </c>
      <c r="L62" s="1" t="str">
        <f>IFERROR(VLOOKUP($K62,Players!$D:$E,2,FALSE),VLOOKUP($H62,Players!A:E,5,FALSE))</f>
        <v>TE</v>
      </c>
    </row>
    <row r="63" ht="15.75" customHeight="1">
      <c r="A63" s="1">
        <v>2021.0</v>
      </c>
      <c r="B63" s="1" t="s">
        <v>18</v>
      </c>
      <c r="C63" s="1" t="s">
        <v>12</v>
      </c>
      <c r="D63" s="8">
        <v>8.0</v>
      </c>
      <c r="E63" s="8" t="str">
        <f t="shared" si="1"/>
        <v>Non-Playoff Team</v>
      </c>
      <c r="F63" s="8">
        <v>2.0</v>
      </c>
      <c r="G63" s="8">
        <v>20.0</v>
      </c>
      <c r="H63" s="1" t="s">
        <v>141</v>
      </c>
      <c r="I63" s="1" t="str">
        <f t="shared" si="2"/>
        <v>AJ</v>
      </c>
      <c r="J63" s="1" t="str">
        <f t="shared" si="3"/>
        <v>Brown</v>
      </c>
      <c r="K63" s="1" t="str">
        <f t="shared" si="4"/>
        <v>#N/A</v>
      </c>
      <c r="L63" s="1" t="str">
        <f>IFERROR(VLOOKUP($K63,Players!$D:$E,2,FALSE),VLOOKUP($H63,Players!A:E,5,FALSE))</f>
        <v>WR</v>
      </c>
    </row>
    <row r="64" ht="15.75" customHeight="1">
      <c r="A64" s="1">
        <v>2021.0</v>
      </c>
      <c r="B64" s="1" t="s">
        <v>18</v>
      </c>
      <c r="C64" s="1" t="s">
        <v>12</v>
      </c>
      <c r="D64" s="8">
        <v>8.0</v>
      </c>
      <c r="E64" s="8" t="str">
        <f t="shared" si="1"/>
        <v>Non-Playoff Team</v>
      </c>
      <c r="F64" s="8">
        <v>3.0</v>
      </c>
      <c r="G64" s="8">
        <v>29.0</v>
      </c>
      <c r="H64" s="1" t="s">
        <v>142</v>
      </c>
      <c r="I64" s="1" t="str">
        <f t="shared" si="2"/>
        <v>Tyler</v>
      </c>
      <c r="J64" s="1" t="str">
        <f t="shared" si="3"/>
        <v>Lockett</v>
      </c>
      <c r="K64" s="1" t="str">
        <f t="shared" si="4"/>
        <v>#N/A</v>
      </c>
      <c r="L64" s="1" t="str">
        <f>IFERROR(VLOOKUP($K64,Players!$D:$E,2,FALSE),VLOOKUP($H64,Players!A:E,5,FALSE))</f>
        <v>WR</v>
      </c>
    </row>
    <row r="65" ht="15.75" customHeight="1">
      <c r="A65" s="1">
        <v>2021.0</v>
      </c>
      <c r="B65" s="1" t="s">
        <v>18</v>
      </c>
      <c r="C65" s="1" t="s">
        <v>12</v>
      </c>
      <c r="D65" s="8">
        <v>8.0</v>
      </c>
      <c r="E65" s="8" t="str">
        <f t="shared" si="1"/>
        <v>Non-Playoff Team</v>
      </c>
      <c r="F65" s="8">
        <v>4.0</v>
      </c>
      <c r="G65" s="8">
        <v>44.0</v>
      </c>
      <c r="H65" s="1" t="s">
        <v>143</v>
      </c>
      <c r="I65" s="1" t="str">
        <f t="shared" si="2"/>
        <v>Chase</v>
      </c>
      <c r="J65" s="1" t="str">
        <f t="shared" si="3"/>
        <v>Edmonds</v>
      </c>
      <c r="K65" s="1" t="str">
        <f t="shared" si="4"/>
        <v>#N/A</v>
      </c>
      <c r="L65" s="1" t="str">
        <f>IFERROR(VLOOKUP($K65,Players!$D:$E,2,FALSE),VLOOKUP($H65,Players!A:E,5,FALSE))</f>
        <v>RB</v>
      </c>
    </row>
    <row r="66" ht="15.75" customHeight="1">
      <c r="A66" s="1">
        <v>2021.0</v>
      </c>
      <c r="B66" s="1" t="s">
        <v>18</v>
      </c>
      <c r="C66" s="1" t="s">
        <v>12</v>
      </c>
      <c r="D66" s="8">
        <v>8.0</v>
      </c>
      <c r="E66" s="8" t="str">
        <f t="shared" si="1"/>
        <v>Non-Playoff Team</v>
      </c>
      <c r="F66" s="8">
        <v>5.0</v>
      </c>
      <c r="G66" s="8">
        <v>53.0</v>
      </c>
      <c r="H66" s="1" t="s">
        <v>144</v>
      </c>
      <c r="I66" s="1" t="str">
        <f t="shared" si="2"/>
        <v>Russell</v>
      </c>
      <c r="J66" s="1" t="str">
        <f t="shared" si="3"/>
        <v>Wilson</v>
      </c>
      <c r="K66" s="1" t="str">
        <f t="shared" si="4"/>
        <v>#N/A</v>
      </c>
      <c r="L66" s="1" t="str">
        <f>IFERROR(VLOOKUP($K66,Players!$D:$E,2,FALSE),VLOOKUP($H66,Players!A:E,5,FALSE))</f>
        <v>QB</v>
      </c>
    </row>
    <row r="67" ht="15.75" customHeight="1">
      <c r="A67" s="1">
        <v>2021.0</v>
      </c>
      <c r="B67" s="1" t="s">
        <v>18</v>
      </c>
      <c r="C67" s="1" t="s">
        <v>12</v>
      </c>
      <c r="D67" s="8">
        <v>8.0</v>
      </c>
      <c r="E67" s="8" t="str">
        <f t="shared" si="1"/>
        <v>Non-Playoff Team</v>
      </c>
      <c r="F67" s="8">
        <v>6.0</v>
      </c>
      <c r="G67" s="8">
        <v>68.0</v>
      </c>
      <c r="H67" s="1" t="s">
        <v>145</v>
      </c>
      <c r="I67" s="1" t="str">
        <f t="shared" si="2"/>
        <v>Myles</v>
      </c>
      <c r="J67" s="1" t="str">
        <f t="shared" si="3"/>
        <v>Gaskin</v>
      </c>
      <c r="K67" s="1" t="str">
        <f t="shared" si="4"/>
        <v>#N/A</v>
      </c>
      <c r="L67" s="1" t="str">
        <f>IFERROR(VLOOKUP($K67,Players!$D:$E,2,FALSE),VLOOKUP($H67,Players!A:E,5,FALSE))</f>
        <v>RB</v>
      </c>
    </row>
    <row r="68" ht="15.75" customHeight="1">
      <c r="A68" s="1">
        <v>2021.0</v>
      </c>
      <c r="B68" s="1" t="s">
        <v>18</v>
      </c>
      <c r="C68" s="1" t="s">
        <v>12</v>
      </c>
      <c r="D68" s="8">
        <v>8.0</v>
      </c>
      <c r="E68" s="8" t="str">
        <f t="shared" si="1"/>
        <v>Non-Playoff Team</v>
      </c>
      <c r="F68" s="8">
        <v>7.0</v>
      </c>
      <c r="G68" s="8">
        <v>77.0</v>
      </c>
      <c r="H68" s="1" t="s">
        <v>146</v>
      </c>
      <c r="I68" s="1" t="str">
        <f t="shared" si="2"/>
        <v>Sony</v>
      </c>
      <c r="J68" s="1" t="str">
        <f t="shared" si="3"/>
        <v>Michel</v>
      </c>
      <c r="K68" s="1" t="str">
        <f t="shared" si="4"/>
        <v>#N/A</v>
      </c>
      <c r="L68" s="1" t="str">
        <f>IFERROR(VLOOKUP($K68,Players!$D:$E,2,FALSE),VLOOKUP($H68,Players!A:E,5,FALSE))</f>
        <v>RB</v>
      </c>
    </row>
    <row r="69" ht="15.75" customHeight="1">
      <c r="A69" s="1">
        <v>2021.0</v>
      </c>
      <c r="B69" s="1" t="s">
        <v>18</v>
      </c>
      <c r="C69" s="1" t="s">
        <v>12</v>
      </c>
      <c r="D69" s="8">
        <v>8.0</v>
      </c>
      <c r="E69" s="8" t="str">
        <f t="shared" si="1"/>
        <v>Non-Playoff Team</v>
      </c>
      <c r="F69" s="8">
        <v>8.0</v>
      </c>
      <c r="G69" s="8">
        <v>92.0</v>
      </c>
      <c r="H69" s="1" t="s">
        <v>147</v>
      </c>
      <c r="I69" s="1" t="str">
        <f t="shared" si="2"/>
        <v>Brandin</v>
      </c>
      <c r="J69" s="1" t="str">
        <f t="shared" si="3"/>
        <v>Cooks</v>
      </c>
      <c r="K69" s="1" t="str">
        <f t="shared" si="4"/>
        <v>#N/A</v>
      </c>
      <c r="L69" s="1" t="str">
        <f>IFERROR(VLOOKUP($K69,Players!$D:$E,2,FALSE),VLOOKUP($H69,Players!A:E,5,FALSE))</f>
        <v>WR</v>
      </c>
    </row>
    <row r="70" ht="15.75" customHeight="1">
      <c r="A70" s="1">
        <v>2021.0</v>
      </c>
      <c r="B70" s="1" t="s">
        <v>18</v>
      </c>
      <c r="C70" s="1" t="s">
        <v>12</v>
      </c>
      <c r="D70" s="8">
        <v>8.0</v>
      </c>
      <c r="E70" s="8" t="str">
        <f t="shared" si="1"/>
        <v>Non-Playoff Team</v>
      </c>
      <c r="F70" s="8">
        <v>9.0</v>
      </c>
      <c r="G70" s="8">
        <v>101.0</v>
      </c>
      <c r="H70" s="1" t="s">
        <v>148</v>
      </c>
      <c r="I70" s="1" t="str">
        <f t="shared" si="2"/>
        <v>Zack</v>
      </c>
      <c r="J70" s="1" t="str">
        <f t="shared" si="3"/>
        <v>Moss</v>
      </c>
      <c r="K70" s="1" t="str">
        <f t="shared" si="4"/>
        <v>#N/A</v>
      </c>
      <c r="L70" s="1" t="str">
        <f>IFERROR(VLOOKUP($K70,Players!$D:$E,2,FALSE),VLOOKUP($H70,Players!A:E,5,FALSE))</f>
        <v>RB</v>
      </c>
    </row>
    <row r="71" ht="15.75" customHeight="1">
      <c r="A71" s="1">
        <v>2021.0</v>
      </c>
      <c r="B71" s="1" t="s">
        <v>18</v>
      </c>
      <c r="C71" s="1" t="s">
        <v>12</v>
      </c>
      <c r="D71" s="8">
        <v>8.0</v>
      </c>
      <c r="E71" s="8" t="str">
        <f t="shared" si="1"/>
        <v>Non-Playoff Team</v>
      </c>
      <c r="F71" s="8">
        <v>10.0</v>
      </c>
      <c r="G71" s="8">
        <v>116.0</v>
      </c>
      <c r="H71" s="1" t="s">
        <v>150</v>
      </c>
      <c r="I71" s="1" t="str">
        <f t="shared" si="2"/>
        <v>Michael</v>
      </c>
      <c r="J71" s="1" t="str">
        <f t="shared" si="3"/>
        <v>Gallup</v>
      </c>
      <c r="K71" s="1" t="str">
        <f t="shared" si="4"/>
        <v>#N/A</v>
      </c>
      <c r="L71" s="1" t="str">
        <f>IFERROR(VLOOKUP($K71,Players!$D:$E,2,FALSE),VLOOKUP($H71,Players!A:E,5,FALSE))</f>
        <v>WR</v>
      </c>
    </row>
    <row r="72" ht="15.75" customHeight="1">
      <c r="A72" s="1">
        <v>2021.0</v>
      </c>
      <c r="B72" s="1" t="s">
        <v>18</v>
      </c>
      <c r="C72" s="1" t="s">
        <v>12</v>
      </c>
      <c r="D72" s="8">
        <v>8.0</v>
      </c>
      <c r="E72" s="8" t="str">
        <f t="shared" si="1"/>
        <v>Non-Playoff Team</v>
      </c>
      <c r="F72" s="8">
        <v>11.0</v>
      </c>
      <c r="G72" s="8">
        <v>125.0</v>
      </c>
      <c r="H72" s="1" t="s">
        <v>154</v>
      </c>
      <c r="I72" s="1" t="str">
        <f t="shared" si="2"/>
        <v>Jakobi</v>
      </c>
      <c r="J72" s="1" t="str">
        <f t="shared" si="3"/>
        <v>Meyers</v>
      </c>
      <c r="K72" s="1" t="str">
        <f t="shared" si="4"/>
        <v>#N/A</v>
      </c>
      <c r="L72" s="1" t="str">
        <f>IFERROR(VLOOKUP($K72,Players!$D:$E,2,FALSE),VLOOKUP($H72,Players!A:E,5,FALSE))</f>
        <v>WR</v>
      </c>
    </row>
    <row r="73" ht="15.75" customHeight="1">
      <c r="A73" s="1">
        <v>2021.0</v>
      </c>
      <c r="B73" s="1" t="s">
        <v>18</v>
      </c>
      <c r="C73" s="1" t="s">
        <v>12</v>
      </c>
      <c r="D73" s="8">
        <v>8.0</v>
      </c>
      <c r="E73" s="8" t="str">
        <f t="shared" si="1"/>
        <v>Non-Playoff Team</v>
      </c>
      <c r="F73" s="8">
        <v>12.0</v>
      </c>
      <c r="G73" s="8">
        <v>140.0</v>
      </c>
      <c r="H73" s="1" t="s">
        <v>157</v>
      </c>
      <c r="I73" s="1" t="str">
        <f t="shared" si="2"/>
        <v>Bryan</v>
      </c>
      <c r="J73" s="1" t="str">
        <f t="shared" si="3"/>
        <v>Edwards</v>
      </c>
      <c r="K73" s="1" t="str">
        <f t="shared" si="4"/>
        <v>#N/A</v>
      </c>
      <c r="L73" s="1" t="str">
        <f>IFERROR(VLOOKUP($K73,Players!$D:$E,2,FALSE),VLOOKUP($H73,Players!A:E,5,FALSE))</f>
        <v>WR</v>
      </c>
    </row>
    <row r="74" ht="15.75" customHeight="1">
      <c r="A74" s="1">
        <v>2021.0</v>
      </c>
      <c r="B74" s="1" t="s">
        <v>18</v>
      </c>
      <c r="C74" s="1" t="s">
        <v>12</v>
      </c>
      <c r="D74" s="8">
        <v>8.0</v>
      </c>
      <c r="E74" s="8" t="str">
        <f t="shared" si="1"/>
        <v>Non-Playoff Team</v>
      </c>
      <c r="F74" s="8">
        <v>13.0</v>
      </c>
      <c r="G74" s="8">
        <v>149.0</v>
      </c>
      <c r="H74" s="1" t="s">
        <v>160</v>
      </c>
      <c r="I74" s="1" t="str">
        <f t="shared" si="2"/>
        <v>Tevin</v>
      </c>
      <c r="J74" s="1" t="str">
        <f t="shared" si="3"/>
        <v>Coleman</v>
      </c>
      <c r="K74" s="1" t="str">
        <f t="shared" si="4"/>
        <v>#N/A</v>
      </c>
      <c r="L74" s="1" t="str">
        <f>IFERROR(VLOOKUP($K74,Players!$D:$E,2,FALSE),VLOOKUP($H74,Players!A:E,5,FALSE))</f>
        <v>RB</v>
      </c>
    </row>
    <row r="75" ht="15.75" customHeight="1">
      <c r="A75" s="1">
        <v>2021.0</v>
      </c>
      <c r="B75" s="1" t="s">
        <v>18</v>
      </c>
      <c r="C75" s="1" t="s">
        <v>12</v>
      </c>
      <c r="D75" s="8">
        <v>8.0</v>
      </c>
      <c r="E75" s="8" t="str">
        <f t="shared" si="1"/>
        <v>Non-Playoff Team</v>
      </c>
      <c r="F75" s="8">
        <v>14.0</v>
      </c>
      <c r="G75" s="8">
        <v>164.0</v>
      </c>
      <c r="H75" s="1" t="s">
        <v>162</v>
      </c>
      <c r="I75" s="1" t="str">
        <f t="shared" si="2"/>
        <v>Green</v>
      </c>
      <c r="J75" s="1" t="str">
        <f t="shared" si="3"/>
        <v>Bay</v>
      </c>
      <c r="K75" s="1" t="str">
        <f t="shared" si="4"/>
        <v>#N/A</v>
      </c>
      <c r="L75" s="1" t="str">
        <f>IFERROR(VLOOKUP($K75,Players!$D:$E,2,FALSE),VLOOKUP($H75,Players!A:E,5,FALSE))</f>
        <v>DEF</v>
      </c>
    </row>
    <row r="76" ht="15.75" customHeight="1">
      <c r="A76" s="1">
        <v>2021.0</v>
      </c>
      <c r="B76" s="1" t="s">
        <v>18</v>
      </c>
      <c r="C76" s="1" t="s">
        <v>12</v>
      </c>
      <c r="D76" s="8">
        <v>8.0</v>
      </c>
      <c r="E76" s="8" t="str">
        <f t="shared" si="1"/>
        <v>Non-Playoff Team</v>
      </c>
      <c r="F76" s="8">
        <v>15.0</v>
      </c>
      <c r="G76" s="8">
        <v>173.0</v>
      </c>
      <c r="H76" s="1" t="s">
        <v>165</v>
      </c>
      <c r="I76" s="1" t="str">
        <f t="shared" si="2"/>
        <v>Rodrigo</v>
      </c>
      <c r="J76" s="1" t="str">
        <f t="shared" si="3"/>
        <v>Blankenship</v>
      </c>
      <c r="K76" s="1" t="str">
        <f t="shared" si="4"/>
        <v>#N/A</v>
      </c>
      <c r="L76" s="1" t="str">
        <f>IFERROR(VLOOKUP($K76,Players!$D:$E,2,FALSE),VLOOKUP($H76,Players!A:E,5,FALSE))</f>
        <v>K</v>
      </c>
    </row>
    <row r="77" ht="15.75" customHeight="1">
      <c r="A77" s="1">
        <v>2021.0</v>
      </c>
      <c r="B77" s="1" t="s">
        <v>32</v>
      </c>
      <c r="C77" s="1" t="s">
        <v>25</v>
      </c>
      <c r="D77" s="8">
        <v>6.0</v>
      </c>
      <c r="E77" s="8" t="str">
        <f t="shared" si="1"/>
        <v>Playoff Team</v>
      </c>
      <c r="F77" s="8">
        <v>1.0</v>
      </c>
      <c r="G77" s="8">
        <v>6.0</v>
      </c>
      <c r="H77" s="1" t="s">
        <v>168</v>
      </c>
      <c r="I77" s="1" t="str">
        <f t="shared" si="2"/>
        <v>Derrick</v>
      </c>
      <c r="J77" s="1" t="str">
        <f t="shared" si="3"/>
        <v>Henry</v>
      </c>
      <c r="K77" s="1" t="str">
        <f t="shared" si="4"/>
        <v>#N/A</v>
      </c>
      <c r="L77" s="1" t="str">
        <f>IFERROR(VLOOKUP($K77,Players!$D:$E,2,FALSE),VLOOKUP($H77,Players!A:E,5,FALSE))</f>
        <v>RB</v>
      </c>
    </row>
    <row r="78" ht="15.75" customHeight="1">
      <c r="A78" s="1">
        <v>2021.0</v>
      </c>
      <c r="B78" s="1" t="s">
        <v>32</v>
      </c>
      <c r="C78" s="1" t="s">
        <v>25</v>
      </c>
      <c r="D78" s="8">
        <v>6.0</v>
      </c>
      <c r="E78" s="8" t="str">
        <f t="shared" si="1"/>
        <v>Playoff Team</v>
      </c>
      <c r="F78" s="8">
        <v>2.0</v>
      </c>
      <c r="G78" s="8">
        <v>19.0</v>
      </c>
      <c r="H78" s="1" t="s">
        <v>170</v>
      </c>
      <c r="I78" s="1" t="str">
        <f t="shared" si="2"/>
        <v>Calvin</v>
      </c>
      <c r="J78" s="1" t="str">
        <f t="shared" si="3"/>
        <v>Ridley</v>
      </c>
      <c r="K78" s="1" t="str">
        <f t="shared" si="4"/>
        <v>#N/A</v>
      </c>
      <c r="L78" s="1" t="str">
        <f>IFERROR(VLOOKUP($K78,Players!$D:$E,2,FALSE),VLOOKUP($H78,Players!A:E,5,FALSE))</f>
        <v>WR</v>
      </c>
    </row>
    <row r="79" ht="15.75" customHeight="1">
      <c r="A79" s="1">
        <v>2021.0</v>
      </c>
      <c r="B79" s="1" t="s">
        <v>32</v>
      </c>
      <c r="C79" s="1" t="s">
        <v>25</v>
      </c>
      <c r="D79" s="8">
        <v>6.0</v>
      </c>
      <c r="E79" s="8" t="str">
        <f t="shared" si="1"/>
        <v>Playoff Team</v>
      </c>
      <c r="F79" s="8">
        <v>3.0</v>
      </c>
      <c r="G79" s="8">
        <v>30.0</v>
      </c>
      <c r="H79" s="1" t="s">
        <v>173</v>
      </c>
      <c r="I79" s="1" t="str">
        <f t="shared" si="2"/>
        <v>Chris</v>
      </c>
      <c r="J79" s="1" t="str">
        <f t="shared" si="3"/>
        <v>Godwin</v>
      </c>
      <c r="K79" s="1" t="str">
        <f t="shared" si="4"/>
        <v>#N/A</v>
      </c>
      <c r="L79" s="1" t="str">
        <f>IFERROR(VLOOKUP($K79,Players!$D:$E,2,FALSE),VLOOKUP($H79,Players!A:E,5,FALSE))</f>
        <v>WR</v>
      </c>
    </row>
    <row r="80" ht="15.75" customHeight="1">
      <c r="A80" s="1">
        <v>2021.0</v>
      </c>
      <c r="B80" s="1" t="s">
        <v>32</v>
      </c>
      <c r="C80" s="1" t="s">
        <v>25</v>
      </c>
      <c r="D80" s="8">
        <v>6.0</v>
      </c>
      <c r="E80" s="8" t="str">
        <f t="shared" si="1"/>
        <v>Playoff Team</v>
      </c>
      <c r="F80" s="8">
        <v>4.0</v>
      </c>
      <c r="G80" s="8">
        <v>43.0</v>
      </c>
      <c r="H80" s="1" t="s">
        <v>175</v>
      </c>
      <c r="I80" s="1" t="str">
        <f t="shared" si="2"/>
        <v>James</v>
      </c>
      <c r="J80" s="1" t="str">
        <f t="shared" si="3"/>
        <v>Robinson</v>
      </c>
      <c r="K80" s="1" t="str">
        <f t="shared" si="4"/>
        <v>#N/A</v>
      </c>
      <c r="L80" s="1" t="str">
        <f>IFERROR(VLOOKUP($K80,Players!$D:$E,2,FALSE),VLOOKUP($H80,Players!A:E,5,FALSE))</f>
        <v>RB</v>
      </c>
    </row>
    <row r="81" ht="15.75" customHeight="1">
      <c r="A81" s="1">
        <v>2021.0</v>
      </c>
      <c r="B81" s="1" t="s">
        <v>32</v>
      </c>
      <c r="C81" s="1" t="s">
        <v>25</v>
      </c>
      <c r="D81" s="8">
        <v>6.0</v>
      </c>
      <c r="E81" s="8" t="str">
        <f t="shared" si="1"/>
        <v>Playoff Team</v>
      </c>
      <c r="F81" s="8">
        <v>5.0</v>
      </c>
      <c r="G81" s="8">
        <v>54.0</v>
      </c>
      <c r="H81" s="1" t="s">
        <v>178</v>
      </c>
      <c r="I81" s="1" t="str">
        <f t="shared" si="2"/>
        <v>Kyler</v>
      </c>
      <c r="J81" s="1" t="str">
        <f t="shared" si="3"/>
        <v>Murray</v>
      </c>
      <c r="K81" s="1" t="str">
        <f t="shared" si="4"/>
        <v>#N/A</v>
      </c>
      <c r="L81" s="1" t="str">
        <f>IFERROR(VLOOKUP($K81,Players!$D:$E,2,FALSE),VLOOKUP($H81,Players!A:E,5,FALSE))</f>
        <v>QB</v>
      </c>
    </row>
    <row r="82" ht="15.75" customHeight="1">
      <c r="A82" s="1">
        <v>2021.0</v>
      </c>
      <c r="B82" s="1" t="s">
        <v>32</v>
      </c>
      <c r="C82" s="1" t="s">
        <v>25</v>
      </c>
      <c r="D82" s="8">
        <v>6.0</v>
      </c>
      <c r="E82" s="8" t="str">
        <f t="shared" si="1"/>
        <v>Playoff Team</v>
      </c>
      <c r="F82" s="8">
        <v>6.0</v>
      </c>
      <c r="G82" s="8">
        <v>67.0</v>
      </c>
      <c r="H82" s="1" t="s">
        <v>181</v>
      </c>
      <c r="I82" s="1" t="str">
        <f t="shared" si="2"/>
        <v>Odell</v>
      </c>
      <c r="J82" s="1" t="str">
        <f t="shared" si="3"/>
        <v>Beckham Jr</v>
      </c>
      <c r="K82" s="1" t="str">
        <f t="shared" si="4"/>
        <v>#N/A</v>
      </c>
      <c r="L82" s="1" t="str">
        <f>IFERROR(VLOOKUP($K82,Players!$D:$E,2,FALSE),VLOOKUP($H82,Players!A:E,5,FALSE))</f>
        <v>#N/A</v>
      </c>
    </row>
    <row r="83" ht="15.75" customHeight="1">
      <c r="A83" s="1">
        <v>2021.0</v>
      </c>
      <c r="B83" s="1" t="s">
        <v>32</v>
      </c>
      <c r="C83" s="1" t="s">
        <v>25</v>
      </c>
      <c r="D83" s="8">
        <v>6.0</v>
      </c>
      <c r="E83" s="8" t="str">
        <f t="shared" si="1"/>
        <v>Playoff Team</v>
      </c>
      <c r="F83" s="8">
        <v>7.0</v>
      </c>
      <c r="G83" s="8">
        <v>78.0</v>
      </c>
      <c r="H83" s="1" t="s">
        <v>185</v>
      </c>
      <c r="I83" s="1" t="str">
        <f t="shared" si="2"/>
        <v>Logan</v>
      </c>
      <c r="J83" s="1" t="str">
        <f t="shared" si="3"/>
        <v>Thomas</v>
      </c>
      <c r="K83" s="1" t="str">
        <f t="shared" si="4"/>
        <v>#N/A</v>
      </c>
      <c r="L83" s="1" t="str">
        <f>IFERROR(VLOOKUP($K83,Players!$D:$E,2,FALSE),VLOOKUP($H83,Players!A:E,5,FALSE))</f>
        <v>TE</v>
      </c>
    </row>
    <row r="84" ht="15.75" customHeight="1">
      <c r="A84" s="1">
        <v>2021.0</v>
      </c>
      <c r="B84" s="1" t="s">
        <v>32</v>
      </c>
      <c r="C84" s="1" t="s">
        <v>25</v>
      </c>
      <c r="D84" s="8">
        <v>6.0</v>
      </c>
      <c r="E84" s="8" t="str">
        <f t="shared" si="1"/>
        <v>Playoff Team</v>
      </c>
      <c r="F84" s="8">
        <v>8.0</v>
      </c>
      <c r="G84" s="8">
        <v>91.0</v>
      </c>
      <c r="H84" s="1" t="s">
        <v>187</v>
      </c>
      <c r="I84" s="1" t="str">
        <f t="shared" si="2"/>
        <v>Jamaal</v>
      </c>
      <c r="J84" s="1" t="str">
        <f t="shared" si="3"/>
        <v>Williams</v>
      </c>
      <c r="K84" s="1" t="str">
        <f t="shared" si="4"/>
        <v>#N/A</v>
      </c>
      <c r="L84" s="1" t="str">
        <f>IFERROR(VLOOKUP($K84,Players!$D:$E,2,FALSE),VLOOKUP($H84,Players!A:E,5,FALSE))</f>
        <v>RB</v>
      </c>
    </row>
    <row r="85" ht="15.75" customHeight="1">
      <c r="A85" s="1">
        <v>2021.0</v>
      </c>
      <c r="B85" s="1" t="s">
        <v>32</v>
      </c>
      <c r="C85" s="1" t="s">
        <v>25</v>
      </c>
      <c r="D85" s="8">
        <v>6.0</v>
      </c>
      <c r="E85" s="8" t="str">
        <f t="shared" si="1"/>
        <v>Playoff Team</v>
      </c>
      <c r="F85" s="8">
        <v>9.0</v>
      </c>
      <c r="G85" s="8">
        <v>102.0</v>
      </c>
      <c r="H85" s="1" t="s">
        <v>190</v>
      </c>
      <c r="I85" s="1" t="str">
        <f t="shared" si="2"/>
        <v>Justin</v>
      </c>
      <c r="J85" s="1" t="str">
        <f t="shared" si="3"/>
        <v>Tucker</v>
      </c>
      <c r="K85" s="1" t="str">
        <f t="shared" si="4"/>
        <v>#N/A</v>
      </c>
      <c r="L85" s="1" t="str">
        <f>IFERROR(VLOOKUP($K85,Players!$D:$E,2,FALSE),VLOOKUP($H85,Players!A:E,5,FALSE))</f>
        <v>K</v>
      </c>
    </row>
    <row r="86" ht="15.75" customHeight="1">
      <c r="A86" s="1">
        <v>2021.0</v>
      </c>
      <c r="B86" s="1" t="s">
        <v>32</v>
      </c>
      <c r="C86" s="1" t="s">
        <v>25</v>
      </c>
      <c r="D86" s="8">
        <v>6.0</v>
      </c>
      <c r="E86" s="8" t="str">
        <f t="shared" si="1"/>
        <v>Playoff Team</v>
      </c>
      <c r="F86" s="8">
        <v>10.0</v>
      </c>
      <c r="G86" s="8">
        <v>115.0</v>
      </c>
      <c r="H86" s="1" t="s">
        <v>192</v>
      </c>
      <c r="I86" s="1" t="str">
        <f t="shared" si="2"/>
        <v>#VALUE!</v>
      </c>
      <c r="J86" s="1" t="str">
        <f t="shared" si="3"/>
        <v>#VALUE!</v>
      </c>
      <c r="K86" s="1" t="str">
        <f t="shared" si="4"/>
        <v>#N/A</v>
      </c>
      <c r="L86" s="1" t="str">
        <f>IFERROR(VLOOKUP($K86,Players!$D:$E,2,FALSE),VLOOKUP($H86,Players!A:E,5,FALSE))</f>
        <v>DEF</v>
      </c>
    </row>
    <row r="87" ht="15.75" customHeight="1">
      <c r="A87" s="1">
        <v>2021.0</v>
      </c>
      <c r="B87" s="1" t="s">
        <v>32</v>
      </c>
      <c r="C87" s="1" t="s">
        <v>25</v>
      </c>
      <c r="D87" s="8">
        <v>6.0</v>
      </c>
      <c r="E87" s="8" t="str">
        <f t="shared" si="1"/>
        <v>Playoff Team</v>
      </c>
      <c r="F87" s="8">
        <v>11.0</v>
      </c>
      <c r="G87" s="8">
        <v>126.0</v>
      </c>
      <c r="H87" s="1" t="s">
        <v>196</v>
      </c>
      <c r="I87" s="1" t="str">
        <f t="shared" si="2"/>
        <v>Curtis</v>
      </c>
      <c r="J87" s="1" t="str">
        <f t="shared" si="3"/>
        <v>Samuel</v>
      </c>
      <c r="K87" s="1" t="str">
        <f t="shared" si="4"/>
        <v>#N/A</v>
      </c>
      <c r="L87" s="1" t="str">
        <f>IFERROR(VLOOKUP($K87,Players!$D:$E,2,FALSE),VLOOKUP($H87,Players!A:E,5,FALSE))</f>
        <v>WR</v>
      </c>
    </row>
    <row r="88" ht="15.75" customHeight="1">
      <c r="A88" s="1">
        <v>2021.0</v>
      </c>
      <c r="B88" s="1" t="s">
        <v>32</v>
      </c>
      <c r="C88" s="1" t="s">
        <v>25</v>
      </c>
      <c r="D88" s="8">
        <v>6.0</v>
      </c>
      <c r="E88" s="8" t="str">
        <f t="shared" si="1"/>
        <v>Playoff Team</v>
      </c>
      <c r="F88" s="8">
        <v>12.0</v>
      </c>
      <c r="G88" s="8">
        <v>139.0</v>
      </c>
      <c r="H88" s="1" t="s">
        <v>200</v>
      </c>
      <c r="I88" s="1" t="str">
        <f t="shared" si="2"/>
        <v>Alexander</v>
      </c>
      <c r="J88" s="1" t="str">
        <f t="shared" si="3"/>
        <v>Mattison</v>
      </c>
      <c r="K88" s="1" t="str">
        <f t="shared" si="4"/>
        <v>#N/A</v>
      </c>
      <c r="L88" s="1" t="str">
        <f>IFERROR(VLOOKUP($K88,Players!$D:$E,2,FALSE),VLOOKUP($H88,Players!A:E,5,FALSE))</f>
        <v>RB</v>
      </c>
    </row>
    <row r="89" ht="15.75" customHeight="1">
      <c r="A89" s="1">
        <v>2021.0</v>
      </c>
      <c r="B89" s="1" t="s">
        <v>32</v>
      </c>
      <c r="C89" s="1" t="s">
        <v>25</v>
      </c>
      <c r="D89" s="8">
        <v>6.0</v>
      </c>
      <c r="E89" s="8" t="str">
        <f t="shared" si="1"/>
        <v>Playoff Team</v>
      </c>
      <c r="F89" s="8">
        <v>13.0</v>
      </c>
      <c r="G89" s="8">
        <v>150.0</v>
      </c>
      <c r="H89" s="1" t="s">
        <v>203</v>
      </c>
      <c r="I89" s="1" t="str">
        <f t="shared" si="2"/>
        <v>Evan</v>
      </c>
      <c r="J89" s="1" t="str">
        <f t="shared" si="3"/>
        <v>Engram</v>
      </c>
      <c r="K89" s="1" t="str">
        <f t="shared" si="4"/>
        <v>#N/A</v>
      </c>
      <c r="L89" s="1" t="str">
        <f>IFERROR(VLOOKUP($K89,Players!$D:$E,2,FALSE),VLOOKUP($H89,Players!A:E,5,FALSE))</f>
        <v>TE</v>
      </c>
    </row>
    <row r="90" ht="15.75" customHeight="1">
      <c r="A90" s="1">
        <v>2021.0</v>
      </c>
      <c r="B90" s="1" t="s">
        <v>32</v>
      </c>
      <c r="C90" s="1" t="s">
        <v>25</v>
      </c>
      <c r="D90" s="8">
        <v>6.0</v>
      </c>
      <c r="E90" s="8" t="str">
        <f t="shared" si="1"/>
        <v>Playoff Team</v>
      </c>
      <c r="F90" s="8">
        <v>14.0</v>
      </c>
      <c r="G90" s="8">
        <v>163.0</v>
      </c>
      <c r="H90" s="1" t="s">
        <v>206</v>
      </c>
      <c r="I90" s="1" t="str">
        <f t="shared" si="2"/>
        <v>Ty'Son</v>
      </c>
      <c r="J90" s="1" t="str">
        <f t="shared" si="3"/>
        <v>Williams</v>
      </c>
      <c r="K90" s="1" t="str">
        <f t="shared" si="4"/>
        <v>#N/A</v>
      </c>
      <c r="L90" s="1" t="str">
        <f>IFERROR(VLOOKUP($K90,Players!$D:$E,2,FALSE),VLOOKUP($H90,Players!A:E,5,FALSE))</f>
        <v>RB</v>
      </c>
    </row>
    <row r="91" ht="15.75" customHeight="1">
      <c r="A91" s="1">
        <v>2021.0</v>
      </c>
      <c r="B91" s="1" t="s">
        <v>32</v>
      </c>
      <c r="C91" s="1" t="s">
        <v>25</v>
      </c>
      <c r="D91" s="8">
        <v>6.0</v>
      </c>
      <c r="E91" s="8" t="str">
        <f t="shared" si="1"/>
        <v>Playoff Team</v>
      </c>
      <c r="F91" s="8">
        <v>15.0</v>
      </c>
      <c r="G91" s="8">
        <v>174.0</v>
      </c>
      <c r="H91" s="1" t="s">
        <v>209</v>
      </c>
      <c r="I91" s="1" t="str">
        <f t="shared" si="2"/>
        <v>Carlos</v>
      </c>
      <c r="J91" s="1" t="str">
        <f t="shared" si="3"/>
        <v>Hyde</v>
      </c>
      <c r="K91" s="1" t="str">
        <f t="shared" si="4"/>
        <v>#N/A</v>
      </c>
      <c r="L91" s="1" t="str">
        <f>IFERROR(VLOOKUP($K91,Players!$D:$E,2,FALSE),VLOOKUP($H91,Players!A:E,5,FALSE))</f>
        <v>RB</v>
      </c>
    </row>
    <row r="92" ht="15.75" customHeight="1">
      <c r="A92" s="1">
        <v>2021.0</v>
      </c>
      <c r="B92" s="1" t="s">
        <v>41</v>
      </c>
      <c r="C92" s="1" t="s">
        <v>26</v>
      </c>
      <c r="D92" s="8">
        <v>12.0</v>
      </c>
      <c r="E92" s="8" t="str">
        <f t="shared" si="1"/>
        <v>Non-Playoff Team</v>
      </c>
      <c r="F92" s="8">
        <v>1.0</v>
      </c>
      <c r="G92" s="8">
        <v>7.0</v>
      </c>
      <c r="H92" s="1" t="s">
        <v>213</v>
      </c>
      <c r="I92" s="1" t="str">
        <f t="shared" si="2"/>
        <v>Davante</v>
      </c>
      <c r="J92" s="1" t="str">
        <f t="shared" si="3"/>
        <v>Adams</v>
      </c>
      <c r="K92" s="1" t="str">
        <f t="shared" si="4"/>
        <v>#N/A</v>
      </c>
      <c r="L92" s="1" t="str">
        <f>IFERROR(VLOOKUP($K92,Players!$D:$E,2,FALSE),VLOOKUP($H92,Players!A:E,5,FALSE))</f>
        <v>WR</v>
      </c>
    </row>
    <row r="93" ht="15.75" customHeight="1">
      <c r="A93" s="1">
        <v>2021.0</v>
      </c>
      <c r="B93" s="1" t="s">
        <v>41</v>
      </c>
      <c r="C93" s="1" t="s">
        <v>26</v>
      </c>
      <c r="D93" s="8">
        <v>12.0</v>
      </c>
      <c r="E93" s="8" t="str">
        <f t="shared" si="1"/>
        <v>Non-Playoff Team</v>
      </c>
      <c r="F93" s="8">
        <v>2.0</v>
      </c>
      <c r="G93" s="8">
        <v>18.0</v>
      </c>
      <c r="H93" s="1" t="s">
        <v>216</v>
      </c>
      <c r="I93" s="1" t="str">
        <f t="shared" si="2"/>
        <v>DK</v>
      </c>
      <c r="J93" s="1" t="str">
        <f t="shared" si="3"/>
        <v>Metcalf</v>
      </c>
      <c r="K93" s="1" t="str">
        <f t="shared" si="4"/>
        <v>#N/A</v>
      </c>
      <c r="L93" s="1" t="str">
        <f>IFERROR(VLOOKUP($K93,Players!$D:$E,2,FALSE),VLOOKUP($H93,Players!A:E,5,FALSE))</f>
        <v>#N/A</v>
      </c>
    </row>
    <row r="94" ht="15.75" customHeight="1">
      <c r="A94" s="1">
        <v>2021.0</v>
      </c>
      <c r="B94" s="1" t="s">
        <v>41</v>
      </c>
      <c r="C94" s="1" t="s">
        <v>26</v>
      </c>
      <c r="D94" s="8">
        <v>12.0</v>
      </c>
      <c r="E94" s="8" t="str">
        <f t="shared" si="1"/>
        <v>Non-Playoff Team</v>
      </c>
      <c r="F94" s="8">
        <v>3.0</v>
      </c>
      <c r="G94" s="8">
        <v>31.0</v>
      </c>
      <c r="H94" s="1" t="s">
        <v>219</v>
      </c>
      <c r="I94" s="1" t="str">
        <f t="shared" si="2"/>
        <v>Miles</v>
      </c>
      <c r="J94" s="1" t="str">
        <f t="shared" si="3"/>
        <v>Sanders</v>
      </c>
      <c r="K94" s="1" t="str">
        <f t="shared" si="4"/>
        <v>#N/A</v>
      </c>
      <c r="L94" s="1" t="str">
        <f>IFERROR(VLOOKUP($K94,Players!$D:$E,2,FALSE),VLOOKUP($H94,Players!A:E,5,FALSE))</f>
        <v>RB</v>
      </c>
    </row>
    <row r="95" ht="15.75" customHeight="1">
      <c r="A95" s="1">
        <v>2021.0</v>
      </c>
      <c r="B95" s="1" t="s">
        <v>41</v>
      </c>
      <c r="C95" s="1" t="s">
        <v>26</v>
      </c>
      <c r="D95" s="8">
        <v>12.0</v>
      </c>
      <c r="E95" s="8" t="str">
        <f t="shared" si="1"/>
        <v>Non-Playoff Team</v>
      </c>
      <c r="F95" s="8">
        <v>4.0</v>
      </c>
      <c r="G95" s="8">
        <v>42.0</v>
      </c>
      <c r="H95" s="1" t="s">
        <v>222</v>
      </c>
      <c r="I95" s="1" t="str">
        <f t="shared" si="2"/>
        <v>D'Andre</v>
      </c>
      <c r="J95" s="1" t="str">
        <f t="shared" si="3"/>
        <v>Swift</v>
      </c>
      <c r="K95" s="1" t="str">
        <f t="shared" si="4"/>
        <v>#N/A</v>
      </c>
      <c r="L95" s="1" t="str">
        <f>IFERROR(VLOOKUP($K95,Players!$D:$E,2,FALSE),VLOOKUP($H95,Players!A:E,5,FALSE))</f>
        <v>RB</v>
      </c>
    </row>
    <row r="96" ht="15.75" customHeight="1">
      <c r="A96" s="1">
        <v>2021.0</v>
      </c>
      <c r="B96" s="1" t="s">
        <v>41</v>
      </c>
      <c r="C96" s="1" t="s">
        <v>26</v>
      </c>
      <c r="D96" s="8">
        <v>12.0</v>
      </c>
      <c r="E96" s="8" t="str">
        <f t="shared" si="1"/>
        <v>Non-Playoff Team</v>
      </c>
      <c r="F96" s="8">
        <v>5.0</v>
      </c>
      <c r="G96" s="8">
        <v>55.0</v>
      </c>
      <c r="H96" s="1" t="s">
        <v>225</v>
      </c>
      <c r="I96" s="1" t="str">
        <f t="shared" si="2"/>
        <v>Lamar</v>
      </c>
      <c r="J96" s="1" t="str">
        <f t="shared" si="3"/>
        <v>Jackson</v>
      </c>
      <c r="K96" s="1" t="str">
        <f t="shared" si="4"/>
        <v>#N/A</v>
      </c>
      <c r="L96" s="1" t="str">
        <f>IFERROR(VLOOKUP($K96,Players!$D:$E,2,FALSE),VLOOKUP($H96,Players!A:E,5,FALSE))</f>
        <v>QB</v>
      </c>
    </row>
    <row r="97" ht="15.75" customHeight="1">
      <c r="A97" s="1">
        <v>2021.0</v>
      </c>
      <c r="B97" s="1" t="s">
        <v>41</v>
      </c>
      <c r="C97" s="1" t="s">
        <v>26</v>
      </c>
      <c r="D97" s="8">
        <v>12.0</v>
      </c>
      <c r="E97" s="8" t="str">
        <f t="shared" si="1"/>
        <v>Non-Playoff Team</v>
      </c>
      <c r="F97" s="8">
        <v>6.0</v>
      </c>
      <c r="G97" s="8">
        <v>66.0</v>
      </c>
      <c r="H97" s="1" t="s">
        <v>227</v>
      </c>
      <c r="I97" s="1" t="str">
        <f t="shared" si="2"/>
        <v>TJ</v>
      </c>
      <c r="J97" s="1" t="str">
        <f t="shared" si="3"/>
        <v>Hockenson</v>
      </c>
      <c r="K97" s="1" t="str">
        <f t="shared" si="4"/>
        <v>#N/A</v>
      </c>
      <c r="L97" s="1" t="str">
        <f>IFERROR(VLOOKUP($K97,Players!$D:$E,2,FALSE),VLOOKUP($H97,Players!A:E,5,FALSE))</f>
        <v>TE</v>
      </c>
    </row>
    <row r="98" ht="15.75" customHeight="1">
      <c r="A98" s="1">
        <v>2021.0</v>
      </c>
      <c r="B98" s="1" t="s">
        <v>41</v>
      </c>
      <c r="C98" s="1" t="s">
        <v>26</v>
      </c>
      <c r="D98" s="8">
        <v>12.0</v>
      </c>
      <c r="E98" s="8" t="str">
        <f t="shared" si="1"/>
        <v>Non-Playoff Team</v>
      </c>
      <c r="F98" s="8">
        <v>7.0</v>
      </c>
      <c r="G98" s="8">
        <v>79.0</v>
      </c>
      <c r="H98" s="1" t="s">
        <v>229</v>
      </c>
      <c r="I98" s="1" t="str">
        <f t="shared" si="2"/>
        <v>Antonio</v>
      </c>
      <c r="J98" s="1" t="str">
        <f t="shared" si="3"/>
        <v>Brown</v>
      </c>
      <c r="K98" s="1" t="str">
        <f t="shared" si="4"/>
        <v>#N/A</v>
      </c>
      <c r="L98" s="1" t="str">
        <f>IFERROR(VLOOKUP($K98,Players!$D:$E,2,FALSE),VLOOKUP($H98,Players!A:E,5,FALSE))</f>
        <v>WR</v>
      </c>
    </row>
    <row r="99" ht="15.75" customHeight="1">
      <c r="A99" s="1">
        <v>2021.0</v>
      </c>
      <c r="B99" s="1" t="s">
        <v>41</v>
      </c>
      <c r="C99" s="1" t="s">
        <v>26</v>
      </c>
      <c r="D99" s="8">
        <v>12.0</v>
      </c>
      <c r="E99" s="8" t="str">
        <f t="shared" si="1"/>
        <v>Non-Playoff Team</v>
      </c>
      <c r="F99" s="8">
        <v>8.0</v>
      </c>
      <c r="G99" s="8">
        <v>90.0</v>
      </c>
      <c r="H99" s="1" t="s">
        <v>231</v>
      </c>
      <c r="I99" s="1" t="str">
        <f t="shared" si="2"/>
        <v>Los</v>
      </c>
      <c r="J99" s="1" t="str">
        <f t="shared" si="3"/>
        <v>Angeles</v>
      </c>
      <c r="K99" s="1" t="str">
        <f t="shared" si="4"/>
        <v>#N/A</v>
      </c>
      <c r="L99" s="1" t="str">
        <f>IFERROR(VLOOKUP($K99,Players!$D:$E,2,FALSE),VLOOKUP($H99,Players!A:E,5,FALSE))</f>
        <v>DEF</v>
      </c>
    </row>
    <row r="100" ht="15.75" customHeight="1">
      <c r="A100" s="1">
        <v>2021.0</v>
      </c>
      <c r="B100" s="1" t="s">
        <v>41</v>
      </c>
      <c r="C100" s="1" t="s">
        <v>26</v>
      </c>
      <c r="D100" s="8">
        <v>12.0</v>
      </c>
      <c r="E100" s="8" t="str">
        <f t="shared" si="1"/>
        <v>Non-Playoff Team</v>
      </c>
      <c r="F100" s="8">
        <v>9.0</v>
      </c>
      <c r="G100" s="8">
        <v>103.0</v>
      </c>
      <c r="H100" s="1" t="s">
        <v>235</v>
      </c>
      <c r="I100" s="1" t="str">
        <f t="shared" si="2"/>
        <v>DJ</v>
      </c>
      <c r="J100" s="1" t="str">
        <f t="shared" si="3"/>
        <v>Chark Jr</v>
      </c>
      <c r="K100" s="1" t="str">
        <f t="shared" si="4"/>
        <v>#N/A</v>
      </c>
      <c r="L100" s="1" t="str">
        <f>IFERROR(VLOOKUP($K100,Players!$D:$E,2,FALSE),VLOOKUP($H100,Players!A:E,5,FALSE))</f>
        <v>#N/A</v>
      </c>
    </row>
    <row r="101" ht="15.75" customHeight="1">
      <c r="A101" s="1">
        <v>2021.0</v>
      </c>
      <c r="B101" s="1" t="s">
        <v>41</v>
      </c>
      <c r="C101" s="1" t="s">
        <v>26</v>
      </c>
      <c r="D101" s="8">
        <v>12.0</v>
      </c>
      <c r="E101" s="8" t="str">
        <f t="shared" si="1"/>
        <v>Non-Playoff Team</v>
      </c>
      <c r="F101" s="8">
        <v>10.0</v>
      </c>
      <c r="G101" s="8">
        <v>114.0</v>
      </c>
      <c r="H101" s="1" t="s">
        <v>238</v>
      </c>
      <c r="I101" s="1" t="str">
        <f t="shared" si="2"/>
        <v>Devin</v>
      </c>
      <c r="J101" s="1" t="str">
        <f t="shared" si="3"/>
        <v>Singletary</v>
      </c>
      <c r="K101" s="1" t="str">
        <f t="shared" si="4"/>
        <v>#N/A</v>
      </c>
      <c r="L101" s="1" t="str">
        <f>IFERROR(VLOOKUP($K101,Players!$D:$E,2,FALSE),VLOOKUP($H101,Players!A:E,5,FALSE))</f>
        <v>RB</v>
      </c>
    </row>
    <row r="102" ht="15.75" customHeight="1">
      <c r="A102" s="1">
        <v>2021.0</v>
      </c>
      <c r="B102" s="1" t="s">
        <v>41</v>
      </c>
      <c r="C102" s="1" t="s">
        <v>26</v>
      </c>
      <c r="D102" s="8">
        <v>12.0</v>
      </c>
      <c r="E102" s="8" t="str">
        <f t="shared" si="1"/>
        <v>Non-Playoff Team</v>
      </c>
      <c r="F102" s="8">
        <v>11.0</v>
      </c>
      <c r="G102" s="8">
        <v>127.0</v>
      </c>
      <c r="H102" s="1" t="s">
        <v>241</v>
      </c>
      <c r="I102" s="1" t="str">
        <f t="shared" si="2"/>
        <v>Justin</v>
      </c>
      <c r="J102" s="1" t="str">
        <f t="shared" si="3"/>
        <v>Fields</v>
      </c>
      <c r="K102" s="1" t="str">
        <f t="shared" si="4"/>
        <v>#N/A</v>
      </c>
      <c r="L102" s="1" t="str">
        <f>IFERROR(VLOOKUP($K102,Players!$D:$E,2,FALSE),VLOOKUP($H102,Players!A:E,5,FALSE))</f>
        <v>QB</v>
      </c>
    </row>
    <row r="103" ht="15.75" customHeight="1">
      <c r="A103" s="1">
        <v>2021.0</v>
      </c>
      <c r="B103" s="1" t="s">
        <v>41</v>
      </c>
      <c r="C103" s="1" t="s">
        <v>26</v>
      </c>
      <c r="D103" s="8">
        <v>12.0</v>
      </c>
      <c r="E103" s="8" t="str">
        <f t="shared" si="1"/>
        <v>Non-Playoff Team</v>
      </c>
      <c r="F103" s="8">
        <v>12.0</v>
      </c>
      <c r="G103" s="8">
        <v>138.0</v>
      </c>
      <c r="H103" s="1" t="s">
        <v>243</v>
      </c>
      <c r="I103" s="1" t="str">
        <f t="shared" si="2"/>
        <v>Marvin</v>
      </c>
      <c r="J103" s="1" t="str">
        <f t="shared" si="3"/>
        <v>Jones Jr</v>
      </c>
      <c r="K103" s="1" t="str">
        <f t="shared" si="4"/>
        <v>#N/A</v>
      </c>
      <c r="L103" s="1" t="str">
        <f>IFERROR(VLOOKUP($K103,Players!$D:$E,2,FALSE),VLOOKUP($H103,Players!A:E,5,FALSE))</f>
        <v>#N/A</v>
      </c>
    </row>
    <row r="104" ht="15.75" customHeight="1">
      <c r="A104" s="1">
        <v>2021.0</v>
      </c>
      <c r="B104" s="1" t="s">
        <v>41</v>
      </c>
      <c r="C104" s="1" t="s">
        <v>26</v>
      </c>
      <c r="D104" s="8">
        <v>12.0</v>
      </c>
      <c r="E104" s="8" t="str">
        <f t="shared" si="1"/>
        <v>Non-Playoff Team</v>
      </c>
      <c r="F104" s="8">
        <v>13.0</v>
      </c>
      <c r="G104" s="8">
        <v>151.0</v>
      </c>
      <c r="H104" s="1" t="s">
        <v>246</v>
      </c>
      <c r="I104" s="1" t="str">
        <f t="shared" si="2"/>
        <v>Darnell</v>
      </c>
      <c r="J104" s="1" t="str">
        <f t="shared" si="3"/>
        <v>Mooney</v>
      </c>
      <c r="K104" s="1" t="str">
        <f t="shared" si="4"/>
        <v>#N/A</v>
      </c>
      <c r="L104" s="1" t="str">
        <f>IFERROR(VLOOKUP($K104,Players!$D:$E,2,FALSE),VLOOKUP($H104,Players!A:E,5,FALSE))</f>
        <v>WR</v>
      </c>
    </row>
    <row r="105" ht="15.75" customHeight="1">
      <c r="A105" s="1">
        <v>2021.0</v>
      </c>
      <c r="B105" s="1" t="s">
        <v>41</v>
      </c>
      <c r="C105" s="1" t="s">
        <v>26</v>
      </c>
      <c r="D105" s="8">
        <v>12.0</v>
      </c>
      <c r="E105" s="8" t="str">
        <f t="shared" si="1"/>
        <v>Non-Playoff Team</v>
      </c>
      <c r="F105" s="8">
        <v>14.0</v>
      </c>
      <c r="G105" s="8">
        <v>162.0</v>
      </c>
      <c r="H105" s="1" t="s">
        <v>249</v>
      </c>
      <c r="I105" s="1" t="str">
        <f t="shared" si="2"/>
        <v>Younghoe</v>
      </c>
      <c r="J105" s="1" t="str">
        <f t="shared" si="3"/>
        <v>Koo</v>
      </c>
      <c r="K105" s="1" t="str">
        <f t="shared" si="4"/>
        <v>#N/A</v>
      </c>
      <c r="L105" s="1" t="str">
        <f>IFERROR(VLOOKUP($K105,Players!$D:$E,2,FALSE),VLOOKUP($H105,Players!A:E,5,FALSE))</f>
        <v>K</v>
      </c>
    </row>
    <row r="106" ht="15.75" customHeight="1">
      <c r="A106" s="1">
        <v>2021.0</v>
      </c>
      <c r="B106" s="1" t="s">
        <v>41</v>
      </c>
      <c r="C106" s="1" t="s">
        <v>26</v>
      </c>
      <c r="D106" s="8">
        <v>12.0</v>
      </c>
      <c r="E106" s="8" t="str">
        <f t="shared" si="1"/>
        <v>Non-Playoff Team</v>
      </c>
      <c r="F106" s="8">
        <v>15.0</v>
      </c>
      <c r="G106" s="8">
        <v>175.0</v>
      </c>
      <c r="H106" s="1" t="s">
        <v>252</v>
      </c>
      <c r="I106" s="1" t="str">
        <f t="shared" si="2"/>
        <v>Irv</v>
      </c>
      <c r="J106" s="1" t="str">
        <f t="shared" si="3"/>
        <v>Smith Jr</v>
      </c>
      <c r="K106" s="1" t="str">
        <f t="shared" si="4"/>
        <v>#N/A</v>
      </c>
      <c r="L106" s="1" t="str">
        <f>IFERROR(VLOOKUP($K106,Players!$D:$E,2,FALSE),VLOOKUP($H106,Players!A:E,5,FALSE))</f>
        <v>#N/A</v>
      </c>
    </row>
    <row r="107" ht="15.75" customHeight="1">
      <c r="A107" s="1">
        <v>2021.0</v>
      </c>
      <c r="B107" s="1" t="s">
        <v>21</v>
      </c>
      <c r="C107" s="1" t="s">
        <v>22</v>
      </c>
      <c r="D107" s="8">
        <v>3.0</v>
      </c>
      <c r="E107" s="8" t="str">
        <f t="shared" si="1"/>
        <v>Playoff Team</v>
      </c>
      <c r="F107" s="8">
        <v>1.0</v>
      </c>
      <c r="G107" s="8">
        <v>8.0</v>
      </c>
      <c r="H107" s="1" t="s">
        <v>256</v>
      </c>
      <c r="I107" s="1" t="str">
        <f t="shared" si="2"/>
        <v>Austin</v>
      </c>
      <c r="J107" s="1" t="str">
        <f t="shared" si="3"/>
        <v>Ekeler</v>
      </c>
      <c r="K107" s="1" t="str">
        <f t="shared" si="4"/>
        <v>#N/A</v>
      </c>
      <c r="L107" s="1" t="str">
        <f>IFERROR(VLOOKUP($K107,Players!$D:$E,2,FALSE),VLOOKUP($H107,Players!A:E,5,FALSE))</f>
        <v>RB</v>
      </c>
    </row>
    <row r="108" ht="15.75" customHeight="1">
      <c r="A108" s="1">
        <v>2021.0</v>
      </c>
      <c r="B108" s="1" t="s">
        <v>21</v>
      </c>
      <c r="C108" s="1" t="s">
        <v>22</v>
      </c>
      <c r="D108" s="8">
        <v>3.0</v>
      </c>
      <c r="E108" s="8" t="str">
        <f t="shared" si="1"/>
        <v>Playoff Team</v>
      </c>
      <c r="F108" s="8">
        <v>2.0</v>
      </c>
      <c r="G108" s="8">
        <v>17.0</v>
      </c>
      <c r="H108" s="1" t="s">
        <v>259</v>
      </c>
      <c r="I108" s="1" t="str">
        <f t="shared" si="2"/>
        <v>Darren</v>
      </c>
      <c r="J108" s="1" t="str">
        <f t="shared" si="3"/>
        <v>Waller</v>
      </c>
      <c r="K108" s="1" t="str">
        <f t="shared" si="4"/>
        <v>#N/A</v>
      </c>
      <c r="L108" s="1" t="str">
        <f>IFERROR(VLOOKUP($K108,Players!$D:$E,2,FALSE),VLOOKUP($H108,Players!A:E,5,FALSE))</f>
        <v>TE</v>
      </c>
    </row>
    <row r="109" ht="15.75" customHeight="1">
      <c r="A109" s="1">
        <v>2021.0</v>
      </c>
      <c r="B109" s="1" t="s">
        <v>21</v>
      </c>
      <c r="C109" s="1" t="s">
        <v>22</v>
      </c>
      <c r="D109" s="8">
        <v>3.0</v>
      </c>
      <c r="E109" s="8" t="str">
        <f t="shared" si="1"/>
        <v>Playoff Team</v>
      </c>
      <c r="F109" s="8">
        <v>3.0</v>
      </c>
      <c r="G109" s="8">
        <v>32.0</v>
      </c>
      <c r="H109" s="1" t="s">
        <v>261</v>
      </c>
      <c r="I109" s="1" t="str">
        <f t="shared" si="2"/>
        <v>David</v>
      </c>
      <c r="J109" s="1" t="str">
        <f t="shared" si="3"/>
        <v>Montgomery</v>
      </c>
      <c r="K109" s="1" t="str">
        <f t="shared" si="4"/>
        <v>#N/A</v>
      </c>
      <c r="L109" s="1" t="str">
        <f>IFERROR(VLOOKUP($K109,Players!$D:$E,2,FALSE),VLOOKUP($H109,Players!A:E,5,FALSE))</f>
        <v>RB</v>
      </c>
    </row>
    <row r="110" ht="15.75" customHeight="1">
      <c r="A110" s="1">
        <v>2021.0</v>
      </c>
      <c r="B110" s="1" t="s">
        <v>21</v>
      </c>
      <c r="C110" s="1" t="s">
        <v>22</v>
      </c>
      <c r="D110" s="8">
        <v>3.0</v>
      </c>
      <c r="E110" s="8" t="str">
        <f t="shared" si="1"/>
        <v>Playoff Team</v>
      </c>
      <c r="F110" s="8">
        <v>4.0</v>
      </c>
      <c r="G110" s="8">
        <v>41.0</v>
      </c>
      <c r="H110" s="1" t="s">
        <v>263</v>
      </c>
      <c r="I110" s="1" t="str">
        <f t="shared" si="2"/>
        <v>Amari</v>
      </c>
      <c r="J110" s="1" t="str">
        <f t="shared" si="3"/>
        <v>Cooper</v>
      </c>
      <c r="K110" s="1" t="str">
        <f t="shared" si="4"/>
        <v>#N/A</v>
      </c>
      <c r="L110" s="1" t="str">
        <f>IFERROR(VLOOKUP($K110,Players!$D:$E,2,FALSE),VLOOKUP($H110,Players!A:E,5,FALSE))</f>
        <v>WR</v>
      </c>
    </row>
    <row r="111" ht="15.75" customHeight="1">
      <c r="A111" s="1">
        <v>2021.0</v>
      </c>
      <c r="B111" s="1" t="s">
        <v>21</v>
      </c>
      <c r="C111" s="1" t="s">
        <v>22</v>
      </c>
      <c r="D111" s="8">
        <v>3.0</v>
      </c>
      <c r="E111" s="8" t="str">
        <f t="shared" si="1"/>
        <v>Playoff Team</v>
      </c>
      <c r="F111" s="8">
        <v>5.0</v>
      </c>
      <c r="G111" s="8">
        <v>56.0</v>
      </c>
      <c r="H111" s="1" t="s">
        <v>265</v>
      </c>
      <c r="I111" s="1" t="str">
        <f t="shared" si="2"/>
        <v>Darrell</v>
      </c>
      <c r="J111" s="1" t="str">
        <f t="shared" si="3"/>
        <v>Henderson Jr</v>
      </c>
      <c r="K111" s="1" t="str">
        <f t="shared" si="4"/>
        <v>#N/A</v>
      </c>
      <c r="L111" s="1" t="str">
        <f>IFERROR(VLOOKUP($K111,Players!$D:$E,2,FALSE),VLOOKUP($H111,Players!A:E,5,FALSE))</f>
        <v>#N/A</v>
      </c>
    </row>
    <row r="112" ht="15.75" customHeight="1">
      <c r="A112" s="1">
        <v>2021.0</v>
      </c>
      <c r="B112" s="1" t="s">
        <v>21</v>
      </c>
      <c r="C112" s="1" t="s">
        <v>22</v>
      </c>
      <c r="D112" s="8">
        <v>3.0</v>
      </c>
      <c r="E112" s="8" t="str">
        <f t="shared" si="1"/>
        <v>Playoff Team</v>
      </c>
      <c r="F112" s="8">
        <v>6.0</v>
      </c>
      <c r="G112" s="8">
        <v>65.0</v>
      </c>
      <c r="H112" s="1" t="s">
        <v>267</v>
      </c>
      <c r="I112" s="1" t="str">
        <f t="shared" si="2"/>
        <v>Tom</v>
      </c>
      <c r="J112" s="1" t="str">
        <f t="shared" si="3"/>
        <v>Brady</v>
      </c>
      <c r="K112" s="1" t="str">
        <f t="shared" si="4"/>
        <v>#N/A</v>
      </c>
      <c r="L112" s="1" t="str">
        <f>IFERROR(VLOOKUP($K112,Players!$D:$E,2,FALSE),VLOOKUP($H112,Players!A:E,5,FALSE))</f>
        <v>QB</v>
      </c>
    </row>
    <row r="113" ht="15.75" customHeight="1">
      <c r="A113" s="1">
        <v>2021.0</v>
      </c>
      <c r="B113" s="1" t="s">
        <v>21</v>
      </c>
      <c r="C113" s="1" t="s">
        <v>22</v>
      </c>
      <c r="D113" s="8">
        <v>3.0</v>
      </c>
      <c r="E113" s="8" t="str">
        <f t="shared" si="1"/>
        <v>Playoff Team</v>
      </c>
      <c r="F113" s="8">
        <v>7.0</v>
      </c>
      <c r="G113" s="8">
        <v>80.0</v>
      </c>
      <c r="H113" s="1" t="s">
        <v>270</v>
      </c>
      <c r="I113" s="1" t="str">
        <f t="shared" si="2"/>
        <v>Michael</v>
      </c>
      <c r="J113" s="1" t="str">
        <f t="shared" si="3"/>
        <v>Thomas</v>
      </c>
      <c r="K113" s="1" t="str">
        <f t="shared" si="4"/>
        <v>#N/A</v>
      </c>
      <c r="L113" s="1" t="str">
        <f>IFERROR(VLOOKUP($K113,Players!$D:$E,2,FALSE),VLOOKUP($H113,Players!A:E,5,FALSE))</f>
        <v>WR</v>
      </c>
    </row>
    <row r="114" ht="15.75" customHeight="1">
      <c r="A114" s="1">
        <v>2021.0</v>
      </c>
      <c r="B114" s="1" t="s">
        <v>21</v>
      </c>
      <c r="C114" s="1" t="s">
        <v>22</v>
      </c>
      <c r="D114" s="8">
        <v>3.0</v>
      </c>
      <c r="E114" s="8" t="str">
        <f t="shared" si="1"/>
        <v>Playoff Team</v>
      </c>
      <c r="F114" s="8">
        <v>8.0</v>
      </c>
      <c r="G114" s="8">
        <v>89.0</v>
      </c>
      <c r="H114" s="1" t="s">
        <v>273</v>
      </c>
      <c r="I114" s="1" t="str">
        <f t="shared" si="2"/>
        <v>Corey</v>
      </c>
      <c r="J114" s="1" t="str">
        <f t="shared" si="3"/>
        <v>Davis</v>
      </c>
      <c r="K114" s="1" t="str">
        <f t="shared" si="4"/>
        <v>#N/A</v>
      </c>
      <c r="L114" s="1" t="str">
        <f>IFERROR(VLOOKUP($K114,Players!$D:$E,2,FALSE),VLOOKUP($H114,Players!A:E,5,FALSE))</f>
        <v>WR</v>
      </c>
    </row>
    <row r="115" ht="15.75" customHeight="1">
      <c r="A115" s="1">
        <v>2021.0</v>
      </c>
      <c r="B115" s="1" t="s">
        <v>21</v>
      </c>
      <c r="C115" s="1" t="s">
        <v>22</v>
      </c>
      <c r="D115" s="8">
        <v>3.0</v>
      </c>
      <c r="E115" s="8" t="str">
        <f t="shared" si="1"/>
        <v>Playoff Team</v>
      </c>
      <c r="F115" s="8">
        <v>9.0</v>
      </c>
      <c r="G115" s="8">
        <v>104.0</v>
      </c>
      <c r="H115" s="1" t="s">
        <v>276</v>
      </c>
      <c r="I115" s="1" t="str">
        <f t="shared" si="2"/>
        <v>Courtland</v>
      </c>
      <c r="J115" s="1" t="str">
        <f t="shared" si="3"/>
        <v>Sutton</v>
      </c>
      <c r="K115" s="1" t="str">
        <f t="shared" si="4"/>
        <v>#N/A</v>
      </c>
      <c r="L115" s="1" t="str">
        <f>IFERROR(VLOOKUP($K115,Players!$D:$E,2,FALSE),VLOOKUP($H115,Players!A:E,5,FALSE))</f>
        <v>WR</v>
      </c>
    </row>
    <row r="116" ht="15.75" customHeight="1">
      <c r="A116" s="1">
        <v>2021.0</v>
      </c>
      <c r="B116" s="1" t="s">
        <v>21</v>
      </c>
      <c r="C116" s="1" t="s">
        <v>22</v>
      </c>
      <c r="D116" s="8">
        <v>3.0</v>
      </c>
      <c r="E116" s="8" t="str">
        <f t="shared" si="1"/>
        <v>Playoff Team</v>
      </c>
      <c r="F116" s="8">
        <v>10.0</v>
      </c>
      <c r="G116" s="8">
        <v>113.0</v>
      </c>
      <c r="H116" s="1" t="s">
        <v>279</v>
      </c>
      <c r="I116" s="1" t="str">
        <f t="shared" si="2"/>
        <v>AJ</v>
      </c>
      <c r="J116" s="1" t="str">
        <f t="shared" si="3"/>
        <v>Dillon</v>
      </c>
      <c r="K116" s="1" t="str">
        <f t="shared" si="4"/>
        <v>#N/A</v>
      </c>
      <c r="L116" s="1" t="str">
        <f>IFERROR(VLOOKUP($K116,Players!$D:$E,2,FALSE),VLOOKUP($H116,Players!A:E,5,FALSE))</f>
        <v>#N/A</v>
      </c>
    </row>
    <row r="117" ht="15.75" customHeight="1">
      <c r="A117" s="1">
        <v>2021.0</v>
      </c>
      <c r="B117" s="1" t="s">
        <v>21</v>
      </c>
      <c r="C117" s="1" t="s">
        <v>22</v>
      </c>
      <c r="D117" s="8">
        <v>3.0</v>
      </c>
      <c r="E117" s="8" t="str">
        <f t="shared" si="1"/>
        <v>Playoff Team</v>
      </c>
      <c r="F117" s="8">
        <v>11.0</v>
      </c>
      <c r="G117" s="8">
        <v>128.0</v>
      </c>
      <c r="H117" s="1" t="s">
        <v>282</v>
      </c>
      <c r="I117" s="1" t="str">
        <f t="shared" si="2"/>
        <v>San</v>
      </c>
      <c r="J117" s="1" t="str">
        <f t="shared" si="3"/>
        <v>Francisco</v>
      </c>
      <c r="K117" s="1" t="str">
        <f t="shared" si="4"/>
        <v>#N/A</v>
      </c>
      <c r="L117" s="1" t="str">
        <f>IFERROR(VLOOKUP($K117,Players!$D:$E,2,FALSE),VLOOKUP($H117,Players!A:E,5,FALSE))</f>
        <v>DEF</v>
      </c>
    </row>
    <row r="118" ht="15.75" customHeight="1">
      <c r="A118" s="1">
        <v>2021.0</v>
      </c>
      <c r="B118" s="1" t="s">
        <v>21</v>
      </c>
      <c r="C118" s="1" t="s">
        <v>22</v>
      </c>
      <c r="D118" s="8">
        <v>3.0</v>
      </c>
      <c r="E118" s="8" t="str">
        <f t="shared" si="1"/>
        <v>Playoff Team</v>
      </c>
      <c r="F118" s="8">
        <v>12.0</v>
      </c>
      <c r="G118" s="8">
        <v>137.0</v>
      </c>
      <c r="H118" s="1" t="s">
        <v>285</v>
      </c>
      <c r="I118" s="1" t="str">
        <f t="shared" si="2"/>
        <v>Joe</v>
      </c>
      <c r="J118" s="1" t="str">
        <f t="shared" si="3"/>
        <v>Burrow</v>
      </c>
      <c r="K118" s="1" t="str">
        <f t="shared" si="4"/>
        <v>#N/A</v>
      </c>
      <c r="L118" s="1" t="str">
        <f>IFERROR(VLOOKUP($K118,Players!$D:$E,2,FALSE),VLOOKUP($H118,Players!A:E,5,FALSE))</f>
        <v>QB</v>
      </c>
    </row>
    <row r="119" ht="15.75" customHeight="1">
      <c r="A119" s="1">
        <v>2021.0</v>
      </c>
      <c r="B119" s="1" t="s">
        <v>21</v>
      </c>
      <c r="C119" s="1" t="s">
        <v>22</v>
      </c>
      <c r="D119" s="8">
        <v>3.0</v>
      </c>
      <c r="E119" s="8" t="str">
        <f t="shared" si="1"/>
        <v>Playoff Team</v>
      </c>
      <c r="F119" s="8">
        <v>13.0</v>
      </c>
      <c r="G119" s="8">
        <v>152.0</v>
      </c>
      <c r="H119" s="1" t="s">
        <v>288</v>
      </c>
      <c r="I119" s="1" t="str">
        <f t="shared" si="2"/>
        <v>Greg</v>
      </c>
      <c r="J119" s="1" t="str">
        <f t="shared" si="3"/>
        <v>Zuerlein</v>
      </c>
      <c r="K119" s="1" t="str">
        <f t="shared" si="4"/>
        <v>#N/A</v>
      </c>
      <c r="L119" s="1" t="str">
        <f>IFERROR(VLOOKUP($K119,Players!$D:$E,2,FALSE),VLOOKUP($H119,Players!A:E,5,FALSE))</f>
        <v>K</v>
      </c>
    </row>
    <row r="120" ht="15.75" customHeight="1">
      <c r="A120" s="1">
        <v>2021.0</v>
      </c>
      <c r="B120" s="1" t="s">
        <v>21</v>
      </c>
      <c r="C120" s="1" t="s">
        <v>22</v>
      </c>
      <c r="D120" s="8">
        <v>3.0</v>
      </c>
      <c r="E120" s="8" t="str">
        <f t="shared" si="1"/>
        <v>Playoff Team</v>
      </c>
      <c r="F120" s="8">
        <v>14.0</v>
      </c>
      <c r="G120" s="8">
        <v>161.0</v>
      </c>
      <c r="H120" s="1" t="s">
        <v>291</v>
      </c>
      <c r="I120" s="1" t="str">
        <f t="shared" si="2"/>
        <v>Cole</v>
      </c>
      <c r="J120" s="1" t="str">
        <f t="shared" si="3"/>
        <v>Kmet</v>
      </c>
      <c r="K120" s="1" t="str">
        <f t="shared" si="4"/>
        <v>#N/A</v>
      </c>
      <c r="L120" s="1" t="str">
        <f>IFERROR(VLOOKUP($K120,Players!$D:$E,2,FALSE),VLOOKUP($H120,Players!A:E,5,FALSE))</f>
        <v>TE</v>
      </c>
    </row>
    <row r="121" ht="15.75" customHeight="1">
      <c r="A121" s="1">
        <v>2021.0</v>
      </c>
      <c r="B121" s="1" t="s">
        <v>21</v>
      </c>
      <c r="C121" s="1" t="s">
        <v>22</v>
      </c>
      <c r="D121" s="8">
        <v>3.0</v>
      </c>
      <c r="E121" s="8" t="str">
        <f t="shared" si="1"/>
        <v>Playoff Team</v>
      </c>
      <c r="F121" s="8">
        <v>15.0</v>
      </c>
      <c r="G121" s="8">
        <v>176.0</v>
      </c>
      <c r="H121" s="1" t="s">
        <v>294</v>
      </c>
      <c r="I121" s="1" t="str">
        <f t="shared" si="2"/>
        <v>Gabriel</v>
      </c>
      <c r="J121" s="1" t="str">
        <f t="shared" si="3"/>
        <v>Davis</v>
      </c>
      <c r="K121" s="1" t="str">
        <f t="shared" si="4"/>
        <v>#N/A</v>
      </c>
      <c r="L121" s="1" t="str">
        <f>IFERROR(VLOOKUP($K121,Players!$D:$E,2,FALSE),VLOOKUP($H121,Players!A:E,5,FALSE))</f>
        <v>#N/A</v>
      </c>
    </row>
    <row r="122" ht="15.75" customHeight="1">
      <c r="A122" s="1">
        <v>2021.0</v>
      </c>
      <c r="B122" s="1" t="s">
        <v>36</v>
      </c>
      <c r="C122" s="1" t="s">
        <v>17</v>
      </c>
      <c r="D122" s="8">
        <v>9.0</v>
      </c>
      <c r="E122" s="8" t="str">
        <f t="shared" si="1"/>
        <v>Non-Playoff Team</v>
      </c>
      <c r="F122" s="8">
        <v>1.0</v>
      </c>
      <c r="G122" s="8">
        <v>9.0</v>
      </c>
      <c r="H122" s="1" t="s">
        <v>167</v>
      </c>
      <c r="I122" s="1" t="str">
        <f t="shared" si="2"/>
        <v>Aaron</v>
      </c>
      <c r="J122" s="1" t="str">
        <f t="shared" si="3"/>
        <v>Jones</v>
      </c>
      <c r="K122" s="1" t="str">
        <f t="shared" si="4"/>
        <v>#N/A</v>
      </c>
      <c r="L122" s="1" t="str">
        <f>IFERROR(VLOOKUP($K122,Players!$D:$E,2,FALSE),VLOOKUP($H122,Players!A:E,5,FALSE))</f>
        <v>RB</v>
      </c>
    </row>
    <row r="123" ht="15.75" customHeight="1">
      <c r="A123" s="1">
        <v>2021.0</v>
      </c>
      <c r="B123" s="1" t="s">
        <v>36</v>
      </c>
      <c r="C123" s="1" t="s">
        <v>17</v>
      </c>
      <c r="D123" s="8">
        <v>9.0</v>
      </c>
      <c r="E123" s="8" t="str">
        <f t="shared" si="1"/>
        <v>Non-Playoff Team</v>
      </c>
      <c r="F123" s="8">
        <v>2.0</v>
      </c>
      <c r="G123" s="8">
        <v>16.0</v>
      </c>
      <c r="H123" s="1" t="s">
        <v>298</v>
      </c>
      <c r="I123" s="1" t="str">
        <f t="shared" si="2"/>
        <v>DeAndre</v>
      </c>
      <c r="J123" s="1" t="str">
        <f t="shared" si="3"/>
        <v>Hopkins</v>
      </c>
      <c r="K123" s="1" t="str">
        <f t="shared" si="4"/>
        <v>#N/A</v>
      </c>
      <c r="L123" s="1" t="str">
        <f>IFERROR(VLOOKUP($K123,Players!$D:$E,2,FALSE),VLOOKUP($H123,Players!A:E,5,FALSE))</f>
        <v>WR</v>
      </c>
    </row>
    <row r="124" ht="15.75" customHeight="1">
      <c r="A124" s="1">
        <v>2021.0</v>
      </c>
      <c r="B124" s="1" t="s">
        <v>36</v>
      </c>
      <c r="C124" s="1" t="s">
        <v>17</v>
      </c>
      <c r="D124" s="8">
        <v>9.0</v>
      </c>
      <c r="E124" s="8" t="str">
        <f t="shared" si="1"/>
        <v>Non-Playoff Team</v>
      </c>
      <c r="F124" s="8">
        <v>3.0</v>
      </c>
      <c r="G124" s="8">
        <v>33.0</v>
      </c>
      <c r="H124" s="1" t="s">
        <v>301</v>
      </c>
      <c r="I124" s="1" t="str">
        <f t="shared" si="2"/>
        <v>CeeDee</v>
      </c>
      <c r="J124" s="1" t="str">
        <f t="shared" si="3"/>
        <v>Lamb</v>
      </c>
      <c r="K124" s="1" t="str">
        <f t="shared" si="4"/>
        <v>#N/A</v>
      </c>
      <c r="L124" s="1" t="str">
        <f>IFERROR(VLOOKUP($K124,Players!$D:$E,2,FALSE),VLOOKUP($H124,Players!A:E,5,FALSE))</f>
        <v>WR</v>
      </c>
    </row>
    <row r="125" ht="15.75" customHeight="1">
      <c r="A125" s="1">
        <v>2021.0</v>
      </c>
      <c r="B125" s="1" t="s">
        <v>36</v>
      </c>
      <c r="C125" s="1" t="s">
        <v>17</v>
      </c>
      <c r="D125" s="8">
        <v>9.0</v>
      </c>
      <c r="E125" s="8" t="str">
        <f t="shared" si="1"/>
        <v>Non-Playoff Team</v>
      </c>
      <c r="F125" s="8">
        <v>4.0</v>
      </c>
      <c r="G125" s="8">
        <v>40.0</v>
      </c>
      <c r="H125" s="1" t="s">
        <v>304</v>
      </c>
      <c r="I125" s="1" t="str">
        <f t="shared" si="2"/>
        <v>Gus</v>
      </c>
      <c r="J125" s="1" t="str">
        <f t="shared" si="3"/>
        <v>Edwards</v>
      </c>
      <c r="K125" s="1" t="str">
        <f t="shared" si="4"/>
        <v>#N/A</v>
      </c>
      <c r="L125" s="1" t="str">
        <f>IFERROR(VLOOKUP($K125,Players!$D:$E,2,FALSE),VLOOKUP($H125,Players!A:E,5,FALSE))</f>
        <v>RB</v>
      </c>
    </row>
    <row r="126" ht="15.75" customHeight="1">
      <c r="A126" s="1">
        <v>2021.0</v>
      </c>
      <c r="B126" s="1" t="s">
        <v>36</v>
      </c>
      <c r="C126" s="1" t="s">
        <v>17</v>
      </c>
      <c r="D126" s="8">
        <v>9.0</v>
      </c>
      <c r="E126" s="8" t="str">
        <f t="shared" si="1"/>
        <v>Non-Playoff Team</v>
      </c>
      <c r="F126" s="8">
        <v>5.0</v>
      </c>
      <c r="G126" s="8">
        <v>57.0</v>
      </c>
      <c r="H126" s="1" t="s">
        <v>306</v>
      </c>
      <c r="I126" s="1" t="str">
        <f t="shared" si="2"/>
        <v>Dak</v>
      </c>
      <c r="J126" s="1" t="str">
        <f t="shared" si="3"/>
        <v>Prescott</v>
      </c>
      <c r="K126" s="1" t="str">
        <f t="shared" si="4"/>
        <v>#N/A</v>
      </c>
      <c r="L126" s="1" t="str">
        <f>IFERROR(VLOOKUP($K126,Players!$D:$E,2,FALSE),VLOOKUP($H126,Players!A:E,5,FALSE))</f>
        <v>QB</v>
      </c>
    </row>
    <row r="127" ht="15.75" customHeight="1">
      <c r="A127" s="1">
        <v>2021.0</v>
      </c>
      <c r="B127" s="1" t="s">
        <v>36</v>
      </c>
      <c r="C127" s="1" t="s">
        <v>17</v>
      </c>
      <c r="D127" s="8">
        <v>9.0</v>
      </c>
      <c r="E127" s="8" t="str">
        <f t="shared" si="1"/>
        <v>Non-Playoff Team</v>
      </c>
      <c r="F127" s="8">
        <v>6.0</v>
      </c>
      <c r="G127" s="8">
        <v>64.0</v>
      </c>
      <c r="H127" s="1" t="s">
        <v>310</v>
      </c>
      <c r="I127" s="1" t="str">
        <f t="shared" si="2"/>
        <v>Mike</v>
      </c>
      <c r="J127" s="1" t="str">
        <f t="shared" si="3"/>
        <v>Davis</v>
      </c>
      <c r="K127" s="1" t="str">
        <f t="shared" si="4"/>
        <v>#N/A</v>
      </c>
      <c r="L127" s="1" t="str">
        <f>IFERROR(VLOOKUP($K127,Players!$D:$E,2,FALSE),VLOOKUP($H127,Players!A:E,5,FALSE))</f>
        <v>WR</v>
      </c>
    </row>
    <row r="128" ht="15.75" customHeight="1">
      <c r="A128" s="1">
        <v>2021.0</v>
      </c>
      <c r="B128" s="1" t="s">
        <v>36</v>
      </c>
      <c r="C128" s="1" t="s">
        <v>17</v>
      </c>
      <c r="D128" s="8">
        <v>9.0</v>
      </c>
      <c r="E128" s="8" t="str">
        <f t="shared" si="1"/>
        <v>Non-Playoff Team</v>
      </c>
      <c r="F128" s="8">
        <v>7.0</v>
      </c>
      <c r="G128" s="8">
        <v>81.0</v>
      </c>
      <c r="H128" s="1" t="s">
        <v>312</v>
      </c>
      <c r="I128" s="1" t="str">
        <f t="shared" si="2"/>
        <v>Ronald</v>
      </c>
      <c r="J128" s="1" t="str">
        <f t="shared" si="3"/>
        <v>Jones II</v>
      </c>
      <c r="K128" s="1" t="str">
        <f t="shared" si="4"/>
        <v>#N/A</v>
      </c>
      <c r="L128" s="1" t="str">
        <f>IFERROR(VLOOKUP($K128,Players!$D:$E,2,FALSE),VLOOKUP($H128,Players!A:E,5,FALSE))</f>
        <v>#N/A</v>
      </c>
    </row>
    <row r="129" ht="15.75" customHeight="1">
      <c r="A129" s="1">
        <v>2021.0</v>
      </c>
      <c r="B129" s="1" t="s">
        <v>36</v>
      </c>
      <c r="C129" s="1" t="s">
        <v>17</v>
      </c>
      <c r="D129" s="8">
        <v>9.0</v>
      </c>
      <c r="E129" s="8" t="str">
        <f t="shared" si="1"/>
        <v>Non-Playoff Team</v>
      </c>
      <c r="F129" s="8">
        <v>8.0</v>
      </c>
      <c r="G129" s="8">
        <v>88.0</v>
      </c>
      <c r="H129" s="1" t="s">
        <v>315</v>
      </c>
      <c r="I129" s="1" t="str">
        <f t="shared" si="2"/>
        <v>Noah</v>
      </c>
      <c r="J129" s="1" t="str">
        <f t="shared" si="3"/>
        <v>Fant</v>
      </c>
      <c r="K129" s="1" t="str">
        <f t="shared" si="4"/>
        <v>#N/A</v>
      </c>
      <c r="L129" s="1" t="str">
        <f>IFERROR(VLOOKUP($K129,Players!$D:$E,2,FALSE),VLOOKUP($H129,Players!A:E,5,FALSE))</f>
        <v>TE</v>
      </c>
    </row>
    <row r="130" ht="15.75" customHeight="1">
      <c r="A130" s="1">
        <v>2021.0</v>
      </c>
      <c r="B130" s="1" t="s">
        <v>36</v>
      </c>
      <c r="C130" s="1" t="s">
        <v>17</v>
      </c>
      <c r="D130" s="8">
        <v>9.0</v>
      </c>
      <c r="E130" s="8" t="str">
        <f t="shared" si="1"/>
        <v>Non-Playoff Team</v>
      </c>
      <c r="F130" s="8">
        <v>9.0</v>
      </c>
      <c r="G130" s="8">
        <v>105.0</v>
      </c>
      <c r="H130" s="1" t="s">
        <v>318</v>
      </c>
      <c r="I130" s="1" t="str">
        <f t="shared" si="2"/>
        <v>Will</v>
      </c>
      <c r="J130" s="1" t="str">
        <f t="shared" si="3"/>
        <v>Fuller V</v>
      </c>
      <c r="K130" s="1" t="str">
        <f t="shared" si="4"/>
        <v>#N/A</v>
      </c>
      <c r="L130" s="1" t="str">
        <f>IFERROR(VLOOKUP($K130,Players!$D:$E,2,FALSE),VLOOKUP($H130,Players!A:E,5,FALSE))</f>
        <v>#N/A</v>
      </c>
    </row>
    <row r="131" ht="15.75" customHeight="1">
      <c r="A131" s="1">
        <v>2021.0</v>
      </c>
      <c r="B131" s="1" t="s">
        <v>36</v>
      </c>
      <c r="C131" s="1" t="s">
        <v>17</v>
      </c>
      <c r="D131" s="8">
        <v>9.0</v>
      </c>
      <c r="E131" s="8" t="str">
        <f t="shared" si="1"/>
        <v>Non-Playoff Team</v>
      </c>
      <c r="F131" s="8">
        <v>10.0</v>
      </c>
      <c r="G131" s="8">
        <v>112.0</v>
      </c>
      <c r="H131" s="1" t="s">
        <v>320</v>
      </c>
      <c r="I131" s="1" t="str">
        <f t="shared" si="2"/>
        <v>Mike</v>
      </c>
      <c r="J131" s="1" t="str">
        <f t="shared" si="3"/>
        <v>Williams</v>
      </c>
      <c r="K131" s="1" t="str">
        <f t="shared" si="4"/>
        <v>#N/A</v>
      </c>
      <c r="L131" s="1" t="str">
        <f>IFERROR(VLOOKUP($K131,Players!$D:$E,2,FALSE),VLOOKUP($H131,Players!A:E,5,FALSE))</f>
        <v>WR</v>
      </c>
    </row>
    <row r="132" ht="15.75" customHeight="1">
      <c r="A132" s="1">
        <v>2021.0</v>
      </c>
      <c r="B132" s="1" t="s">
        <v>36</v>
      </c>
      <c r="C132" s="1" t="s">
        <v>17</v>
      </c>
      <c r="D132" s="8">
        <v>9.0</v>
      </c>
      <c r="E132" s="8" t="str">
        <f t="shared" si="1"/>
        <v>Non-Playoff Team</v>
      </c>
      <c r="F132" s="8">
        <v>11.0</v>
      </c>
      <c r="G132" s="8">
        <v>129.0</v>
      </c>
      <c r="H132" s="1" t="s">
        <v>323</v>
      </c>
      <c r="I132" s="1" t="str">
        <f t="shared" si="2"/>
        <v>Harrison</v>
      </c>
      <c r="J132" s="1" t="str">
        <f t="shared" si="3"/>
        <v>Butker</v>
      </c>
      <c r="K132" s="1" t="str">
        <f t="shared" si="4"/>
        <v>#N/A</v>
      </c>
      <c r="L132" s="1" t="str">
        <f>IFERROR(VLOOKUP($K132,Players!$D:$E,2,FALSE),VLOOKUP($H132,Players!A:E,5,FALSE))</f>
        <v>K</v>
      </c>
    </row>
    <row r="133" ht="15.75" customHeight="1">
      <c r="A133" s="1">
        <v>2021.0</v>
      </c>
      <c r="B133" s="1" t="s">
        <v>36</v>
      </c>
      <c r="C133" s="1" t="s">
        <v>17</v>
      </c>
      <c r="D133" s="8">
        <v>9.0</v>
      </c>
      <c r="E133" s="8" t="str">
        <f t="shared" si="1"/>
        <v>Non-Playoff Team</v>
      </c>
      <c r="F133" s="8">
        <v>12.0</v>
      </c>
      <c r="G133" s="8">
        <v>136.0</v>
      </c>
      <c r="H133" s="1" t="s">
        <v>325</v>
      </c>
      <c r="I133" s="1" t="str">
        <f t="shared" si="2"/>
        <v>#VALUE!</v>
      </c>
      <c r="J133" s="1" t="str">
        <f t="shared" si="3"/>
        <v>#VALUE!</v>
      </c>
      <c r="K133" s="1" t="str">
        <f t="shared" si="4"/>
        <v>#N/A</v>
      </c>
      <c r="L133" s="1" t="str">
        <f>IFERROR(VLOOKUP($K133,Players!$D:$E,2,FALSE),VLOOKUP($H133,Players!A:E,5,FALSE))</f>
        <v>DEF</v>
      </c>
    </row>
    <row r="134" ht="15.75" customHeight="1">
      <c r="A134" s="1">
        <v>2021.0</v>
      </c>
      <c r="B134" s="1" t="s">
        <v>36</v>
      </c>
      <c r="C134" s="1" t="s">
        <v>17</v>
      </c>
      <c r="D134" s="8">
        <v>9.0</v>
      </c>
      <c r="E134" s="8" t="str">
        <f t="shared" si="1"/>
        <v>Non-Playoff Team</v>
      </c>
      <c r="F134" s="8">
        <v>13.0</v>
      </c>
      <c r="G134" s="8">
        <v>153.0</v>
      </c>
      <c r="H134" s="1" t="s">
        <v>328</v>
      </c>
      <c r="I134" s="1" t="str">
        <f t="shared" si="2"/>
        <v>Sterling</v>
      </c>
      <c r="J134" s="1" t="str">
        <f t="shared" si="3"/>
        <v>Shepard</v>
      </c>
      <c r="K134" s="1" t="str">
        <f t="shared" si="4"/>
        <v>#N/A</v>
      </c>
      <c r="L134" s="1" t="str">
        <f>IFERROR(VLOOKUP($K134,Players!$D:$E,2,FALSE),VLOOKUP($H134,Players!A:E,5,FALSE))</f>
        <v>WR</v>
      </c>
    </row>
    <row r="135" ht="15.75" customHeight="1">
      <c r="A135" s="1">
        <v>2021.0</v>
      </c>
      <c r="B135" s="1" t="s">
        <v>36</v>
      </c>
      <c r="C135" s="1" t="s">
        <v>17</v>
      </c>
      <c r="D135" s="8">
        <v>9.0</v>
      </c>
      <c r="E135" s="8" t="str">
        <f t="shared" si="1"/>
        <v>Non-Playoff Team</v>
      </c>
      <c r="F135" s="8">
        <v>14.0</v>
      </c>
      <c r="G135" s="8">
        <v>160.0</v>
      </c>
      <c r="H135" s="1" t="s">
        <v>331</v>
      </c>
      <c r="I135" s="1" t="str">
        <f t="shared" si="2"/>
        <v>Kansas</v>
      </c>
      <c r="J135" s="1" t="str">
        <f t="shared" si="3"/>
        <v>City</v>
      </c>
      <c r="K135" s="1" t="str">
        <f t="shared" si="4"/>
        <v>#N/A</v>
      </c>
      <c r="L135" s="1" t="str">
        <f>IFERROR(VLOOKUP($K135,Players!$D:$E,2,FALSE),VLOOKUP($H135,Players!A:E,5,FALSE))</f>
        <v>DEF</v>
      </c>
    </row>
    <row r="136" ht="15.75" customHeight="1">
      <c r="A136" s="1">
        <v>2021.0</v>
      </c>
      <c r="B136" s="1" t="s">
        <v>36</v>
      </c>
      <c r="C136" s="1" t="s">
        <v>17</v>
      </c>
      <c r="D136" s="8">
        <v>9.0</v>
      </c>
      <c r="E136" s="8" t="str">
        <f t="shared" si="1"/>
        <v>Non-Playoff Team</v>
      </c>
      <c r="F136" s="8">
        <v>15.0</v>
      </c>
      <c r="G136" s="8">
        <v>177.0</v>
      </c>
      <c r="H136" s="1" t="s">
        <v>335</v>
      </c>
      <c r="I136" s="1" t="str">
        <f t="shared" si="2"/>
        <v>Randall</v>
      </c>
      <c r="J136" s="1" t="str">
        <f t="shared" si="3"/>
        <v>Cobb</v>
      </c>
      <c r="K136" s="1" t="str">
        <f t="shared" si="4"/>
        <v>#N/A</v>
      </c>
      <c r="L136" s="1" t="str">
        <f>IFERROR(VLOOKUP($K136,Players!$D:$E,2,FALSE),VLOOKUP($H136,Players!A:E,5,FALSE))</f>
        <v>WR</v>
      </c>
    </row>
    <row r="137" ht="15.75" customHeight="1">
      <c r="A137" s="1">
        <v>2021.0</v>
      </c>
      <c r="B137" s="1" t="s">
        <v>39</v>
      </c>
      <c r="C137" s="1" t="s">
        <v>10</v>
      </c>
      <c r="D137" s="8">
        <v>10.0</v>
      </c>
      <c r="E137" s="8" t="str">
        <f t="shared" si="1"/>
        <v>Non-Playoff Team</v>
      </c>
      <c r="F137" s="8">
        <v>1.0</v>
      </c>
      <c r="G137" s="8">
        <v>10.0</v>
      </c>
      <c r="H137" s="1" t="s">
        <v>339</v>
      </c>
      <c r="I137" s="1" t="str">
        <f t="shared" si="2"/>
        <v>Tyreek</v>
      </c>
      <c r="J137" s="1" t="str">
        <f t="shared" si="3"/>
        <v>Hill</v>
      </c>
      <c r="K137" s="1" t="str">
        <f t="shared" si="4"/>
        <v>#N/A</v>
      </c>
      <c r="L137" s="1" t="str">
        <f>IFERROR(VLOOKUP($K137,Players!$D:$E,2,FALSE),VLOOKUP($H137,Players!A:E,5,FALSE))</f>
        <v>WR</v>
      </c>
    </row>
    <row r="138" ht="15.75" customHeight="1">
      <c r="A138" s="1">
        <v>2021.0</v>
      </c>
      <c r="B138" s="1" t="s">
        <v>39</v>
      </c>
      <c r="C138" s="1" t="s">
        <v>10</v>
      </c>
      <c r="D138" s="8">
        <v>10.0</v>
      </c>
      <c r="E138" s="8" t="str">
        <f t="shared" si="1"/>
        <v>Non-Playoff Team</v>
      </c>
      <c r="F138" s="8">
        <v>2.0</v>
      </c>
      <c r="G138" s="8">
        <v>15.0</v>
      </c>
      <c r="H138" s="1" t="s">
        <v>342</v>
      </c>
      <c r="I138" s="1" t="str">
        <f t="shared" si="2"/>
        <v>Saquon</v>
      </c>
      <c r="J138" s="1" t="str">
        <f t="shared" si="3"/>
        <v>Barkley</v>
      </c>
      <c r="K138" s="1" t="str">
        <f t="shared" si="4"/>
        <v>#N/A</v>
      </c>
      <c r="L138" s="1" t="str">
        <f>IFERROR(VLOOKUP($K138,Players!$D:$E,2,FALSE),VLOOKUP($H138,Players!A:E,5,FALSE))</f>
        <v>RB</v>
      </c>
    </row>
    <row r="139" ht="15.75" customHeight="1">
      <c r="A139" s="1">
        <v>2021.0</v>
      </c>
      <c r="B139" s="1" t="s">
        <v>39</v>
      </c>
      <c r="C139" s="1" t="s">
        <v>10</v>
      </c>
      <c r="D139" s="8">
        <v>10.0</v>
      </c>
      <c r="E139" s="8" t="str">
        <f t="shared" si="1"/>
        <v>Non-Playoff Team</v>
      </c>
      <c r="F139" s="8">
        <v>3.0</v>
      </c>
      <c r="G139" s="8">
        <v>34.0</v>
      </c>
      <c r="H139" s="1" t="s">
        <v>345</v>
      </c>
      <c r="I139" s="1" t="str">
        <f t="shared" si="2"/>
        <v>George</v>
      </c>
      <c r="J139" s="1" t="str">
        <f t="shared" si="3"/>
        <v>Kittle</v>
      </c>
      <c r="K139" s="1" t="str">
        <f t="shared" si="4"/>
        <v>#N/A</v>
      </c>
      <c r="L139" s="1" t="str">
        <f>IFERROR(VLOOKUP($K139,Players!$D:$E,2,FALSE),VLOOKUP($H139,Players!A:E,5,FALSE))</f>
        <v>TE</v>
      </c>
    </row>
    <row r="140" ht="15.75" customHeight="1">
      <c r="A140" s="1">
        <v>2021.0</v>
      </c>
      <c r="B140" s="1" t="s">
        <v>39</v>
      </c>
      <c r="C140" s="1" t="s">
        <v>10</v>
      </c>
      <c r="D140" s="8">
        <v>10.0</v>
      </c>
      <c r="E140" s="8" t="str">
        <f t="shared" si="1"/>
        <v>Non-Playoff Team</v>
      </c>
      <c r="F140" s="8">
        <v>4.0</v>
      </c>
      <c r="G140" s="8">
        <v>39.0</v>
      </c>
      <c r="H140" s="1" t="s">
        <v>347</v>
      </c>
      <c r="I140" s="1" t="str">
        <f t="shared" si="2"/>
        <v>Chris</v>
      </c>
      <c r="J140" s="1" t="str">
        <f t="shared" si="3"/>
        <v>Carson</v>
      </c>
      <c r="K140" s="1" t="str">
        <f t="shared" si="4"/>
        <v>#N/A</v>
      </c>
      <c r="L140" s="1" t="str">
        <f>IFERROR(VLOOKUP($K140,Players!$D:$E,2,FALSE),VLOOKUP($H140,Players!A:E,5,FALSE))</f>
        <v>RB</v>
      </c>
    </row>
    <row r="141" ht="15.75" customHeight="1">
      <c r="A141" s="1">
        <v>2021.0</v>
      </c>
      <c r="B141" s="1" t="s">
        <v>39</v>
      </c>
      <c r="C141" s="1" t="s">
        <v>10</v>
      </c>
      <c r="D141" s="8">
        <v>10.0</v>
      </c>
      <c r="E141" s="8" t="str">
        <f t="shared" si="1"/>
        <v>Non-Playoff Team</v>
      </c>
      <c r="F141" s="8">
        <v>5.0</v>
      </c>
      <c r="G141" s="8">
        <v>58.0</v>
      </c>
      <c r="H141" s="1" t="s">
        <v>350</v>
      </c>
      <c r="I141" s="1" t="str">
        <f t="shared" si="2"/>
        <v>Chase</v>
      </c>
      <c r="J141" s="1" t="str">
        <f t="shared" si="3"/>
        <v>Claypool</v>
      </c>
      <c r="K141" s="1" t="str">
        <f t="shared" si="4"/>
        <v>#N/A</v>
      </c>
      <c r="L141" s="1" t="str">
        <f>IFERROR(VLOOKUP($K141,Players!$D:$E,2,FALSE),VLOOKUP($H141,Players!A:E,5,FALSE))</f>
        <v>WR</v>
      </c>
    </row>
    <row r="142" ht="15.75" customHeight="1">
      <c r="A142" s="1">
        <v>2021.0</v>
      </c>
      <c r="B142" s="1" t="s">
        <v>39</v>
      </c>
      <c r="C142" s="1" t="s">
        <v>10</v>
      </c>
      <c r="D142" s="8">
        <v>10.0</v>
      </c>
      <c r="E142" s="8" t="str">
        <f t="shared" si="1"/>
        <v>Non-Playoff Team</v>
      </c>
      <c r="F142" s="8">
        <v>6.0</v>
      </c>
      <c r="G142" s="8">
        <v>63.0</v>
      </c>
      <c r="H142" s="1" t="s">
        <v>352</v>
      </c>
      <c r="I142" s="1" t="str">
        <f t="shared" si="2"/>
        <v>Raheem</v>
      </c>
      <c r="J142" s="1" t="str">
        <f t="shared" si="3"/>
        <v>Mostert</v>
      </c>
      <c r="K142" s="1" t="str">
        <f t="shared" si="4"/>
        <v>#N/A</v>
      </c>
      <c r="L142" s="1" t="str">
        <f>IFERROR(VLOOKUP($K142,Players!$D:$E,2,FALSE),VLOOKUP($H142,Players!A:E,5,FALSE))</f>
        <v>RB</v>
      </c>
    </row>
    <row r="143" ht="15.75" customHeight="1">
      <c r="A143" s="1">
        <v>2021.0</v>
      </c>
      <c r="B143" s="1" t="s">
        <v>39</v>
      </c>
      <c r="C143" s="1" t="s">
        <v>10</v>
      </c>
      <c r="D143" s="8">
        <v>10.0</v>
      </c>
      <c r="E143" s="8" t="str">
        <f t="shared" si="1"/>
        <v>Non-Playoff Team</v>
      </c>
      <c r="F143" s="8">
        <v>7.0</v>
      </c>
      <c r="G143" s="8">
        <v>82.0</v>
      </c>
      <c r="H143" s="1" t="s">
        <v>354</v>
      </c>
      <c r="I143" s="1" t="str">
        <f t="shared" si="2"/>
        <v>Ja'Marr</v>
      </c>
      <c r="J143" s="1" t="str">
        <f t="shared" si="3"/>
        <v>Chase</v>
      </c>
      <c r="K143" s="1" t="str">
        <f t="shared" si="4"/>
        <v>#N/A</v>
      </c>
      <c r="L143" s="1" t="str">
        <f>IFERROR(VLOOKUP($K143,Players!$D:$E,2,FALSE),VLOOKUP($H143,Players!A:E,5,FALSE))</f>
        <v>WR</v>
      </c>
    </row>
    <row r="144" ht="15.75" customHeight="1">
      <c r="A144" s="1">
        <v>2021.0</v>
      </c>
      <c r="B144" s="1" t="s">
        <v>39</v>
      </c>
      <c r="C144" s="1" t="s">
        <v>10</v>
      </c>
      <c r="D144" s="8">
        <v>10.0</v>
      </c>
      <c r="E144" s="8" t="str">
        <f t="shared" si="1"/>
        <v>Non-Playoff Team</v>
      </c>
      <c r="F144" s="8">
        <v>8.0</v>
      </c>
      <c r="G144" s="8">
        <v>87.0</v>
      </c>
      <c r="H144" s="1" t="s">
        <v>357</v>
      </c>
      <c r="I144" s="1" t="str">
        <f t="shared" si="2"/>
        <v>Ryan</v>
      </c>
      <c r="J144" s="1" t="str">
        <f t="shared" si="3"/>
        <v>Tannehill</v>
      </c>
      <c r="K144" s="1" t="str">
        <f t="shared" si="4"/>
        <v>#N/A</v>
      </c>
      <c r="L144" s="1" t="str">
        <f>IFERROR(VLOOKUP($K144,Players!$D:$E,2,FALSE),VLOOKUP($H144,Players!A:E,5,FALSE))</f>
        <v>QB</v>
      </c>
    </row>
    <row r="145" ht="15.75" customHeight="1">
      <c r="A145" s="1">
        <v>2021.0</v>
      </c>
      <c r="B145" s="1" t="s">
        <v>39</v>
      </c>
      <c r="C145" s="1" t="s">
        <v>10</v>
      </c>
      <c r="D145" s="8">
        <v>10.0</v>
      </c>
      <c r="E145" s="8" t="str">
        <f t="shared" si="1"/>
        <v>Non-Playoff Team</v>
      </c>
      <c r="F145" s="8">
        <v>9.0</v>
      </c>
      <c r="G145" s="8">
        <v>106.0</v>
      </c>
      <c r="H145" s="1" t="s">
        <v>360</v>
      </c>
      <c r="I145" s="1" t="str">
        <f t="shared" si="2"/>
        <v>Melvin</v>
      </c>
      <c r="J145" s="1" t="str">
        <f t="shared" si="3"/>
        <v>Gordon III</v>
      </c>
      <c r="K145" s="1" t="str">
        <f t="shared" si="4"/>
        <v>#N/A</v>
      </c>
      <c r="L145" s="1" t="str">
        <f>IFERROR(VLOOKUP($K145,Players!$D:$E,2,FALSE),VLOOKUP($H145,Players!A:E,5,FALSE))</f>
        <v>#N/A</v>
      </c>
    </row>
    <row r="146" ht="15.75" customHeight="1">
      <c r="A146" s="1">
        <v>2021.0</v>
      </c>
      <c r="B146" s="1" t="s">
        <v>39</v>
      </c>
      <c r="C146" s="1" t="s">
        <v>10</v>
      </c>
      <c r="D146" s="8">
        <v>10.0</v>
      </c>
      <c r="E146" s="8" t="str">
        <f t="shared" si="1"/>
        <v>Non-Playoff Team</v>
      </c>
      <c r="F146" s="8">
        <v>10.0</v>
      </c>
      <c r="G146" s="8">
        <v>111.0</v>
      </c>
      <c r="H146" s="1" t="s">
        <v>362</v>
      </c>
      <c r="I146" s="1" t="str">
        <f t="shared" si="2"/>
        <v>Kenyan</v>
      </c>
      <c r="J146" s="1" t="str">
        <f t="shared" si="3"/>
        <v>Drake</v>
      </c>
      <c r="K146" s="1" t="str">
        <f t="shared" si="4"/>
        <v>#N/A</v>
      </c>
      <c r="L146" s="1" t="str">
        <f>IFERROR(VLOOKUP($K146,Players!$D:$E,2,FALSE),VLOOKUP($H146,Players!A:E,5,FALSE))</f>
        <v>RB</v>
      </c>
    </row>
    <row r="147" ht="15.75" customHeight="1">
      <c r="A147" s="1">
        <v>2021.0</v>
      </c>
      <c r="B147" s="1" t="s">
        <v>39</v>
      </c>
      <c r="C147" s="1" t="s">
        <v>10</v>
      </c>
      <c r="D147" s="8">
        <v>10.0</v>
      </c>
      <c r="E147" s="8" t="str">
        <f t="shared" si="1"/>
        <v>Non-Playoff Team</v>
      </c>
      <c r="F147" s="8">
        <v>11.0</v>
      </c>
      <c r="G147" s="8">
        <v>130.0</v>
      </c>
      <c r="H147" s="1" t="s">
        <v>366</v>
      </c>
      <c r="I147" s="1" t="str">
        <f t="shared" si="2"/>
        <v>Matthew</v>
      </c>
      <c r="J147" s="1" t="str">
        <f t="shared" si="3"/>
        <v>Stafford</v>
      </c>
      <c r="K147" s="1" t="str">
        <f t="shared" si="4"/>
        <v>#N/A</v>
      </c>
      <c r="L147" s="1" t="str">
        <f>IFERROR(VLOOKUP($K147,Players!$D:$E,2,FALSE),VLOOKUP($H147,Players!A:E,5,FALSE))</f>
        <v>QB</v>
      </c>
    </row>
    <row r="148" ht="15.75" customHeight="1">
      <c r="A148" s="1">
        <v>2021.0</v>
      </c>
      <c r="B148" s="1" t="s">
        <v>39</v>
      </c>
      <c r="C148" s="1" t="s">
        <v>10</v>
      </c>
      <c r="D148" s="8">
        <v>10.0</v>
      </c>
      <c r="E148" s="8" t="str">
        <f t="shared" si="1"/>
        <v>Non-Playoff Team</v>
      </c>
      <c r="F148" s="8">
        <v>12.0</v>
      </c>
      <c r="G148" s="8">
        <v>135.0</v>
      </c>
      <c r="H148" s="1" t="s">
        <v>369</v>
      </c>
      <c r="I148" s="1" t="str">
        <f t="shared" si="2"/>
        <v>New</v>
      </c>
      <c r="J148" s="1" t="str">
        <f t="shared" si="3"/>
        <v>England</v>
      </c>
      <c r="K148" s="1" t="str">
        <f t="shared" si="4"/>
        <v>#N/A</v>
      </c>
      <c r="L148" s="1" t="str">
        <f>IFERROR(VLOOKUP($K148,Players!$D:$E,2,FALSE),VLOOKUP($H148,Players!A:E,5,FALSE))</f>
        <v>DEF</v>
      </c>
    </row>
    <row r="149" ht="15.75" customHeight="1">
      <c r="A149" s="1">
        <v>2021.0</v>
      </c>
      <c r="B149" s="1" t="s">
        <v>39</v>
      </c>
      <c r="C149" s="1" t="s">
        <v>10</v>
      </c>
      <c r="D149" s="8">
        <v>10.0</v>
      </c>
      <c r="E149" s="8" t="str">
        <f t="shared" si="1"/>
        <v>Non-Playoff Team</v>
      </c>
      <c r="F149" s="8">
        <v>13.0</v>
      </c>
      <c r="G149" s="8">
        <v>154.0</v>
      </c>
      <c r="H149" s="1" t="s">
        <v>372</v>
      </c>
      <c r="I149" s="1" t="str">
        <f t="shared" si="2"/>
        <v>Elijah</v>
      </c>
      <c r="J149" s="1" t="str">
        <f t="shared" si="3"/>
        <v>Moore</v>
      </c>
      <c r="K149" s="1" t="str">
        <f t="shared" si="4"/>
        <v>#N/A</v>
      </c>
      <c r="L149" s="1" t="str">
        <f>IFERROR(VLOOKUP($K149,Players!$D:$E,2,FALSE),VLOOKUP($H149,Players!A:E,5,FALSE))</f>
        <v>WR</v>
      </c>
    </row>
    <row r="150" ht="15.75" customHeight="1">
      <c r="A150" s="1">
        <v>2021.0</v>
      </c>
      <c r="B150" s="1" t="s">
        <v>39</v>
      </c>
      <c r="C150" s="1" t="s">
        <v>10</v>
      </c>
      <c r="D150" s="8">
        <v>10.0</v>
      </c>
      <c r="E150" s="8" t="str">
        <f t="shared" si="1"/>
        <v>Non-Playoff Team</v>
      </c>
      <c r="F150" s="8">
        <v>14.0</v>
      </c>
      <c r="G150" s="8">
        <v>159.0</v>
      </c>
      <c r="H150" s="1" t="s">
        <v>375</v>
      </c>
      <c r="I150" s="1" t="str">
        <f t="shared" si="2"/>
        <v>Rashaad</v>
      </c>
      <c r="J150" s="1" t="str">
        <f t="shared" si="3"/>
        <v>Penny</v>
      </c>
      <c r="K150" s="1" t="str">
        <f t="shared" si="4"/>
        <v>#N/A</v>
      </c>
      <c r="L150" s="1" t="str">
        <f>IFERROR(VLOOKUP($K150,Players!$D:$E,2,FALSE),VLOOKUP($H150,Players!A:E,5,FALSE))</f>
        <v>RB</v>
      </c>
    </row>
    <row r="151" ht="15.75" customHeight="1">
      <c r="A151" s="1">
        <v>2021.0</v>
      </c>
      <c r="B151" s="1" t="s">
        <v>39</v>
      </c>
      <c r="C151" s="1" t="s">
        <v>10</v>
      </c>
      <c r="D151" s="8">
        <v>10.0</v>
      </c>
      <c r="E151" s="8" t="str">
        <f t="shared" si="1"/>
        <v>Non-Playoff Team</v>
      </c>
      <c r="F151" s="8">
        <v>15.0</v>
      </c>
      <c r="G151" s="8">
        <v>178.0</v>
      </c>
      <c r="H151" s="1" t="s">
        <v>377</v>
      </c>
      <c r="I151" s="1" t="str">
        <f t="shared" si="2"/>
        <v>Daniel</v>
      </c>
      <c r="J151" s="1" t="str">
        <f t="shared" si="3"/>
        <v>Carlson</v>
      </c>
      <c r="K151" s="1" t="str">
        <f t="shared" si="4"/>
        <v>#N/A</v>
      </c>
      <c r="L151" s="1" t="str">
        <f>IFERROR(VLOOKUP($K151,Players!$D:$E,2,FALSE),VLOOKUP($H151,Players!A:E,5,FALSE))</f>
        <v>K</v>
      </c>
    </row>
    <row r="152" ht="15.75" customHeight="1">
      <c r="A152" s="1">
        <v>2021.0</v>
      </c>
      <c r="B152" s="1" t="s">
        <v>16</v>
      </c>
      <c r="C152" s="1" t="s">
        <v>15</v>
      </c>
      <c r="D152" s="8">
        <v>2.0</v>
      </c>
      <c r="E152" s="8" t="str">
        <f t="shared" si="1"/>
        <v>Playoff Team</v>
      </c>
      <c r="F152" s="8">
        <v>1.0</v>
      </c>
      <c r="G152" s="8">
        <v>11.0</v>
      </c>
      <c r="H152" s="1" t="s">
        <v>381</v>
      </c>
      <c r="I152" s="1" t="str">
        <f t="shared" si="2"/>
        <v>Jonathan</v>
      </c>
      <c r="J152" s="1" t="str">
        <f t="shared" si="3"/>
        <v>Taylor</v>
      </c>
      <c r="K152" s="1" t="str">
        <f t="shared" si="4"/>
        <v>#N/A</v>
      </c>
      <c r="L152" s="1" t="str">
        <f>IFERROR(VLOOKUP($K152,Players!$D:$E,2,FALSE),VLOOKUP($H152,Players!A:E,5,FALSE))</f>
        <v>RB</v>
      </c>
    </row>
    <row r="153" ht="15.75" customHeight="1">
      <c r="A153" s="1">
        <v>2021.0</v>
      </c>
      <c r="B153" s="1" t="s">
        <v>16</v>
      </c>
      <c r="C153" s="1" t="s">
        <v>15</v>
      </c>
      <c r="D153" s="8">
        <v>2.0</v>
      </c>
      <c r="E153" s="8" t="str">
        <f t="shared" si="1"/>
        <v>Playoff Team</v>
      </c>
      <c r="F153" s="8">
        <v>2.0</v>
      </c>
      <c r="G153" s="8">
        <v>14.0</v>
      </c>
      <c r="H153" s="1" t="s">
        <v>385</v>
      </c>
      <c r="I153" s="1" t="str">
        <f t="shared" si="2"/>
        <v>Najee</v>
      </c>
      <c r="J153" s="1" t="str">
        <f t="shared" si="3"/>
        <v>Harris</v>
      </c>
      <c r="K153" s="1" t="str">
        <f t="shared" si="4"/>
        <v>#N/A</v>
      </c>
      <c r="L153" s="1" t="str">
        <f>IFERROR(VLOOKUP($K153,Players!$D:$E,2,FALSE),VLOOKUP($H153,Players!A:E,5,FALSE))</f>
        <v>RB</v>
      </c>
    </row>
    <row r="154" ht="15.75" customHeight="1">
      <c r="A154" s="1">
        <v>2021.0</v>
      </c>
      <c r="B154" s="1" t="s">
        <v>16</v>
      </c>
      <c r="C154" s="1" t="s">
        <v>15</v>
      </c>
      <c r="D154" s="8">
        <v>2.0</v>
      </c>
      <c r="E154" s="8" t="str">
        <f t="shared" si="1"/>
        <v>Playoff Team</v>
      </c>
      <c r="F154" s="8">
        <v>3.0</v>
      </c>
      <c r="G154" s="8">
        <v>35.0</v>
      </c>
      <c r="H154" s="1" t="s">
        <v>389</v>
      </c>
      <c r="I154" s="1" t="str">
        <f t="shared" si="2"/>
        <v>Robert</v>
      </c>
      <c r="J154" s="1" t="str">
        <f t="shared" si="3"/>
        <v>Woods</v>
      </c>
      <c r="K154" s="1" t="str">
        <f t="shared" si="4"/>
        <v>#N/A</v>
      </c>
      <c r="L154" s="1" t="str">
        <f>IFERROR(VLOOKUP($K154,Players!$D:$E,2,FALSE),VLOOKUP($H154,Players!A:E,5,FALSE))</f>
        <v>WR</v>
      </c>
    </row>
    <row r="155" ht="15.75" customHeight="1">
      <c r="A155" s="1">
        <v>2021.0</v>
      </c>
      <c r="B155" s="1" t="s">
        <v>16</v>
      </c>
      <c r="C155" s="1" t="s">
        <v>15</v>
      </c>
      <c r="D155" s="8">
        <v>2.0</v>
      </c>
      <c r="E155" s="8" t="str">
        <f t="shared" si="1"/>
        <v>Playoff Team</v>
      </c>
      <c r="F155" s="8">
        <v>4.0</v>
      </c>
      <c r="G155" s="8">
        <v>38.0</v>
      </c>
      <c r="H155" s="1" t="s">
        <v>391</v>
      </c>
      <c r="I155" s="1" t="str">
        <f t="shared" si="2"/>
        <v>Mike</v>
      </c>
      <c r="J155" s="1" t="str">
        <f t="shared" si="3"/>
        <v>Evans</v>
      </c>
      <c r="K155" s="1" t="str">
        <f t="shared" si="4"/>
        <v>#N/A</v>
      </c>
      <c r="L155" s="1" t="str">
        <f>IFERROR(VLOOKUP($K155,Players!$D:$E,2,FALSE),VLOOKUP($H155,Players!A:E,5,FALSE))</f>
        <v>WR</v>
      </c>
    </row>
    <row r="156" ht="15.75" customHeight="1">
      <c r="A156" s="1">
        <v>2021.0</v>
      </c>
      <c r="B156" s="1" t="s">
        <v>16</v>
      </c>
      <c r="C156" s="1" t="s">
        <v>15</v>
      </c>
      <c r="D156" s="8">
        <v>2.0</v>
      </c>
      <c r="E156" s="8" t="str">
        <f t="shared" si="1"/>
        <v>Playoff Team</v>
      </c>
      <c r="F156" s="8">
        <v>5.0</v>
      </c>
      <c r="G156" s="8">
        <v>59.0</v>
      </c>
      <c r="H156" s="1" t="s">
        <v>394</v>
      </c>
      <c r="I156" s="1" t="str">
        <f t="shared" si="2"/>
        <v>Brandon</v>
      </c>
      <c r="J156" s="1" t="str">
        <f t="shared" si="3"/>
        <v>Aiyuk</v>
      </c>
      <c r="K156" s="1" t="str">
        <f t="shared" si="4"/>
        <v>#N/A</v>
      </c>
      <c r="L156" s="1" t="str">
        <f>IFERROR(VLOOKUP($K156,Players!$D:$E,2,FALSE),VLOOKUP($H156,Players!A:E,5,FALSE))</f>
        <v>WR</v>
      </c>
    </row>
    <row r="157" ht="15.75" customHeight="1">
      <c r="A157" s="1">
        <v>2021.0</v>
      </c>
      <c r="B157" s="1" t="s">
        <v>16</v>
      </c>
      <c r="C157" s="1" t="s">
        <v>15</v>
      </c>
      <c r="D157" s="8">
        <v>2.0</v>
      </c>
      <c r="E157" s="8" t="str">
        <f t="shared" si="1"/>
        <v>Playoff Team</v>
      </c>
      <c r="F157" s="8">
        <v>6.0</v>
      </c>
      <c r="G157" s="8">
        <v>62.0</v>
      </c>
      <c r="H157" s="1" t="s">
        <v>176</v>
      </c>
      <c r="I157" s="1" t="str">
        <f t="shared" si="2"/>
        <v>Aaron</v>
      </c>
      <c r="J157" s="1" t="str">
        <f t="shared" si="3"/>
        <v>Rodgers</v>
      </c>
      <c r="K157" s="1" t="str">
        <f t="shared" si="4"/>
        <v>#N/A</v>
      </c>
      <c r="L157" s="1" t="str">
        <f>IFERROR(VLOOKUP($K157,Players!$D:$E,2,FALSE),VLOOKUP($H157,Players!A:E,5,FALSE))</f>
        <v>QB</v>
      </c>
    </row>
    <row r="158" ht="15.75" customHeight="1">
      <c r="A158" s="1">
        <v>2021.0</v>
      </c>
      <c r="B158" s="1" t="s">
        <v>16</v>
      </c>
      <c r="C158" s="1" t="s">
        <v>15</v>
      </c>
      <c r="D158" s="8">
        <v>2.0</v>
      </c>
      <c r="E158" s="8" t="str">
        <f t="shared" si="1"/>
        <v>Playoff Team</v>
      </c>
      <c r="F158" s="8">
        <v>7.0</v>
      </c>
      <c r="G158" s="8">
        <v>83.0</v>
      </c>
      <c r="H158" s="1" t="s">
        <v>398</v>
      </c>
      <c r="I158" s="1" t="str">
        <f t="shared" si="2"/>
        <v>Robert</v>
      </c>
      <c r="J158" s="1" t="str">
        <f t="shared" si="3"/>
        <v>Tonyan</v>
      </c>
      <c r="K158" s="1" t="str">
        <f t="shared" si="4"/>
        <v>#N/A</v>
      </c>
      <c r="L158" s="1" t="str">
        <f>IFERROR(VLOOKUP($K158,Players!$D:$E,2,FALSE),VLOOKUP($H158,Players!A:E,5,FALSE))</f>
        <v>TE</v>
      </c>
    </row>
    <row r="159" ht="15.75" customHeight="1">
      <c r="A159" s="1">
        <v>2021.0</v>
      </c>
      <c r="B159" s="1" t="s">
        <v>16</v>
      </c>
      <c r="C159" s="1" t="s">
        <v>15</v>
      </c>
      <c r="D159" s="8">
        <v>2.0</v>
      </c>
      <c r="E159" s="8" t="str">
        <f t="shared" si="1"/>
        <v>Playoff Team</v>
      </c>
      <c r="F159" s="8">
        <v>8.0</v>
      </c>
      <c r="G159" s="8">
        <v>86.0</v>
      </c>
      <c r="H159" s="1" t="s">
        <v>400</v>
      </c>
      <c r="I159" s="1" t="str">
        <f t="shared" si="2"/>
        <v>Michael</v>
      </c>
      <c r="J159" s="1" t="str">
        <f t="shared" si="3"/>
        <v>Pittman Jr</v>
      </c>
      <c r="K159" s="1" t="str">
        <f t="shared" si="4"/>
        <v>#N/A</v>
      </c>
      <c r="L159" s="1" t="str">
        <f>IFERROR(VLOOKUP($K159,Players!$D:$E,2,FALSE),VLOOKUP($H159,Players!A:E,5,FALSE))</f>
        <v>#N/A</v>
      </c>
    </row>
    <row r="160" ht="15.75" customHeight="1">
      <c r="A160" s="1">
        <v>2021.0</v>
      </c>
      <c r="B160" s="1" t="s">
        <v>16</v>
      </c>
      <c r="C160" s="1" t="s">
        <v>15</v>
      </c>
      <c r="D160" s="8">
        <v>2.0</v>
      </c>
      <c r="E160" s="8" t="str">
        <f t="shared" si="1"/>
        <v>Playoff Team</v>
      </c>
      <c r="F160" s="8">
        <v>9.0</v>
      </c>
      <c r="G160" s="8">
        <v>107.0</v>
      </c>
      <c r="H160" s="1" t="s">
        <v>402</v>
      </c>
      <c r="I160" s="1" t="str">
        <f t="shared" si="2"/>
        <v>Leonard</v>
      </c>
      <c r="J160" s="1" t="str">
        <f t="shared" si="3"/>
        <v>Fournette</v>
      </c>
      <c r="K160" s="1" t="str">
        <f t="shared" si="4"/>
        <v>#N/A</v>
      </c>
      <c r="L160" s="1" t="str">
        <f>IFERROR(VLOOKUP($K160,Players!$D:$E,2,FALSE),VLOOKUP($H160,Players!A:E,5,FALSE))</f>
        <v>RB</v>
      </c>
    </row>
    <row r="161" ht="15.75" customHeight="1">
      <c r="A161" s="1">
        <v>2021.0</v>
      </c>
      <c r="B161" s="1" t="s">
        <v>16</v>
      </c>
      <c r="C161" s="1" t="s">
        <v>15</v>
      </c>
      <c r="D161" s="8">
        <v>2.0</v>
      </c>
      <c r="E161" s="8" t="str">
        <f t="shared" si="1"/>
        <v>Playoff Team</v>
      </c>
      <c r="F161" s="8">
        <v>10.0</v>
      </c>
      <c r="G161" s="8">
        <v>110.0</v>
      </c>
      <c r="H161" s="1" t="s">
        <v>405</v>
      </c>
      <c r="I161" s="1" t="str">
        <f t="shared" si="2"/>
        <v>Jaylen</v>
      </c>
      <c r="J161" s="1" t="str">
        <f t="shared" si="3"/>
        <v>Waddle</v>
      </c>
      <c r="K161" s="1" t="str">
        <f t="shared" si="4"/>
        <v>#N/A</v>
      </c>
      <c r="L161" s="1" t="str">
        <f>IFERROR(VLOOKUP($K161,Players!$D:$E,2,FALSE),VLOOKUP($H161,Players!A:E,5,FALSE))</f>
        <v>WR</v>
      </c>
    </row>
    <row r="162" ht="15.75" customHeight="1">
      <c r="A162" s="1">
        <v>2021.0</v>
      </c>
      <c r="B162" s="1" t="s">
        <v>16</v>
      </c>
      <c r="C162" s="1" t="s">
        <v>15</v>
      </c>
      <c r="D162" s="8">
        <v>2.0</v>
      </c>
      <c r="E162" s="8" t="str">
        <f t="shared" si="1"/>
        <v>Playoff Team</v>
      </c>
      <c r="F162" s="8">
        <v>11.0</v>
      </c>
      <c r="G162" s="8">
        <v>131.0</v>
      </c>
      <c r="H162" s="1" t="s">
        <v>407</v>
      </c>
      <c r="I162" s="1" t="str">
        <f t="shared" si="2"/>
        <v>#VALUE!</v>
      </c>
      <c r="J162" s="1" t="str">
        <f t="shared" si="3"/>
        <v>#VALUE!</v>
      </c>
      <c r="K162" s="1" t="str">
        <f t="shared" si="4"/>
        <v>#N/A</v>
      </c>
      <c r="L162" s="1" t="str">
        <f>IFERROR(VLOOKUP($K162,Players!$D:$E,2,FALSE),VLOOKUP($H162,Players!A:E,5,FALSE))</f>
        <v>DEF</v>
      </c>
    </row>
    <row r="163" ht="15.75" customHeight="1">
      <c r="A163" s="1">
        <v>2021.0</v>
      </c>
      <c r="B163" s="1" t="s">
        <v>16</v>
      </c>
      <c r="C163" s="1" t="s">
        <v>15</v>
      </c>
      <c r="D163" s="8">
        <v>2.0</v>
      </c>
      <c r="E163" s="8" t="str">
        <f t="shared" si="1"/>
        <v>Playoff Team</v>
      </c>
      <c r="F163" s="8">
        <v>12.0</v>
      </c>
      <c r="G163" s="8">
        <v>134.0</v>
      </c>
      <c r="H163" s="1" t="s">
        <v>410</v>
      </c>
      <c r="I163" s="1" t="str">
        <f t="shared" si="2"/>
        <v>Tyler</v>
      </c>
      <c r="J163" s="1" t="str">
        <f t="shared" si="3"/>
        <v>Bass</v>
      </c>
      <c r="K163" s="1" t="str">
        <f t="shared" si="4"/>
        <v>#N/A</v>
      </c>
      <c r="L163" s="1" t="str">
        <f>IFERROR(VLOOKUP($K163,Players!$D:$E,2,FALSE),VLOOKUP($H163,Players!A:E,5,FALSE))</f>
        <v>K</v>
      </c>
    </row>
    <row r="164" ht="15.75" customHeight="1">
      <c r="A164" s="1">
        <v>2021.0</v>
      </c>
      <c r="B164" s="1" t="s">
        <v>16</v>
      </c>
      <c r="C164" s="1" t="s">
        <v>15</v>
      </c>
      <c r="D164" s="8">
        <v>2.0</v>
      </c>
      <c r="E164" s="8" t="str">
        <f t="shared" si="1"/>
        <v>Playoff Team</v>
      </c>
      <c r="F164" s="8">
        <v>13.0</v>
      </c>
      <c r="G164" s="8">
        <v>155.0</v>
      </c>
      <c r="H164" s="1" t="s">
        <v>412</v>
      </c>
      <c r="I164" s="1" t="str">
        <f t="shared" si="2"/>
        <v>Kirk</v>
      </c>
      <c r="J164" s="1" t="str">
        <f t="shared" si="3"/>
        <v>Cousins</v>
      </c>
      <c r="K164" s="1" t="str">
        <f t="shared" si="4"/>
        <v>#N/A</v>
      </c>
      <c r="L164" s="1" t="str">
        <f>IFERROR(VLOOKUP($K164,Players!$D:$E,2,FALSE),VLOOKUP($H164,Players!A:E,5,FALSE))</f>
        <v>QB</v>
      </c>
    </row>
    <row r="165" ht="15.75" customHeight="1">
      <c r="A165" s="1">
        <v>2021.0</v>
      </c>
      <c r="B165" s="1" t="s">
        <v>16</v>
      </c>
      <c r="C165" s="1" t="s">
        <v>15</v>
      </c>
      <c r="D165" s="8">
        <v>2.0</v>
      </c>
      <c r="E165" s="8" t="str">
        <f t="shared" si="1"/>
        <v>Playoff Team</v>
      </c>
      <c r="F165" s="8">
        <v>14.0</v>
      </c>
      <c r="G165" s="8">
        <v>158.0</v>
      </c>
      <c r="H165" s="1" t="s">
        <v>416</v>
      </c>
      <c r="I165" s="1" t="str">
        <f t="shared" si="2"/>
        <v>Terrace</v>
      </c>
      <c r="J165" s="1" t="str">
        <f t="shared" si="3"/>
        <v>Marshall Jr</v>
      </c>
      <c r="K165" s="1" t="str">
        <f t="shared" si="4"/>
        <v>#N/A</v>
      </c>
      <c r="L165" s="1" t="str">
        <f>IFERROR(VLOOKUP($K165,Players!$D:$E,2,FALSE),VLOOKUP($H165,Players!A:E,5,FALSE))</f>
        <v>#N/A</v>
      </c>
    </row>
    <row r="166" ht="15.75" customHeight="1">
      <c r="A166" s="1">
        <v>2021.0</v>
      </c>
      <c r="B166" s="1" t="s">
        <v>16</v>
      </c>
      <c r="C166" s="1" t="s">
        <v>15</v>
      </c>
      <c r="D166" s="8">
        <v>2.0</v>
      </c>
      <c r="E166" s="8" t="str">
        <f t="shared" si="1"/>
        <v>Playoff Team</v>
      </c>
      <c r="F166" s="8">
        <v>15.0</v>
      </c>
      <c r="G166" s="8">
        <v>179.0</v>
      </c>
      <c r="H166" s="1" t="s">
        <v>419</v>
      </c>
      <c r="I166" s="1" t="str">
        <f t="shared" si="2"/>
        <v>Jared</v>
      </c>
      <c r="J166" s="1" t="str">
        <f t="shared" si="3"/>
        <v>Cook</v>
      </c>
      <c r="K166" s="1" t="str">
        <f t="shared" si="4"/>
        <v>#N/A</v>
      </c>
      <c r="L166" s="1" t="str">
        <f>IFERROR(VLOOKUP($K166,Players!$D:$E,2,FALSE),VLOOKUP($H166,Players!A:E,5,FALSE))</f>
        <v>#N/A</v>
      </c>
    </row>
    <row r="167" ht="15.75" customHeight="1">
      <c r="A167" s="1">
        <v>2021.0</v>
      </c>
      <c r="B167" s="1" t="s">
        <v>11</v>
      </c>
      <c r="C167" s="1" t="s">
        <v>8</v>
      </c>
      <c r="D167" s="8">
        <v>1.0</v>
      </c>
      <c r="E167" s="8" t="str">
        <f t="shared" si="1"/>
        <v>Playoff Team</v>
      </c>
      <c r="F167" s="8">
        <v>1.0</v>
      </c>
      <c r="G167" s="8">
        <v>12.0</v>
      </c>
      <c r="H167" s="1" t="s">
        <v>422</v>
      </c>
      <c r="I167" s="1" t="str">
        <f t="shared" si="2"/>
        <v>Stefon</v>
      </c>
      <c r="J167" s="1" t="str">
        <f t="shared" si="3"/>
        <v>Diggs</v>
      </c>
      <c r="K167" s="1" t="str">
        <f t="shared" si="4"/>
        <v>#N/A</v>
      </c>
      <c r="L167" s="1" t="str">
        <f>IFERROR(VLOOKUP($K167,Players!$D:$E,2,FALSE),VLOOKUP($H167,Players!A:E,5,FALSE))</f>
        <v>WR</v>
      </c>
    </row>
    <row r="168" ht="15.75" customHeight="1">
      <c r="A168" s="1">
        <v>2021.0</v>
      </c>
      <c r="B168" s="1" t="s">
        <v>11</v>
      </c>
      <c r="C168" s="1" t="s">
        <v>8</v>
      </c>
      <c r="D168" s="8">
        <v>1.0</v>
      </c>
      <c r="E168" s="8" t="str">
        <f t="shared" si="1"/>
        <v>Playoff Team</v>
      </c>
      <c r="F168" s="8">
        <v>2.0</v>
      </c>
      <c r="G168" s="8">
        <v>13.0</v>
      </c>
      <c r="H168" s="1" t="s">
        <v>425</v>
      </c>
      <c r="I168" s="1" t="str">
        <f t="shared" si="2"/>
        <v>Nick</v>
      </c>
      <c r="J168" s="1" t="str">
        <f t="shared" si="3"/>
        <v>Chubb</v>
      </c>
      <c r="K168" s="1" t="str">
        <f t="shared" si="4"/>
        <v>#N/A</v>
      </c>
      <c r="L168" s="1" t="str">
        <f>IFERROR(VLOOKUP($K168,Players!$D:$E,2,FALSE),VLOOKUP($H168,Players!A:E,5,FALSE))</f>
        <v>RB</v>
      </c>
    </row>
    <row r="169" ht="15.75" customHeight="1">
      <c r="A169" s="1">
        <v>2021.0</v>
      </c>
      <c r="B169" s="1" t="s">
        <v>11</v>
      </c>
      <c r="C169" s="1" t="s">
        <v>8</v>
      </c>
      <c r="D169" s="8">
        <v>1.0</v>
      </c>
      <c r="E169" s="8" t="str">
        <f t="shared" si="1"/>
        <v>Playoff Team</v>
      </c>
      <c r="F169" s="8">
        <v>3.0</v>
      </c>
      <c r="G169" s="8">
        <v>36.0</v>
      </c>
      <c r="H169" s="1" t="s">
        <v>428</v>
      </c>
      <c r="I169" s="1" t="str">
        <f t="shared" si="2"/>
        <v>Josh</v>
      </c>
      <c r="J169" s="1" t="str">
        <f t="shared" si="3"/>
        <v>Allen</v>
      </c>
      <c r="K169" s="1" t="str">
        <f t="shared" si="4"/>
        <v>#N/A</v>
      </c>
      <c r="L169" s="1" t="str">
        <f>IFERROR(VLOOKUP($K169,Players!$D:$E,2,FALSE),VLOOKUP($H169,Players!A:E,5,FALSE))</f>
        <v>QB</v>
      </c>
    </row>
    <row r="170" ht="15.75" customHeight="1">
      <c r="A170" s="1">
        <v>2021.0</v>
      </c>
      <c r="B170" s="1" t="s">
        <v>11</v>
      </c>
      <c r="C170" s="1" t="s">
        <v>8</v>
      </c>
      <c r="D170" s="8">
        <v>1.0</v>
      </c>
      <c r="E170" s="8" t="str">
        <f t="shared" si="1"/>
        <v>Playoff Team</v>
      </c>
      <c r="F170" s="8">
        <v>4.0</v>
      </c>
      <c r="G170" s="8">
        <v>37.0</v>
      </c>
      <c r="H170" s="1" t="s">
        <v>430</v>
      </c>
      <c r="I170" s="1" t="str">
        <f t="shared" si="2"/>
        <v>Cooper</v>
      </c>
      <c r="J170" s="1" t="str">
        <f t="shared" si="3"/>
        <v>Kupp</v>
      </c>
      <c r="K170" s="1" t="str">
        <f t="shared" si="4"/>
        <v>#N/A</v>
      </c>
      <c r="L170" s="1" t="str">
        <f>IFERROR(VLOOKUP($K170,Players!$D:$E,2,FALSE),VLOOKUP($H170,Players!A:E,5,FALSE))</f>
        <v>WR</v>
      </c>
    </row>
    <row r="171" ht="15.75" customHeight="1">
      <c r="A171" s="1">
        <v>2021.0</v>
      </c>
      <c r="B171" s="1" t="s">
        <v>11</v>
      </c>
      <c r="C171" s="1" t="s">
        <v>8</v>
      </c>
      <c r="D171" s="8">
        <v>1.0</v>
      </c>
      <c r="E171" s="8" t="str">
        <f t="shared" si="1"/>
        <v>Playoff Team</v>
      </c>
      <c r="F171" s="8">
        <v>5.0</v>
      </c>
      <c r="G171" s="8">
        <v>60.0</v>
      </c>
      <c r="H171" s="1" t="s">
        <v>433</v>
      </c>
      <c r="I171" s="1" t="str">
        <f t="shared" si="2"/>
        <v>Javonte</v>
      </c>
      <c r="J171" s="1" t="str">
        <f t="shared" si="3"/>
        <v>Williams</v>
      </c>
      <c r="K171" s="1" t="str">
        <f t="shared" si="4"/>
        <v>#N/A</v>
      </c>
      <c r="L171" s="1" t="str">
        <f>IFERROR(VLOOKUP($K171,Players!$D:$E,2,FALSE),VLOOKUP($H171,Players!A:E,5,FALSE))</f>
        <v>RB</v>
      </c>
    </row>
    <row r="172" ht="15.75" customHeight="1">
      <c r="A172" s="1">
        <v>2021.0</v>
      </c>
      <c r="B172" s="1" t="s">
        <v>11</v>
      </c>
      <c r="C172" s="1" t="s">
        <v>8</v>
      </c>
      <c r="D172" s="8">
        <v>1.0</v>
      </c>
      <c r="E172" s="8" t="str">
        <f t="shared" si="1"/>
        <v>Playoff Team</v>
      </c>
      <c r="F172" s="8">
        <v>6.0</v>
      </c>
      <c r="G172" s="8">
        <v>61.0</v>
      </c>
      <c r="H172" s="1" t="s">
        <v>435</v>
      </c>
      <c r="I172" s="1" t="str">
        <f t="shared" si="2"/>
        <v>JuJu</v>
      </c>
      <c r="J172" s="1" t="str">
        <f t="shared" si="3"/>
        <v>Smith-Schuster</v>
      </c>
      <c r="K172" s="1" t="str">
        <f t="shared" si="4"/>
        <v>#N/A</v>
      </c>
      <c r="L172" s="1" t="str">
        <f>IFERROR(VLOOKUP($K172,Players!$D:$E,2,FALSE),VLOOKUP($H172,Players!A:E,5,FALSE))</f>
        <v>WR</v>
      </c>
    </row>
    <row r="173" ht="15.75" customHeight="1">
      <c r="A173" s="1">
        <v>2021.0</v>
      </c>
      <c r="B173" s="1" t="s">
        <v>11</v>
      </c>
      <c r="C173" s="1" t="s">
        <v>8</v>
      </c>
      <c r="D173" s="8">
        <v>1.0</v>
      </c>
      <c r="E173" s="8" t="str">
        <f t="shared" si="1"/>
        <v>Playoff Team</v>
      </c>
      <c r="F173" s="8">
        <v>7.0</v>
      </c>
      <c r="G173" s="8">
        <v>84.0</v>
      </c>
      <c r="H173" s="1" t="s">
        <v>438</v>
      </c>
      <c r="I173" s="1" t="str">
        <f t="shared" si="2"/>
        <v>Dallas</v>
      </c>
      <c r="J173" s="1" t="str">
        <f t="shared" si="3"/>
        <v>Goedert</v>
      </c>
      <c r="K173" s="1" t="str">
        <f t="shared" si="4"/>
        <v>#N/A</v>
      </c>
      <c r="L173" s="1" t="str">
        <f>IFERROR(VLOOKUP($K173,Players!$D:$E,2,FALSE),VLOOKUP($H173,Players!A:E,5,FALSE))</f>
        <v>TE</v>
      </c>
    </row>
    <row r="174" ht="15.75" customHeight="1">
      <c r="A174" s="1">
        <v>2021.0</v>
      </c>
      <c r="B174" s="1" t="s">
        <v>11</v>
      </c>
      <c r="C174" s="1" t="s">
        <v>8</v>
      </c>
      <c r="D174" s="8">
        <v>1.0</v>
      </c>
      <c r="E174" s="8" t="str">
        <f t="shared" si="1"/>
        <v>Playoff Team</v>
      </c>
      <c r="F174" s="8">
        <v>8.0</v>
      </c>
      <c r="G174" s="8">
        <v>85.0</v>
      </c>
      <c r="H174" s="1" t="s">
        <v>440</v>
      </c>
      <c r="I174" s="1" t="str">
        <f t="shared" si="2"/>
        <v>Tyler</v>
      </c>
      <c r="J174" s="1" t="str">
        <f t="shared" si="3"/>
        <v>Boyd</v>
      </c>
      <c r="K174" s="1" t="str">
        <f t="shared" si="4"/>
        <v>#N/A</v>
      </c>
      <c r="L174" s="1" t="str">
        <f>IFERROR(VLOOKUP($K174,Players!$D:$E,2,FALSE),VLOOKUP($H174,Players!A:E,5,FALSE))</f>
        <v>WR</v>
      </c>
    </row>
    <row r="175" ht="15.75" customHeight="1">
      <c r="A175" s="1">
        <v>2021.0</v>
      </c>
      <c r="B175" s="1" t="s">
        <v>11</v>
      </c>
      <c r="C175" s="1" t="s">
        <v>8</v>
      </c>
      <c r="D175" s="8">
        <v>1.0</v>
      </c>
      <c r="E175" s="8" t="str">
        <f t="shared" si="1"/>
        <v>Playoff Team</v>
      </c>
      <c r="F175" s="8">
        <v>9.0</v>
      </c>
      <c r="G175" s="8">
        <v>108.0</v>
      </c>
      <c r="H175" s="1" t="s">
        <v>443</v>
      </c>
      <c r="I175" s="1" t="str">
        <f t="shared" si="2"/>
        <v>Michael</v>
      </c>
      <c r="J175" s="1" t="str">
        <f t="shared" si="3"/>
        <v>Carter</v>
      </c>
      <c r="K175" s="1" t="str">
        <f t="shared" si="4"/>
        <v>#N/A</v>
      </c>
      <c r="L175" s="1" t="str">
        <f>IFERROR(VLOOKUP($K175,Players!$D:$E,2,FALSE),VLOOKUP($H175,Players!A:E,5,FALSE))</f>
        <v>RB</v>
      </c>
    </row>
    <row r="176" ht="15.75" customHeight="1">
      <c r="A176" s="1">
        <v>2021.0</v>
      </c>
      <c r="B176" s="1" t="s">
        <v>11</v>
      </c>
      <c r="C176" s="1" t="s">
        <v>8</v>
      </c>
      <c r="D176" s="8">
        <v>1.0</v>
      </c>
      <c r="E176" s="8" t="str">
        <f t="shared" si="1"/>
        <v>Playoff Team</v>
      </c>
      <c r="F176" s="8">
        <v>10.0</v>
      </c>
      <c r="G176" s="8">
        <v>109.0</v>
      </c>
      <c r="H176" s="1" t="s">
        <v>445</v>
      </c>
      <c r="I176" s="1" t="str">
        <f t="shared" si="2"/>
        <v>Gerald</v>
      </c>
      <c r="J176" s="1" t="str">
        <f t="shared" si="3"/>
        <v>Everett</v>
      </c>
      <c r="K176" s="1" t="str">
        <f t="shared" si="4"/>
        <v>#N/A</v>
      </c>
      <c r="L176" s="1" t="str">
        <f>IFERROR(VLOOKUP($K176,Players!$D:$E,2,FALSE),VLOOKUP($H176,Players!A:E,5,FALSE))</f>
        <v>TE</v>
      </c>
    </row>
    <row r="177" ht="15.75" customHeight="1">
      <c r="A177" s="1">
        <v>2021.0</v>
      </c>
      <c r="B177" s="1" t="s">
        <v>11</v>
      </c>
      <c r="C177" s="1" t="s">
        <v>8</v>
      </c>
      <c r="D177" s="8">
        <v>1.0</v>
      </c>
      <c r="E177" s="8" t="str">
        <f t="shared" si="1"/>
        <v>Playoff Team</v>
      </c>
      <c r="F177" s="8">
        <v>11.0</v>
      </c>
      <c r="G177" s="8">
        <v>132.0</v>
      </c>
      <c r="H177" s="1" t="s">
        <v>449</v>
      </c>
      <c r="I177" s="1" t="str">
        <f t="shared" si="2"/>
        <v>Henry</v>
      </c>
      <c r="J177" s="1" t="str">
        <f t="shared" si="3"/>
        <v>Ruggs III</v>
      </c>
      <c r="K177" s="1" t="str">
        <f t="shared" si="4"/>
        <v>#N/A</v>
      </c>
      <c r="L177" s="1" t="str">
        <f>IFERROR(VLOOKUP($K177,Players!$D:$E,2,FALSE),VLOOKUP($H177,Players!A:E,5,FALSE))</f>
        <v>#N/A</v>
      </c>
    </row>
    <row r="178" ht="15.75" customHeight="1">
      <c r="A178" s="1">
        <v>2021.0</v>
      </c>
      <c r="B178" s="1" t="s">
        <v>11</v>
      </c>
      <c r="C178" s="1" t="s">
        <v>8</v>
      </c>
      <c r="D178" s="8">
        <v>1.0</v>
      </c>
      <c r="E178" s="8" t="str">
        <f t="shared" si="1"/>
        <v>Playoff Team</v>
      </c>
      <c r="F178" s="8">
        <v>12.0</v>
      </c>
      <c r="G178" s="8">
        <v>133.0</v>
      </c>
      <c r="H178" s="1" t="s">
        <v>452</v>
      </c>
      <c r="I178" s="1" t="str">
        <f t="shared" si="2"/>
        <v>James</v>
      </c>
      <c r="J178" s="1" t="str">
        <f t="shared" si="3"/>
        <v>White</v>
      </c>
      <c r="K178" s="1" t="str">
        <f t="shared" si="4"/>
        <v>#N/A</v>
      </c>
      <c r="L178" s="1" t="str">
        <f>IFERROR(VLOOKUP($K178,Players!$D:$E,2,FALSE),VLOOKUP($H178,Players!A:E,5,FALSE))</f>
        <v>RB</v>
      </c>
    </row>
    <row r="179" ht="15.75" customHeight="1">
      <c r="A179" s="1">
        <v>2021.0</v>
      </c>
      <c r="B179" s="1" t="s">
        <v>11</v>
      </c>
      <c r="C179" s="1" t="s">
        <v>8</v>
      </c>
      <c r="D179" s="8">
        <v>1.0</v>
      </c>
      <c r="E179" s="8" t="str">
        <f t="shared" si="1"/>
        <v>Playoff Team</v>
      </c>
      <c r="F179" s="8">
        <v>13.0</v>
      </c>
      <c r="G179" s="8">
        <v>156.0</v>
      </c>
      <c r="H179" s="1" t="s">
        <v>456</v>
      </c>
      <c r="I179" s="1" t="str">
        <f t="shared" si="2"/>
        <v>#VALUE!</v>
      </c>
      <c r="J179" s="1" t="str">
        <f t="shared" si="3"/>
        <v>#VALUE!</v>
      </c>
      <c r="K179" s="1" t="str">
        <f t="shared" si="4"/>
        <v>#N/A</v>
      </c>
      <c r="L179" s="1" t="str">
        <f>IFERROR(VLOOKUP($K179,Players!$D:$E,2,FALSE),VLOOKUP($H179,Players!A:E,5,FALSE))</f>
        <v>DEF</v>
      </c>
    </row>
    <row r="180" ht="15.75" customHeight="1">
      <c r="A180" s="1">
        <v>2021.0</v>
      </c>
      <c r="B180" s="1" t="s">
        <v>11</v>
      </c>
      <c r="C180" s="1" t="s">
        <v>8</v>
      </c>
      <c r="D180" s="8">
        <v>1.0</v>
      </c>
      <c r="E180" s="8" t="str">
        <f t="shared" si="1"/>
        <v>Playoff Team</v>
      </c>
      <c r="F180" s="8">
        <v>14.0</v>
      </c>
      <c r="G180" s="8">
        <v>157.0</v>
      </c>
      <c r="H180" s="1" t="s">
        <v>459</v>
      </c>
      <c r="I180" s="1" t="str">
        <f t="shared" si="2"/>
        <v>Trevor</v>
      </c>
      <c r="J180" s="1" t="str">
        <f t="shared" si="3"/>
        <v>Lawrence</v>
      </c>
      <c r="K180" s="1" t="str">
        <f t="shared" si="4"/>
        <v>#N/A</v>
      </c>
      <c r="L180" s="1" t="str">
        <f>IFERROR(VLOOKUP($K180,Players!$D:$E,2,FALSE),VLOOKUP($H180,Players!A:E,5,FALSE))</f>
        <v>QB</v>
      </c>
    </row>
    <row r="181" ht="15.75" customHeight="1">
      <c r="A181" s="1">
        <v>2021.0</v>
      </c>
      <c r="B181" s="1" t="s">
        <v>11</v>
      </c>
      <c r="C181" s="1" t="s">
        <v>8</v>
      </c>
      <c r="D181" s="8">
        <v>1.0</v>
      </c>
      <c r="E181" s="8" t="str">
        <f t="shared" si="1"/>
        <v>Playoff Team</v>
      </c>
      <c r="F181" s="8">
        <v>15.0</v>
      </c>
      <c r="G181" s="8">
        <v>180.0</v>
      </c>
      <c r="H181" s="1" t="s">
        <v>462</v>
      </c>
      <c r="I181" s="1" t="str">
        <f t="shared" si="2"/>
        <v>Jason</v>
      </c>
      <c r="J181" s="1" t="str">
        <f t="shared" si="3"/>
        <v>Myers</v>
      </c>
      <c r="K181" s="1" t="str">
        <f t="shared" si="4"/>
        <v>#N/A</v>
      </c>
      <c r="L181" s="1" t="str">
        <f>IFERROR(VLOOKUP($K181,Players!$D:$E,2,FALSE),VLOOKUP($H181,Players!A:E,5,FALSE))</f>
        <v>K</v>
      </c>
    </row>
    <row r="182" ht="15.75" customHeight="1">
      <c r="A182" s="1">
        <v>2020.0</v>
      </c>
      <c r="B182" s="1" t="s">
        <v>41</v>
      </c>
      <c r="C182" s="1" t="s">
        <v>26</v>
      </c>
      <c r="D182" s="8">
        <v>12.0</v>
      </c>
      <c r="E182" s="8" t="str">
        <f t="shared" si="1"/>
        <v>Non-Playoff Team</v>
      </c>
      <c r="F182" s="8">
        <v>1.0</v>
      </c>
      <c r="G182" s="8">
        <v>1.0</v>
      </c>
      <c r="H182" s="1" t="s">
        <v>78</v>
      </c>
      <c r="I182" s="1" t="str">
        <f t="shared" si="2"/>
        <v>Christian</v>
      </c>
      <c r="J182" s="1" t="str">
        <f t="shared" si="3"/>
        <v>McCaffrey</v>
      </c>
      <c r="K182" s="1" t="str">
        <f t="shared" si="4"/>
        <v>#N/A</v>
      </c>
      <c r="L182" s="1" t="str">
        <f>IFERROR(VLOOKUP($K182,Players!$D:$E,2,FALSE),VLOOKUP($H182,Players!A:E,5,FALSE))</f>
        <v>RB</v>
      </c>
    </row>
    <row r="183" ht="15.75" customHeight="1">
      <c r="A183" s="1">
        <v>2020.0</v>
      </c>
      <c r="B183" s="1" t="s">
        <v>41</v>
      </c>
      <c r="C183" s="1" t="s">
        <v>26</v>
      </c>
      <c r="D183" s="8">
        <v>12.0</v>
      </c>
      <c r="E183" s="8" t="str">
        <f t="shared" si="1"/>
        <v>Non-Playoff Team</v>
      </c>
      <c r="F183" s="8">
        <v>2.0</v>
      </c>
      <c r="G183" s="8">
        <v>24.0</v>
      </c>
      <c r="H183" s="1" t="s">
        <v>173</v>
      </c>
      <c r="I183" s="1" t="str">
        <f t="shared" si="2"/>
        <v>Chris</v>
      </c>
      <c r="J183" s="1" t="str">
        <f t="shared" si="3"/>
        <v>Godwin</v>
      </c>
      <c r="K183" s="1" t="str">
        <f t="shared" si="4"/>
        <v>#N/A</v>
      </c>
      <c r="L183" s="1" t="str">
        <f>IFERROR(VLOOKUP($K183,Players!$D:$E,2,FALSE),VLOOKUP($H183,Players!A:E,5,FALSE))</f>
        <v>WR</v>
      </c>
    </row>
    <row r="184" ht="15.75" customHeight="1">
      <c r="A184" s="1">
        <v>2020.0</v>
      </c>
      <c r="B184" s="1" t="s">
        <v>41</v>
      </c>
      <c r="C184" s="1" t="s">
        <v>26</v>
      </c>
      <c r="D184" s="8">
        <v>12.0</v>
      </c>
      <c r="E184" s="8" t="str">
        <f t="shared" si="1"/>
        <v>Non-Playoff Team</v>
      </c>
      <c r="F184" s="8">
        <v>3.0</v>
      </c>
      <c r="G184" s="8">
        <v>25.0</v>
      </c>
      <c r="H184" s="1" t="s">
        <v>181</v>
      </c>
      <c r="I184" s="1" t="str">
        <f t="shared" si="2"/>
        <v>Odell</v>
      </c>
      <c r="J184" s="1" t="str">
        <f t="shared" si="3"/>
        <v>Beckham Jr</v>
      </c>
      <c r="K184" s="1" t="str">
        <f t="shared" si="4"/>
        <v>#N/A</v>
      </c>
      <c r="L184" s="1" t="str">
        <f>IFERROR(VLOOKUP($K184,Players!$D:$E,2,FALSE),VLOOKUP($H184,Players!A:E,5,FALSE))</f>
        <v>#N/A</v>
      </c>
    </row>
    <row r="185" ht="15.75" customHeight="1">
      <c r="A185" s="1">
        <v>2020.0</v>
      </c>
      <c r="B185" s="1" t="s">
        <v>41</v>
      </c>
      <c r="C185" s="1" t="s">
        <v>26</v>
      </c>
      <c r="D185" s="8">
        <v>12.0</v>
      </c>
      <c r="E185" s="8" t="str">
        <f t="shared" si="1"/>
        <v>Non-Playoff Team</v>
      </c>
      <c r="F185" s="8">
        <v>4.0</v>
      </c>
      <c r="G185" s="8">
        <v>48.0</v>
      </c>
      <c r="H185" s="1" t="s">
        <v>352</v>
      </c>
      <c r="I185" s="1" t="str">
        <f t="shared" si="2"/>
        <v>Raheem</v>
      </c>
      <c r="J185" s="1" t="str">
        <f t="shared" si="3"/>
        <v>Mostert</v>
      </c>
      <c r="K185" s="1" t="str">
        <f t="shared" si="4"/>
        <v>#N/A</v>
      </c>
      <c r="L185" s="1" t="str">
        <f>IFERROR(VLOOKUP($K185,Players!$D:$E,2,FALSE),VLOOKUP($H185,Players!A:E,5,FALSE))</f>
        <v>RB</v>
      </c>
    </row>
    <row r="186" ht="15.75" customHeight="1">
      <c r="A186" s="1">
        <v>2020.0</v>
      </c>
      <c r="B186" s="1" t="s">
        <v>41</v>
      </c>
      <c r="C186" s="1" t="s">
        <v>26</v>
      </c>
      <c r="D186" s="8">
        <v>12.0</v>
      </c>
      <c r="E186" s="8" t="str">
        <f t="shared" si="1"/>
        <v>Non-Playoff Team</v>
      </c>
      <c r="F186" s="8">
        <v>5.0</v>
      </c>
      <c r="G186" s="8">
        <v>49.0</v>
      </c>
      <c r="H186" s="1" t="s">
        <v>259</v>
      </c>
      <c r="I186" s="1" t="str">
        <f t="shared" si="2"/>
        <v>Darren</v>
      </c>
      <c r="J186" s="1" t="str">
        <f t="shared" si="3"/>
        <v>Waller</v>
      </c>
      <c r="K186" s="1" t="str">
        <f t="shared" si="4"/>
        <v>#N/A</v>
      </c>
      <c r="L186" s="1" t="str">
        <f>IFERROR(VLOOKUP($K186,Players!$D:$E,2,FALSE),VLOOKUP($H186,Players!A:E,5,FALSE))</f>
        <v>TE</v>
      </c>
    </row>
    <row r="187" ht="15.75" customHeight="1">
      <c r="A187" s="1">
        <v>2020.0</v>
      </c>
      <c r="B187" s="1" t="s">
        <v>41</v>
      </c>
      <c r="C187" s="1" t="s">
        <v>26</v>
      </c>
      <c r="D187" s="8">
        <v>12.0</v>
      </c>
      <c r="E187" s="8" t="str">
        <f t="shared" si="1"/>
        <v>Non-Playoff Team</v>
      </c>
      <c r="F187" s="8">
        <v>6.0</v>
      </c>
      <c r="G187" s="8">
        <v>72.0</v>
      </c>
      <c r="H187" s="1" t="s">
        <v>478</v>
      </c>
      <c r="I187" s="1" t="str">
        <f t="shared" si="2"/>
        <v>DeVante</v>
      </c>
      <c r="J187" s="1" t="str">
        <f t="shared" si="3"/>
        <v>Parker</v>
      </c>
      <c r="K187" s="1" t="str">
        <f t="shared" si="4"/>
        <v>#N/A</v>
      </c>
      <c r="L187" s="1" t="str">
        <f>IFERROR(VLOOKUP($K187,Players!$D:$E,2,FALSE),VLOOKUP($H187,Players!A:E,5,FALSE))</f>
        <v>WR</v>
      </c>
    </row>
    <row r="188" ht="15.75" customHeight="1">
      <c r="A188" s="1">
        <v>2020.0</v>
      </c>
      <c r="B188" s="1" t="s">
        <v>41</v>
      </c>
      <c r="C188" s="1" t="s">
        <v>26</v>
      </c>
      <c r="D188" s="8">
        <v>12.0</v>
      </c>
      <c r="E188" s="8" t="str">
        <f t="shared" si="1"/>
        <v>Non-Playoff Team</v>
      </c>
      <c r="F188" s="8">
        <v>7.0</v>
      </c>
      <c r="G188" s="8">
        <v>73.0</v>
      </c>
      <c r="H188" s="1" t="s">
        <v>481</v>
      </c>
      <c r="I188" s="1" t="str">
        <f t="shared" si="2"/>
        <v>Carson</v>
      </c>
      <c r="J188" s="1" t="str">
        <f t="shared" si="3"/>
        <v>Wentz</v>
      </c>
      <c r="K188" s="1" t="str">
        <f t="shared" si="4"/>
        <v>#N/A</v>
      </c>
      <c r="L188" s="1" t="str">
        <f>IFERROR(VLOOKUP($K188,Players!$D:$E,2,FALSE),VLOOKUP($H188,Players!A:E,5,FALSE))</f>
        <v>QB</v>
      </c>
    </row>
    <row r="189" ht="15.75" customHeight="1">
      <c r="A189" s="1">
        <v>2020.0</v>
      </c>
      <c r="B189" s="1" t="s">
        <v>41</v>
      </c>
      <c r="C189" s="1" t="s">
        <v>26</v>
      </c>
      <c r="D189" s="8">
        <v>12.0</v>
      </c>
      <c r="E189" s="8" t="str">
        <f t="shared" si="1"/>
        <v>Non-Playoff Team</v>
      </c>
      <c r="F189" s="8">
        <v>8.0</v>
      </c>
      <c r="G189" s="8">
        <v>96.0</v>
      </c>
      <c r="H189" s="1" t="s">
        <v>485</v>
      </c>
      <c r="I189" s="1" t="str">
        <f t="shared" si="2"/>
        <v>John</v>
      </c>
      <c r="J189" s="1" t="str">
        <f t="shared" si="3"/>
        <v>Brown</v>
      </c>
      <c r="K189" s="1" t="str">
        <f t="shared" si="4"/>
        <v>#N/A</v>
      </c>
      <c r="L189" s="1" t="str">
        <f>IFERROR(VLOOKUP($K189,Players!$D:$E,2,FALSE),VLOOKUP($H189,Players!A:E,5,FALSE))</f>
        <v>WR</v>
      </c>
    </row>
    <row r="190" ht="15.75" customHeight="1">
      <c r="A190" s="1">
        <v>2020.0</v>
      </c>
      <c r="B190" s="1" t="s">
        <v>41</v>
      </c>
      <c r="C190" s="1" t="s">
        <v>26</v>
      </c>
      <c r="D190" s="8">
        <v>12.0</v>
      </c>
      <c r="E190" s="8" t="str">
        <f t="shared" si="1"/>
        <v>Non-Playoff Team</v>
      </c>
      <c r="F190" s="8">
        <v>9.0</v>
      </c>
      <c r="G190" s="8">
        <v>97.0</v>
      </c>
      <c r="H190" s="1" t="s">
        <v>488</v>
      </c>
      <c r="I190" s="1" t="str">
        <f t="shared" si="2"/>
        <v>Jamison</v>
      </c>
      <c r="J190" s="1" t="str">
        <f t="shared" si="3"/>
        <v>Crowder</v>
      </c>
      <c r="K190" s="1" t="str">
        <f t="shared" si="4"/>
        <v>#N/A</v>
      </c>
      <c r="L190" s="1" t="str">
        <f>IFERROR(VLOOKUP($K190,Players!$D:$E,2,FALSE),VLOOKUP($H190,Players!A:E,5,FALSE))</f>
        <v>WR</v>
      </c>
    </row>
    <row r="191" ht="15.75" customHeight="1">
      <c r="A191" s="1">
        <v>2020.0</v>
      </c>
      <c r="B191" s="1" t="s">
        <v>41</v>
      </c>
      <c r="C191" s="1" t="s">
        <v>26</v>
      </c>
      <c r="D191" s="8">
        <v>12.0</v>
      </c>
      <c r="E191" s="8" t="str">
        <f t="shared" si="1"/>
        <v>Non-Playoff Team</v>
      </c>
      <c r="F191" s="8">
        <v>10.0</v>
      </c>
      <c r="G191" s="8">
        <v>120.0</v>
      </c>
      <c r="H191" s="1" t="s">
        <v>491</v>
      </c>
      <c r="I191" s="1" t="str">
        <f t="shared" si="2"/>
        <v>Kerryon</v>
      </c>
      <c r="J191" s="1" t="str">
        <f t="shared" si="3"/>
        <v>Johnson</v>
      </c>
      <c r="K191" s="1" t="str">
        <f t="shared" si="4"/>
        <v>#N/A</v>
      </c>
      <c r="L191" s="1" t="str">
        <f>IFERROR(VLOOKUP($K191,Players!$D:$E,2,FALSE),VLOOKUP($H191,Players!A:E,5,FALSE))</f>
        <v>RB</v>
      </c>
    </row>
    <row r="192" ht="15.75" customHeight="1">
      <c r="A192" s="1">
        <v>2020.0</v>
      </c>
      <c r="B192" s="1" t="s">
        <v>41</v>
      </c>
      <c r="C192" s="1" t="s">
        <v>26</v>
      </c>
      <c r="D192" s="8">
        <v>12.0</v>
      </c>
      <c r="E192" s="8" t="str">
        <f t="shared" si="1"/>
        <v>Non-Playoff Team</v>
      </c>
      <c r="F192" s="8">
        <v>11.0</v>
      </c>
      <c r="G192" s="8">
        <v>121.0</v>
      </c>
      <c r="H192" s="1" t="s">
        <v>494</v>
      </c>
      <c r="I192" s="1" t="str">
        <f t="shared" si="2"/>
        <v>Matt</v>
      </c>
      <c r="J192" s="1" t="str">
        <f t="shared" si="3"/>
        <v>Breida</v>
      </c>
      <c r="K192" s="1" t="str">
        <f t="shared" si="4"/>
        <v>#N/A</v>
      </c>
      <c r="L192" s="1" t="str">
        <f>IFERROR(VLOOKUP($K192,Players!$D:$E,2,FALSE),VLOOKUP($H192,Players!A:E,5,FALSE))</f>
        <v>RB</v>
      </c>
    </row>
    <row r="193" ht="15.75" customHeight="1">
      <c r="A193" s="1">
        <v>2020.0</v>
      </c>
      <c r="B193" s="1" t="s">
        <v>41</v>
      </c>
      <c r="C193" s="1" t="s">
        <v>26</v>
      </c>
      <c r="D193" s="8">
        <v>12.0</v>
      </c>
      <c r="E193" s="8" t="str">
        <f t="shared" si="1"/>
        <v>Non-Playoff Team</v>
      </c>
      <c r="F193" s="8">
        <v>12.0</v>
      </c>
      <c r="G193" s="8">
        <v>144.0</v>
      </c>
      <c r="H193" s="1" t="s">
        <v>498</v>
      </c>
      <c r="I193" s="1" t="str">
        <f t="shared" si="2"/>
        <v>Duke</v>
      </c>
      <c r="J193" s="1" t="str">
        <f t="shared" si="3"/>
        <v>Johnson</v>
      </c>
      <c r="K193" s="1" t="str">
        <f t="shared" si="4"/>
        <v>#N/A</v>
      </c>
      <c r="L193" s="1" t="str">
        <f>IFERROR(VLOOKUP($K193,Players!$D:$E,2,FALSE),VLOOKUP($H193,Players!A:E,5,FALSE))</f>
        <v>RB</v>
      </c>
    </row>
    <row r="194" ht="15.75" customHeight="1">
      <c r="A194" s="1">
        <v>2020.0</v>
      </c>
      <c r="B194" s="1" t="s">
        <v>41</v>
      </c>
      <c r="C194" s="1" t="s">
        <v>26</v>
      </c>
      <c r="D194" s="8">
        <v>12.0</v>
      </c>
      <c r="E194" s="8" t="str">
        <f t="shared" si="1"/>
        <v>Non-Playoff Team</v>
      </c>
      <c r="F194" s="8">
        <v>13.0</v>
      </c>
      <c r="G194" s="8">
        <v>145.0</v>
      </c>
      <c r="H194" s="1" t="s">
        <v>502</v>
      </c>
      <c r="I194" s="1" t="str">
        <f t="shared" si="2"/>
        <v>#VALUE!</v>
      </c>
      <c r="J194" s="1" t="str">
        <f t="shared" si="3"/>
        <v>#VALUE!</v>
      </c>
      <c r="K194" s="1" t="str">
        <f t="shared" si="4"/>
        <v>#N/A</v>
      </c>
      <c r="L194" s="1" t="str">
        <f>IFERROR(VLOOKUP($K194,Players!$D:$E,2,FALSE),VLOOKUP($H194,Players!A:E,5,FALSE))</f>
        <v>DEF</v>
      </c>
    </row>
    <row r="195" ht="15.75" customHeight="1">
      <c r="A195" s="1">
        <v>2020.0</v>
      </c>
      <c r="B195" s="1" t="s">
        <v>41</v>
      </c>
      <c r="C195" s="1" t="s">
        <v>26</v>
      </c>
      <c r="D195" s="8">
        <v>12.0</v>
      </c>
      <c r="E195" s="8" t="str">
        <f t="shared" si="1"/>
        <v>Non-Playoff Team</v>
      </c>
      <c r="F195" s="8">
        <v>14.0</v>
      </c>
      <c r="G195" s="8">
        <v>168.0</v>
      </c>
      <c r="H195" s="1" t="s">
        <v>505</v>
      </c>
      <c r="I195" s="1" t="str">
        <f t="shared" si="2"/>
        <v>Jimmy</v>
      </c>
      <c r="J195" s="1" t="str">
        <f t="shared" si="3"/>
        <v>Garoppolo</v>
      </c>
      <c r="K195" s="1" t="str">
        <f t="shared" si="4"/>
        <v>#N/A</v>
      </c>
      <c r="L195" s="1" t="str">
        <f>IFERROR(VLOOKUP($K195,Players!$D:$E,2,FALSE),VLOOKUP($H195,Players!A:E,5,FALSE))</f>
        <v>QB</v>
      </c>
    </row>
    <row r="196" ht="15.75" customHeight="1">
      <c r="A196" s="1">
        <v>2020.0</v>
      </c>
      <c r="B196" s="1" t="s">
        <v>41</v>
      </c>
      <c r="C196" s="1" t="s">
        <v>26</v>
      </c>
      <c r="D196" s="8">
        <v>12.0</v>
      </c>
      <c r="E196" s="8" t="str">
        <f t="shared" si="1"/>
        <v>Non-Playoff Team</v>
      </c>
      <c r="F196" s="8">
        <v>15.0</v>
      </c>
      <c r="G196" s="8">
        <v>169.0</v>
      </c>
      <c r="H196" s="1" t="s">
        <v>509</v>
      </c>
      <c r="I196" s="1" t="str">
        <f t="shared" si="2"/>
        <v>Matt</v>
      </c>
      <c r="J196" s="1" t="str">
        <f t="shared" si="3"/>
        <v>Prater</v>
      </c>
      <c r="K196" s="1" t="str">
        <f t="shared" si="4"/>
        <v>#N/A</v>
      </c>
      <c r="L196" s="1" t="str">
        <f>IFERROR(VLOOKUP($K196,Players!$D:$E,2,FALSE),VLOOKUP($H196,Players!A:E,5,FALSE))</f>
        <v>K</v>
      </c>
    </row>
    <row r="197" ht="15.75" customHeight="1">
      <c r="A197" s="1">
        <v>2020.0</v>
      </c>
      <c r="B197" s="1" t="s">
        <v>50</v>
      </c>
      <c r="C197" s="1" t="s">
        <v>8</v>
      </c>
      <c r="D197" s="8">
        <v>11.0</v>
      </c>
      <c r="E197" s="8" t="str">
        <f t="shared" si="1"/>
        <v>Non-Playoff Team</v>
      </c>
      <c r="F197" s="8">
        <v>1.0</v>
      </c>
      <c r="G197" s="8">
        <v>2.0</v>
      </c>
      <c r="H197" s="1" t="s">
        <v>342</v>
      </c>
      <c r="I197" s="1" t="str">
        <f t="shared" si="2"/>
        <v>Saquon</v>
      </c>
      <c r="J197" s="1" t="str">
        <f t="shared" si="3"/>
        <v>Barkley</v>
      </c>
      <c r="K197" s="1" t="str">
        <f t="shared" si="4"/>
        <v>#N/A</v>
      </c>
      <c r="L197" s="1" t="str">
        <f>IFERROR(VLOOKUP($K197,Players!$D:$E,2,FALSE),VLOOKUP($H197,Players!A:E,5,FALSE))</f>
        <v>RB</v>
      </c>
    </row>
    <row r="198" ht="15.75" customHeight="1">
      <c r="A198" s="1">
        <v>2020.0</v>
      </c>
      <c r="B198" s="1" t="s">
        <v>50</v>
      </c>
      <c r="C198" s="1" t="s">
        <v>8</v>
      </c>
      <c r="D198" s="8">
        <v>11.0</v>
      </c>
      <c r="E198" s="8" t="str">
        <f t="shared" si="1"/>
        <v>Non-Playoff Team</v>
      </c>
      <c r="F198" s="8">
        <v>2.0</v>
      </c>
      <c r="G198" s="8">
        <v>23.0</v>
      </c>
      <c r="H198" s="1" t="s">
        <v>85</v>
      </c>
      <c r="I198" s="1" t="str">
        <f t="shared" si="2"/>
        <v>James</v>
      </c>
      <c r="J198" s="1" t="str">
        <f t="shared" si="3"/>
        <v>Conner</v>
      </c>
      <c r="K198" s="1" t="str">
        <f t="shared" si="4"/>
        <v>#N/A</v>
      </c>
      <c r="L198" s="1" t="str">
        <f>IFERROR(VLOOKUP($K198,Players!$D:$E,2,FALSE),VLOOKUP($H198,Players!A:E,5,FALSE))</f>
        <v>RB</v>
      </c>
    </row>
    <row r="199" ht="15.75" customHeight="1">
      <c r="A199" s="1">
        <v>2020.0</v>
      </c>
      <c r="B199" s="1" t="s">
        <v>50</v>
      </c>
      <c r="C199" s="1" t="s">
        <v>8</v>
      </c>
      <c r="D199" s="8">
        <v>11.0</v>
      </c>
      <c r="E199" s="8" t="str">
        <f t="shared" si="1"/>
        <v>Non-Playoff Team</v>
      </c>
      <c r="F199" s="8">
        <v>3.0</v>
      </c>
      <c r="G199" s="8">
        <v>26.0</v>
      </c>
      <c r="H199" s="1" t="s">
        <v>391</v>
      </c>
      <c r="I199" s="1" t="str">
        <f t="shared" si="2"/>
        <v>Mike</v>
      </c>
      <c r="J199" s="1" t="str">
        <f t="shared" si="3"/>
        <v>Evans</v>
      </c>
      <c r="K199" s="1" t="str">
        <f t="shared" si="4"/>
        <v>#N/A</v>
      </c>
      <c r="L199" s="1" t="str">
        <f>IFERROR(VLOOKUP($K199,Players!$D:$E,2,FALSE),VLOOKUP($H199,Players!A:E,5,FALSE))</f>
        <v>WR</v>
      </c>
    </row>
    <row r="200" ht="15.75" customHeight="1">
      <c r="A200" s="1">
        <v>2020.0</v>
      </c>
      <c r="B200" s="1" t="s">
        <v>50</v>
      </c>
      <c r="C200" s="1" t="s">
        <v>8</v>
      </c>
      <c r="D200" s="8">
        <v>11.0</v>
      </c>
      <c r="E200" s="8" t="str">
        <f t="shared" si="1"/>
        <v>Non-Playoff Team</v>
      </c>
      <c r="F200" s="8">
        <v>4.0</v>
      </c>
      <c r="G200" s="8">
        <v>47.0</v>
      </c>
      <c r="H200" s="1" t="s">
        <v>125</v>
      </c>
      <c r="I200" s="1" t="str">
        <f t="shared" si="2"/>
        <v>Terry</v>
      </c>
      <c r="J200" s="1" t="str">
        <f t="shared" si="3"/>
        <v>McLaurin</v>
      </c>
      <c r="K200" s="1" t="str">
        <f t="shared" si="4"/>
        <v>#N/A</v>
      </c>
      <c r="L200" s="1" t="str">
        <f>IFERROR(VLOOKUP($K200,Players!$D:$E,2,FALSE),VLOOKUP($H200,Players!A:E,5,FALSE))</f>
        <v>WR</v>
      </c>
    </row>
    <row r="201" ht="15.75" customHeight="1">
      <c r="A201" s="1">
        <v>2020.0</v>
      </c>
      <c r="B201" s="1" t="s">
        <v>50</v>
      </c>
      <c r="C201" s="1" t="s">
        <v>8</v>
      </c>
      <c r="D201" s="8">
        <v>11.0</v>
      </c>
      <c r="E201" s="8" t="str">
        <f t="shared" si="1"/>
        <v>Non-Playoff Team</v>
      </c>
      <c r="F201" s="8">
        <v>5.0</v>
      </c>
      <c r="G201" s="8">
        <v>50.0</v>
      </c>
      <c r="H201" s="1" t="s">
        <v>203</v>
      </c>
      <c r="I201" s="1" t="str">
        <f t="shared" si="2"/>
        <v>Evan</v>
      </c>
      <c r="J201" s="1" t="str">
        <f t="shared" si="3"/>
        <v>Engram</v>
      </c>
      <c r="K201" s="1" t="str">
        <f t="shared" si="4"/>
        <v>#N/A</v>
      </c>
      <c r="L201" s="1" t="str">
        <f>IFERROR(VLOOKUP($K201,Players!$D:$E,2,FALSE),VLOOKUP($H201,Players!A:E,5,FALSE))</f>
        <v>TE</v>
      </c>
    </row>
    <row r="202" ht="15.75" customHeight="1">
      <c r="A202" s="1">
        <v>2020.0</v>
      </c>
      <c r="B202" s="1" t="s">
        <v>50</v>
      </c>
      <c r="C202" s="1" t="s">
        <v>8</v>
      </c>
      <c r="D202" s="8">
        <v>11.0</v>
      </c>
      <c r="E202" s="8" t="str">
        <f t="shared" si="1"/>
        <v>Non-Playoff Team</v>
      </c>
      <c r="F202" s="8">
        <v>6.0</v>
      </c>
      <c r="G202" s="8">
        <v>71.0</v>
      </c>
      <c r="H202" s="1" t="s">
        <v>261</v>
      </c>
      <c r="I202" s="1" t="str">
        <f t="shared" si="2"/>
        <v>David</v>
      </c>
      <c r="J202" s="1" t="str">
        <f t="shared" si="3"/>
        <v>Montgomery</v>
      </c>
      <c r="K202" s="1" t="str">
        <f t="shared" si="4"/>
        <v>#N/A</v>
      </c>
      <c r="L202" s="1" t="str">
        <f>IFERROR(VLOOKUP($K202,Players!$D:$E,2,FALSE),VLOOKUP($H202,Players!A:E,5,FALSE))</f>
        <v>RB</v>
      </c>
    </row>
    <row r="203" ht="15.75" customHeight="1">
      <c r="A203" s="1">
        <v>2020.0</v>
      </c>
      <c r="B203" s="1" t="s">
        <v>50</v>
      </c>
      <c r="C203" s="1" t="s">
        <v>8</v>
      </c>
      <c r="D203" s="8">
        <v>11.0</v>
      </c>
      <c r="E203" s="8" t="str">
        <f t="shared" si="1"/>
        <v>Non-Playoff Team</v>
      </c>
      <c r="F203" s="8">
        <v>7.0</v>
      </c>
      <c r="G203" s="8">
        <v>74.0</v>
      </c>
      <c r="H203" s="1" t="s">
        <v>524</v>
      </c>
      <c r="I203" s="1" t="str">
        <f t="shared" si="2"/>
        <v>Matt</v>
      </c>
      <c r="J203" s="1" t="str">
        <f t="shared" si="3"/>
        <v>Ryan</v>
      </c>
      <c r="K203" s="1" t="str">
        <f t="shared" si="4"/>
        <v>#N/A</v>
      </c>
      <c r="L203" s="1" t="str">
        <f>IFERROR(VLOOKUP($K203,Players!$D:$E,2,FALSE),VLOOKUP($H203,Players!A:E,5,FALSE))</f>
        <v>QB</v>
      </c>
    </row>
    <row r="204" ht="15.75" customHeight="1">
      <c r="A204" s="1">
        <v>2020.0</v>
      </c>
      <c r="B204" s="1" t="s">
        <v>50</v>
      </c>
      <c r="C204" s="1" t="s">
        <v>8</v>
      </c>
      <c r="D204" s="8">
        <v>11.0</v>
      </c>
      <c r="E204" s="8" t="str">
        <f t="shared" si="1"/>
        <v>Non-Playoff Team</v>
      </c>
      <c r="F204" s="8">
        <v>8.0</v>
      </c>
      <c r="G204" s="8">
        <v>95.0</v>
      </c>
      <c r="H204" s="1" t="s">
        <v>82</v>
      </c>
      <c r="I204" s="1" t="str">
        <f t="shared" si="2"/>
        <v>Diontae</v>
      </c>
      <c r="J204" s="1" t="str">
        <f t="shared" si="3"/>
        <v>Johnson</v>
      </c>
      <c r="K204" s="1" t="str">
        <f t="shared" si="4"/>
        <v>#N/A</v>
      </c>
      <c r="L204" s="1" t="str">
        <f>IFERROR(VLOOKUP($K204,Players!$D:$E,2,FALSE),VLOOKUP($H204,Players!A:E,5,FALSE))</f>
        <v>WR</v>
      </c>
    </row>
    <row r="205" ht="15.75" customHeight="1">
      <c r="A205" s="1">
        <v>2020.0</v>
      </c>
      <c r="B205" s="1" t="s">
        <v>50</v>
      </c>
      <c r="C205" s="1" t="s">
        <v>8</v>
      </c>
      <c r="D205" s="8">
        <v>11.0</v>
      </c>
      <c r="E205" s="8" t="str">
        <f t="shared" si="1"/>
        <v>Non-Playoff Team</v>
      </c>
      <c r="F205" s="8">
        <v>9.0</v>
      </c>
      <c r="G205" s="8">
        <v>98.0</v>
      </c>
      <c r="H205" s="1" t="s">
        <v>527</v>
      </c>
      <c r="I205" s="1" t="str">
        <f t="shared" si="2"/>
        <v>Hunter</v>
      </c>
      <c r="J205" s="1" t="str">
        <f t="shared" si="3"/>
        <v>Henry</v>
      </c>
      <c r="K205" s="1" t="str">
        <f t="shared" si="4"/>
        <v>#N/A</v>
      </c>
      <c r="L205" s="1" t="str">
        <f>IFERROR(VLOOKUP($K205,Players!$D:$E,2,FALSE),VLOOKUP($H205,Players!A:E,5,FALSE))</f>
        <v>TE</v>
      </c>
    </row>
    <row r="206" ht="15.75" customHeight="1">
      <c r="A206" s="1">
        <v>2020.0</v>
      </c>
      <c r="B206" s="1" t="s">
        <v>50</v>
      </c>
      <c r="C206" s="1" t="s">
        <v>8</v>
      </c>
      <c r="D206" s="8">
        <v>11.0</v>
      </c>
      <c r="E206" s="8" t="str">
        <f t="shared" si="1"/>
        <v>Non-Playoff Team</v>
      </c>
      <c r="F206" s="8">
        <v>10.0</v>
      </c>
      <c r="G206" s="8">
        <v>119.0</v>
      </c>
      <c r="H206" s="1" t="s">
        <v>124</v>
      </c>
      <c r="I206" s="1" t="str">
        <f t="shared" si="2"/>
        <v>Justin</v>
      </c>
      <c r="J206" s="1" t="str">
        <f t="shared" si="3"/>
        <v>Jefferson</v>
      </c>
      <c r="K206" s="1" t="str">
        <f t="shared" si="4"/>
        <v>#N/A</v>
      </c>
      <c r="L206" s="1" t="str">
        <f>IFERROR(VLOOKUP($K206,Players!$D:$E,2,FALSE),VLOOKUP($H206,Players!A:E,5,FALSE))</f>
        <v>WR</v>
      </c>
    </row>
    <row r="207" ht="15.75" customHeight="1">
      <c r="A207" s="1">
        <v>2020.0</v>
      </c>
      <c r="B207" s="1" t="s">
        <v>50</v>
      </c>
      <c r="C207" s="1" t="s">
        <v>8</v>
      </c>
      <c r="D207" s="8">
        <v>11.0</v>
      </c>
      <c r="E207" s="8" t="str">
        <f t="shared" si="1"/>
        <v>Non-Playoff Team</v>
      </c>
      <c r="F207" s="8">
        <v>11.0</v>
      </c>
      <c r="G207" s="8">
        <v>122.0</v>
      </c>
      <c r="H207" s="1" t="s">
        <v>531</v>
      </c>
      <c r="I207" s="1" t="str">
        <f t="shared" si="2"/>
        <v>Bryce</v>
      </c>
      <c r="J207" s="1" t="str">
        <f t="shared" si="3"/>
        <v>Love</v>
      </c>
      <c r="K207" s="1" t="str">
        <f t="shared" si="4"/>
        <v>#N/A</v>
      </c>
      <c r="L207" s="1" t="str">
        <f>IFERROR(VLOOKUP($K207,Players!$D:$E,2,FALSE),VLOOKUP($H207,Players!A:E,5,FALSE))</f>
        <v>RB</v>
      </c>
    </row>
    <row r="208" ht="15.75" customHeight="1">
      <c r="A208" s="1">
        <v>2020.0</v>
      </c>
      <c r="B208" s="1" t="s">
        <v>50</v>
      </c>
      <c r="C208" s="1" t="s">
        <v>8</v>
      </c>
      <c r="D208" s="8">
        <v>11.0</v>
      </c>
      <c r="E208" s="8" t="str">
        <f t="shared" si="1"/>
        <v>Non-Playoff Team</v>
      </c>
      <c r="F208" s="8">
        <v>12.0</v>
      </c>
      <c r="G208" s="8">
        <v>143.0</v>
      </c>
      <c r="H208" s="1" t="s">
        <v>534</v>
      </c>
      <c r="I208" s="1" t="str">
        <f t="shared" si="2"/>
        <v>Preston</v>
      </c>
      <c r="J208" s="1" t="str">
        <f t="shared" si="3"/>
        <v>Williams</v>
      </c>
      <c r="K208" s="1" t="str">
        <f t="shared" si="4"/>
        <v>#N/A</v>
      </c>
      <c r="L208" s="1" t="str">
        <f>IFERROR(VLOOKUP($K208,Players!$D:$E,2,FALSE),VLOOKUP($H208,Players!A:E,5,FALSE))</f>
        <v>WR</v>
      </c>
    </row>
    <row r="209" ht="15.75" customHeight="1">
      <c r="A209" s="1">
        <v>2020.0</v>
      </c>
      <c r="B209" s="1" t="s">
        <v>50</v>
      </c>
      <c r="C209" s="1" t="s">
        <v>8</v>
      </c>
      <c r="D209" s="8">
        <v>11.0</v>
      </c>
      <c r="E209" s="8" t="str">
        <f t="shared" si="1"/>
        <v>Non-Playoff Team</v>
      </c>
      <c r="F209" s="8">
        <v>13.0</v>
      </c>
      <c r="G209" s="8">
        <v>146.0</v>
      </c>
      <c r="H209" s="1" t="s">
        <v>102</v>
      </c>
      <c r="I209" s="1" t="str">
        <f t="shared" si="2"/>
        <v>Nyheim</v>
      </c>
      <c r="J209" s="1" t="str">
        <f t="shared" si="3"/>
        <v>Hines</v>
      </c>
      <c r="K209" s="1" t="str">
        <f t="shared" si="4"/>
        <v>#N/A</v>
      </c>
      <c r="L209" s="1" t="str">
        <f>IFERROR(VLOOKUP($K209,Players!$D:$E,2,FALSE),VLOOKUP($H209,Players!A:E,5,FALSE))</f>
        <v>RB</v>
      </c>
    </row>
    <row r="210" ht="15.75" customHeight="1">
      <c r="A210" s="1">
        <v>2020.0</v>
      </c>
      <c r="B210" s="1" t="s">
        <v>50</v>
      </c>
      <c r="C210" s="1" t="s">
        <v>8</v>
      </c>
      <c r="D210" s="8">
        <v>11.0</v>
      </c>
      <c r="E210" s="8" t="str">
        <f t="shared" si="1"/>
        <v>Non-Playoff Team</v>
      </c>
      <c r="F210" s="8">
        <v>14.0</v>
      </c>
      <c r="G210" s="8">
        <v>167.0</v>
      </c>
      <c r="H210" s="1" t="s">
        <v>434</v>
      </c>
      <c r="I210" s="1" t="str">
        <f t="shared" si="2"/>
        <v>Baker</v>
      </c>
      <c r="J210" s="1" t="str">
        <f t="shared" si="3"/>
        <v>Mayfield</v>
      </c>
      <c r="K210" s="1" t="str">
        <f t="shared" si="4"/>
        <v>#N/A</v>
      </c>
      <c r="L210" s="1" t="str">
        <f>IFERROR(VLOOKUP($K210,Players!$D:$E,2,FALSE),VLOOKUP($H210,Players!A:E,5,FALSE))</f>
        <v>QB</v>
      </c>
    </row>
    <row r="211" ht="15.75" customHeight="1">
      <c r="A211" s="1">
        <v>2020.0</v>
      </c>
      <c r="B211" s="1" t="s">
        <v>50</v>
      </c>
      <c r="C211" s="1" t="s">
        <v>8</v>
      </c>
      <c r="D211" s="8">
        <v>11.0</v>
      </c>
      <c r="E211" s="8" t="str">
        <f t="shared" si="1"/>
        <v>Non-Playoff Team</v>
      </c>
      <c r="F211" s="8">
        <v>15.0</v>
      </c>
      <c r="G211" s="8">
        <v>170.0</v>
      </c>
      <c r="H211" s="1" t="s">
        <v>541</v>
      </c>
      <c r="I211" s="1" t="str">
        <f t="shared" si="2"/>
        <v>Tennessee</v>
      </c>
      <c r="J211" s="1" t="str">
        <f t="shared" si="3"/>
        <v/>
      </c>
      <c r="K211" s="1" t="str">
        <f t="shared" si="4"/>
        <v>#N/A</v>
      </c>
      <c r="L211" s="1" t="str">
        <f>IFERROR(VLOOKUP($K211,Players!$D:$E,2,FALSE),VLOOKUP($H211,Players!A:E,5,FALSE))</f>
        <v>DEF</v>
      </c>
    </row>
    <row r="212" ht="15.75" customHeight="1">
      <c r="A212" s="1">
        <v>2020.0</v>
      </c>
      <c r="B212" s="1" t="s">
        <v>21</v>
      </c>
      <c r="C212" s="1" t="s">
        <v>22</v>
      </c>
      <c r="D212" s="8">
        <v>5.0</v>
      </c>
      <c r="E212" s="8" t="str">
        <f t="shared" si="1"/>
        <v>Playoff Team</v>
      </c>
      <c r="F212" s="8">
        <v>1.0</v>
      </c>
      <c r="G212" s="8">
        <v>3.0</v>
      </c>
      <c r="H212" s="1" t="s">
        <v>123</v>
      </c>
      <c r="I212" s="1" t="str">
        <f t="shared" si="2"/>
        <v>Ezekiel</v>
      </c>
      <c r="J212" s="1" t="str">
        <f t="shared" si="3"/>
        <v>Elliott</v>
      </c>
      <c r="K212" s="1" t="str">
        <f t="shared" si="4"/>
        <v>#N/A</v>
      </c>
      <c r="L212" s="1" t="str">
        <f>IFERROR(VLOOKUP($K212,Players!$D:$E,2,FALSE),VLOOKUP($H212,Players!A:E,5,FALSE))</f>
        <v>RB</v>
      </c>
    </row>
    <row r="213" ht="15.75" customHeight="1">
      <c r="A213" s="1">
        <v>2020.0</v>
      </c>
      <c r="B213" s="1" t="s">
        <v>21</v>
      </c>
      <c r="C213" s="1" t="s">
        <v>22</v>
      </c>
      <c r="D213" s="8">
        <v>5.0</v>
      </c>
      <c r="E213" s="8" t="str">
        <f t="shared" si="1"/>
        <v>Playoff Team</v>
      </c>
      <c r="F213" s="8">
        <v>2.0</v>
      </c>
      <c r="G213" s="8">
        <v>22.0</v>
      </c>
      <c r="H213" s="1" t="s">
        <v>139</v>
      </c>
      <c r="I213" s="1" t="str">
        <f t="shared" si="2"/>
        <v>Travis</v>
      </c>
      <c r="J213" s="1" t="str">
        <f t="shared" si="3"/>
        <v>Kelce</v>
      </c>
      <c r="K213" s="1" t="str">
        <f t="shared" si="4"/>
        <v>#N/A</v>
      </c>
      <c r="L213" s="1" t="str">
        <f>IFERROR(VLOOKUP($K213,Players!$D:$E,2,FALSE),VLOOKUP($H213,Players!A:E,5,FALSE))</f>
        <v>TE</v>
      </c>
    </row>
    <row r="214" ht="15.75" customHeight="1">
      <c r="A214" s="1">
        <v>2020.0</v>
      </c>
      <c r="B214" s="1" t="s">
        <v>21</v>
      </c>
      <c r="C214" s="1" t="s">
        <v>22</v>
      </c>
      <c r="D214" s="8">
        <v>5.0</v>
      </c>
      <c r="E214" s="8" t="str">
        <f t="shared" si="1"/>
        <v>Playoff Team</v>
      </c>
      <c r="F214" s="8">
        <v>3.0</v>
      </c>
      <c r="G214" s="8">
        <v>27.0</v>
      </c>
      <c r="H214" s="1" t="s">
        <v>347</v>
      </c>
      <c r="I214" s="1" t="str">
        <f t="shared" si="2"/>
        <v>Chris</v>
      </c>
      <c r="J214" s="1" t="str">
        <f t="shared" si="3"/>
        <v>Carson</v>
      </c>
      <c r="K214" s="1" t="str">
        <f t="shared" si="4"/>
        <v>#N/A</v>
      </c>
      <c r="L214" s="1" t="str">
        <f>IFERROR(VLOOKUP($K214,Players!$D:$E,2,FALSE),VLOOKUP($H214,Players!A:E,5,FALSE))</f>
        <v>RB</v>
      </c>
    </row>
    <row r="215" ht="15.75" customHeight="1">
      <c r="A215" s="1">
        <v>2020.0</v>
      </c>
      <c r="B215" s="1" t="s">
        <v>21</v>
      </c>
      <c r="C215" s="1" t="s">
        <v>22</v>
      </c>
      <c r="D215" s="8">
        <v>5.0</v>
      </c>
      <c r="E215" s="8" t="str">
        <f t="shared" si="1"/>
        <v>Playoff Team</v>
      </c>
      <c r="F215" s="8">
        <v>4.0</v>
      </c>
      <c r="G215" s="8">
        <v>46.0</v>
      </c>
      <c r="H215" s="1" t="s">
        <v>170</v>
      </c>
      <c r="I215" s="1" t="str">
        <f t="shared" si="2"/>
        <v>Calvin</v>
      </c>
      <c r="J215" s="1" t="str">
        <f t="shared" si="3"/>
        <v>Ridley</v>
      </c>
      <c r="K215" s="1" t="str">
        <f t="shared" si="4"/>
        <v>#N/A</v>
      </c>
      <c r="L215" s="1" t="str">
        <f>IFERROR(VLOOKUP($K215,Players!$D:$E,2,FALSE),VLOOKUP($H215,Players!A:E,5,FALSE))</f>
        <v>WR</v>
      </c>
    </row>
    <row r="216" ht="15.75" customHeight="1">
      <c r="A216" s="1">
        <v>2020.0</v>
      </c>
      <c r="B216" s="1" t="s">
        <v>21</v>
      </c>
      <c r="C216" s="1" t="s">
        <v>22</v>
      </c>
      <c r="D216" s="8">
        <v>5.0</v>
      </c>
      <c r="E216" s="8" t="str">
        <f t="shared" si="1"/>
        <v>Playoff Team</v>
      </c>
      <c r="F216" s="8">
        <v>5.0</v>
      </c>
      <c r="G216" s="8">
        <v>51.0</v>
      </c>
      <c r="H216" s="1" t="s">
        <v>554</v>
      </c>
      <c r="I216" s="1" t="str">
        <f t="shared" si="2"/>
        <v>Cam</v>
      </c>
      <c r="J216" s="1" t="str">
        <f t="shared" si="3"/>
        <v>Akers</v>
      </c>
      <c r="K216" s="1" t="str">
        <f t="shared" si="4"/>
        <v>#N/A</v>
      </c>
      <c r="L216" s="1" t="str">
        <f>IFERROR(VLOOKUP($K216,Players!$D:$E,2,FALSE),VLOOKUP($H216,Players!A:E,5,FALSE))</f>
        <v>RB</v>
      </c>
    </row>
    <row r="217" ht="15.75" customHeight="1">
      <c r="A217" s="1">
        <v>2020.0</v>
      </c>
      <c r="B217" s="1" t="s">
        <v>21</v>
      </c>
      <c r="C217" s="1" t="s">
        <v>22</v>
      </c>
      <c r="D217" s="8">
        <v>5.0</v>
      </c>
      <c r="E217" s="8" t="str">
        <f t="shared" si="1"/>
        <v>Playoff Team</v>
      </c>
      <c r="F217" s="8">
        <v>6.0</v>
      </c>
      <c r="G217" s="8">
        <v>70.0</v>
      </c>
      <c r="H217" s="1" t="s">
        <v>178</v>
      </c>
      <c r="I217" s="1" t="str">
        <f t="shared" si="2"/>
        <v>Kyler</v>
      </c>
      <c r="J217" s="1" t="str">
        <f t="shared" si="3"/>
        <v>Murray</v>
      </c>
      <c r="K217" s="1" t="str">
        <f t="shared" si="4"/>
        <v>#N/A</v>
      </c>
      <c r="L217" s="1" t="str">
        <f>IFERROR(VLOOKUP($K217,Players!$D:$E,2,FALSE),VLOOKUP($H217,Players!A:E,5,FALSE))</f>
        <v>QB</v>
      </c>
    </row>
    <row r="218" ht="15.75" customHeight="1">
      <c r="A218" s="1">
        <v>2020.0</v>
      </c>
      <c r="B218" s="1" t="s">
        <v>21</v>
      </c>
      <c r="C218" s="1" t="s">
        <v>22</v>
      </c>
      <c r="D218" s="8">
        <v>5.0</v>
      </c>
      <c r="E218" s="8" t="str">
        <f t="shared" si="1"/>
        <v>Playoff Team</v>
      </c>
      <c r="F218" s="8">
        <v>7.0</v>
      </c>
      <c r="G218" s="8">
        <v>75.0</v>
      </c>
      <c r="H218" s="1" t="s">
        <v>117</v>
      </c>
      <c r="I218" s="1" t="str">
        <f t="shared" si="2"/>
        <v>Jarvis</v>
      </c>
      <c r="J218" s="1" t="str">
        <f t="shared" si="3"/>
        <v>Landry</v>
      </c>
      <c r="K218" s="1" t="str">
        <f t="shared" si="4"/>
        <v>#N/A</v>
      </c>
      <c r="L218" s="1" t="str">
        <f>IFERROR(VLOOKUP($K218,Players!$D:$E,2,FALSE),VLOOKUP($H218,Players!A:E,5,FALSE))</f>
        <v>WR</v>
      </c>
    </row>
    <row r="219" ht="15.75" customHeight="1">
      <c r="A219" s="1">
        <v>2020.0</v>
      </c>
      <c r="B219" s="1" t="s">
        <v>21</v>
      </c>
      <c r="C219" s="1" t="s">
        <v>22</v>
      </c>
      <c r="D219" s="8">
        <v>5.0</v>
      </c>
      <c r="E219" s="8" t="str">
        <f t="shared" si="1"/>
        <v>Playoff Team</v>
      </c>
      <c r="F219" s="8">
        <v>8.0</v>
      </c>
      <c r="G219" s="8">
        <v>94.0</v>
      </c>
      <c r="H219" s="1" t="s">
        <v>238</v>
      </c>
      <c r="I219" s="1" t="str">
        <f t="shared" si="2"/>
        <v>Devin</v>
      </c>
      <c r="J219" s="1" t="str">
        <f t="shared" si="3"/>
        <v>Singletary</v>
      </c>
      <c r="K219" s="1" t="str">
        <f t="shared" si="4"/>
        <v>#N/A</v>
      </c>
      <c r="L219" s="1" t="str">
        <f>IFERROR(VLOOKUP($K219,Players!$D:$E,2,FALSE),VLOOKUP($H219,Players!A:E,5,FALSE))</f>
        <v>RB</v>
      </c>
    </row>
    <row r="220" ht="15.75" customHeight="1">
      <c r="A220" s="1">
        <v>2020.0</v>
      </c>
      <c r="B220" s="1" t="s">
        <v>21</v>
      </c>
      <c r="C220" s="1" t="s">
        <v>22</v>
      </c>
      <c r="D220" s="8">
        <v>5.0</v>
      </c>
      <c r="E220" s="8" t="str">
        <f t="shared" si="1"/>
        <v>Playoff Team</v>
      </c>
      <c r="F220" s="8">
        <v>9.0</v>
      </c>
      <c r="G220" s="8">
        <v>99.0</v>
      </c>
      <c r="H220" s="1" t="s">
        <v>147</v>
      </c>
      <c r="I220" s="1" t="str">
        <f t="shared" si="2"/>
        <v>Brandin</v>
      </c>
      <c r="J220" s="1" t="str">
        <f t="shared" si="3"/>
        <v>Cooks</v>
      </c>
      <c r="K220" s="1" t="str">
        <f t="shared" si="4"/>
        <v>#N/A</v>
      </c>
      <c r="L220" s="1" t="str">
        <f>IFERROR(VLOOKUP($K220,Players!$D:$E,2,FALSE),VLOOKUP($H220,Players!A:E,5,FALSE))</f>
        <v>WR</v>
      </c>
    </row>
    <row r="221" ht="15.75" customHeight="1">
      <c r="A221" s="1">
        <v>2020.0</v>
      </c>
      <c r="B221" s="1" t="s">
        <v>21</v>
      </c>
      <c r="C221" s="1" t="s">
        <v>22</v>
      </c>
      <c r="D221" s="8">
        <v>5.0</v>
      </c>
      <c r="E221" s="8" t="str">
        <f t="shared" si="1"/>
        <v>Playoff Team</v>
      </c>
      <c r="F221" s="8">
        <v>10.0</v>
      </c>
      <c r="G221" s="8">
        <v>118.0</v>
      </c>
      <c r="H221" s="1" t="s">
        <v>285</v>
      </c>
      <c r="I221" s="1" t="str">
        <f t="shared" si="2"/>
        <v>Joe</v>
      </c>
      <c r="J221" s="1" t="str">
        <f t="shared" si="3"/>
        <v>Burrow</v>
      </c>
      <c r="K221" s="1" t="str">
        <f t="shared" si="4"/>
        <v>#N/A</v>
      </c>
      <c r="L221" s="1" t="str">
        <f>IFERROR(VLOOKUP($K221,Players!$D:$E,2,FALSE),VLOOKUP($H221,Players!A:E,5,FALSE))</f>
        <v>QB</v>
      </c>
    </row>
    <row r="222" ht="15.75" customHeight="1">
      <c r="A222" s="1">
        <v>2020.0</v>
      </c>
      <c r="B222" s="1" t="s">
        <v>21</v>
      </c>
      <c r="C222" s="1" t="s">
        <v>22</v>
      </c>
      <c r="D222" s="8">
        <v>5.0</v>
      </c>
      <c r="E222" s="8" t="str">
        <f t="shared" si="1"/>
        <v>Playoff Team</v>
      </c>
      <c r="F222" s="8">
        <v>11.0</v>
      </c>
      <c r="G222" s="8">
        <v>123.0</v>
      </c>
      <c r="H222" s="1" t="s">
        <v>566</v>
      </c>
      <c r="I222" s="1" t="str">
        <f t="shared" si="2"/>
        <v>N'Keal</v>
      </c>
      <c r="J222" s="1" t="str">
        <f t="shared" si="3"/>
        <v>Harry</v>
      </c>
      <c r="K222" s="1" t="str">
        <f t="shared" si="4"/>
        <v>#N/A</v>
      </c>
      <c r="L222" s="1" t="str">
        <f>IFERROR(VLOOKUP($K222,Players!$D:$E,2,FALSE),VLOOKUP($H222,Players!A:E,5,FALSE))</f>
        <v>WR</v>
      </c>
    </row>
    <row r="223" ht="15.75" customHeight="1">
      <c r="A223" s="1">
        <v>2020.0</v>
      </c>
      <c r="B223" s="1" t="s">
        <v>21</v>
      </c>
      <c r="C223" s="1" t="s">
        <v>22</v>
      </c>
      <c r="D223" s="8">
        <v>5.0</v>
      </c>
      <c r="E223" s="8" t="str">
        <f t="shared" si="1"/>
        <v>Playoff Team</v>
      </c>
      <c r="F223" s="8">
        <v>12.0</v>
      </c>
      <c r="G223" s="8">
        <v>142.0</v>
      </c>
      <c r="H223" s="1" t="s">
        <v>121</v>
      </c>
      <c r="I223" s="1" t="str">
        <f t="shared" si="2"/>
        <v>Jalen</v>
      </c>
      <c r="J223" s="1" t="str">
        <f t="shared" si="3"/>
        <v>Reagor</v>
      </c>
      <c r="K223" s="1" t="str">
        <f t="shared" si="4"/>
        <v>#N/A</v>
      </c>
      <c r="L223" s="1" t="str">
        <f>IFERROR(VLOOKUP($K223,Players!$D:$E,2,FALSE),VLOOKUP($H223,Players!A:E,5,FALSE))</f>
        <v>WR</v>
      </c>
    </row>
    <row r="224" ht="15.75" customHeight="1">
      <c r="A224" s="1">
        <v>2020.0</v>
      </c>
      <c r="B224" s="1" t="s">
        <v>21</v>
      </c>
      <c r="C224" s="1" t="s">
        <v>22</v>
      </c>
      <c r="D224" s="8">
        <v>5.0</v>
      </c>
      <c r="E224" s="8" t="str">
        <f t="shared" si="1"/>
        <v>Playoff Team</v>
      </c>
      <c r="F224" s="8">
        <v>13.0</v>
      </c>
      <c r="G224" s="8">
        <v>147.0</v>
      </c>
      <c r="H224" s="1" t="s">
        <v>88</v>
      </c>
      <c r="I224" s="1" t="str">
        <f t="shared" si="2"/>
        <v>Tony</v>
      </c>
      <c r="J224" s="1" t="str">
        <f t="shared" si="3"/>
        <v>Pollard</v>
      </c>
      <c r="K224" s="1" t="str">
        <f t="shared" si="4"/>
        <v>#N/A</v>
      </c>
      <c r="L224" s="1" t="str">
        <f>IFERROR(VLOOKUP($K224,Players!$D:$E,2,FALSE),VLOOKUP($H224,Players!A:E,5,FALSE))</f>
        <v>RB</v>
      </c>
    </row>
    <row r="225" ht="15.75" customHeight="1">
      <c r="A225" s="1">
        <v>2020.0</v>
      </c>
      <c r="B225" s="1" t="s">
        <v>21</v>
      </c>
      <c r="C225" s="1" t="s">
        <v>22</v>
      </c>
      <c r="D225" s="8">
        <v>5.0</v>
      </c>
      <c r="E225" s="8" t="str">
        <f t="shared" si="1"/>
        <v>Playoff Team</v>
      </c>
      <c r="F225" s="8">
        <v>14.0</v>
      </c>
      <c r="G225" s="8">
        <v>166.0</v>
      </c>
      <c r="H225" s="1" t="s">
        <v>573</v>
      </c>
      <c r="I225" s="1" t="str">
        <f t="shared" si="2"/>
        <v>#VALUE!</v>
      </c>
      <c r="J225" s="1" t="str">
        <f t="shared" si="3"/>
        <v>#VALUE!</v>
      </c>
      <c r="K225" s="1" t="str">
        <f t="shared" si="4"/>
        <v>#N/A</v>
      </c>
      <c r="L225" s="1" t="str">
        <f>IFERROR(VLOOKUP($K225,Players!$D:$E,2,FALSE),VLOOKUP($H225,Players!A:E,5,FALSE))</f>
        <v>DEF</v>
      </c>
    </row>
    <row r="226" ht="15.75" customHeight="1">
      <c r="A226" s="1">
        <v>2020.0</v>
      </c>
      <c r="B226" s="1" t="s">
        <v>21</v>
      </c>
      <c r="C226" s="1" t="s">
        <v>22</v>
      </c>
      <c r="D226" s="8">
        <v>5.0</v>
      </c>
      <c r="E226" s="8" t="str">
        <f t="shared" si="1"/>
        <v>Playoff Team</v>
      </c>
      <c r="F226" s="8">
        <v>15.0</v>
      </c>
      <c r="G226" s="8">
        <v>171.0</v>
      </c>
      <c r="H226" s="1" t="s">
        <v>575</v>
      </c>
      <c r="I226" s="1" t="str">
        <f t="shared" si="2"/>
        <v>Robbie</v>
      </c>
      <c r="J226" s="1" t="str">
        <f t="shared" si="3"/>
        <v>Gould</v>
      </c>
      <c r="K226" s="1" t="str">
        <f t="shared" si="4"/>
        <v>#N/A</v>
      </c>
      <c r="L226" s="1" t="str">
        <f>IFERROR(VLOOKUP($K226,Players!$D:$E,2,FALSE),VLOOKUP($H226,Players!A:E,5,FALSE))</f>
        <v>K</v>
      </c>
    </row>
    <row r="227" ht="15.75" customHeight="1">
      <c r="A227" s="1">
        <v>2020.0</v>
      </c>
      <c r="B227" s="1" t="s">
        <v>18</v>
      </c>
      <c r="C227" s="1" t="s">
        <v>12</v>
      </c>
      <c r="D227" s="8">
        <v>4.0</v>
      </c>
      <c r="E227" s="8" t="str">
        <f t="shared" si="1"/>
        <v>Playoff Team</v>
      </c>
      <c r="F227" s="8">
        <v>1.0</v>
      </c>
      <c r="G227" s="8">
        <v>4.0</v>
      </c>
      <c r="H227" s="1" t="s">
        <v>168</v>
      </c>
      <c r="I227" s="1" t="str">
        <f t="shared" si="2"/>
        <v>Derrick</v>
      </c>
      <c r="J227" s="1" t="str">
        <f t="shared" si="3"/>
        <v>Henry</v>
      </c>
      <c r="K227" s="1" t="str">
        <f t="shared" si="4"/>
        <v>#N/A</v>
      </c>
      <c r="L227" s="1" t="str">
        <f>IFERROR(VLOOKUP($K227,Players!$D:$E,2,FALSE),VLOOKUP($H227,Players!A:E,5,FALSE))</f>
        <v>RB</v>
      </c>
    </row>
    <row r="228" ht="15.75" customHeight="1">
      <c r="A228" s="1">
        <v>2020.0</v>
      </c>
      <c r="B228" s="1" t="s">
        <v>18</v>
      </c>
      <c r="C228" s="1" t="s">
        <v>12</v>
      </c>
      <c r="D228" s="8">
        <v>4.0</v>
      </c>
      <c r="E228" s="8" t="str">
        <f t="shared" si="1"/>
        <v>Playoff Team</v>
      </c>
      <c r="F228" s="8">
        <v>2.0</v>
      </c>
      <c r="G228" s="8">
        <v>21.0</v>
      </c>
      <c r="H228" s="1" t="s">
        <v>256</v>
      </c>
      <c r="I228" s="1" t="str">
        <f t="shared" si="2"/>
        <v>Austin</v>
      </c>
      <c r="J228" s="1" t="str">
        <f t="shared" si="3"/>
        <v>Ekeler</v>
      </c>
      <c r="K228" s="1" t="str">
        <f t="shared" si="4"/>
        <v>#N/A</v>
      </c>
      <c r="L228" s="1" t="str">
        <f>IFERROR(VLOOKUP($K228,Players!$D:$E,2,FALSE),VLOOKUP($H228,Players!A:E,5,FALSE))</f>
        <v>RB</v>
      </c>
    </row>
    <row r="229" ht="15.75" customHeight="1">
      <c r="A229" s="1">
        <v>2020.0</v>
      </c>
      <c r="B229" s="1" t="s">
        <v>18</v>
      </c>
      <c r="C229" s="1" t="s">
        <v>12</v>
      </c>
      <c r="D229" s="8">
        <v>4.0</v>
      </c>
      <c r="E229" s="8" t="str">
        <f t="shared" si="1"/>
        <v>Playoff Team</v>
      </c>
      <c r="F229" s="8">
        <v>3.0</v>
      </c>
      <c r="G229" s="8">
        <v>28.0</v>
      </c>
      <c r="H229" s="1" t="s">
        <v>95</v>
      </c>
      <c r="I229" s="1" t="str">
        <f t="shared" si="2"/>
        <v>Allen</v>
      </c>
      <c r="J229" s="1" t="str">
        <f t="shared" si="3"/>
        <v>Robinson II</v>
      </c>
      <c r="K229" s="1" t="str">
        <f t="shared" si="4"/>
        <v>#N/A</v>
      </c>
      <c r="L229" s="1" t="str">
        <f>IFERROR(VLOOKUP($K229,Players!$D:$E,2,FALSE),VLOOKUP($H229,Players!A:E,5,FALSE))</f>
        <v>#N/A</v>
      </c>
    </row>
    <row r="230" ht="15.75" customHeight="1">
      <c r="A230" s="1">
        <v>2020.0</v>
      </c>
      <c r="B230" s="1" t="s">
        <v>18</v>
      </c>
      <c r="C230" s="1" t="s">
        <v>12</v>
      </c>
      <c r="D230" s="8">
        <v>4.0</v>
      </c>
      <c r="E230" s="8" t="str">
        <f t="shared" si="1"/>
        <v>Playoff Team</v>
      </c>
      <c r="F230" s="8">
        <v>4.0</v>
      </c>
      <c r="G230" s="8">
        <v>45.0</v>
      </c>
      <c r="H230" s="1" t="s">
        <v>263</v>
      </c>
      <c r="I230" s="1" t="str">
        <f t="shared" si="2"/>
        <v>Amari</v>
      </c>
      <c r="J230" s="1" t="str">
        <f t="shared" si="3"/>
        <v>Cooper</v>
      </c>
      <c r="K230" s="1" t="str">
        <f t="shared" si="4"/>
        <v>#N/A</v>
      </c>
      <c r="L230" s="1" t="str">
        <f>IFERROR(VLOOKUP($K230,Players!$D:$E,2,FALSE),VLOOKUP($H230,Players!A:E,5,FALSE))</f>
        <v>WR</v>
      </c>
    </row>
    <row r="231" ht="15.75" customHeight="1">
      <c r="A231" s="1">
        <v>2020.0</v>
      </c>
      <c r="B231" s="1" t="s">
        <v>18</v>
      </c>
      <c r="C231" s="1" t="s">
        <v>12</v>
      </c>
      <c r="D231" s="8">
        <v>4.0</v>
      </c>
      <c r="E231" s="8" t="str">
        <f t="shared" si="1"/>
        <v>Playoff Team</v>
      </c>
      <c r="F231" s="8">
        <v>5.0</v>
      </c>
      <c r="G231" s="8">
        <v>52.0</v>
      </c>
      <c r="H231" s="1" t="s">
        <v>235</v>
      </c>
      <c r="I231" s="1" t="str">
        <f t="shared" si="2"/>
        <v>DJ</v>
      </c>
      <c r="J231" s="1" t="str">
        <f t="shared" si="3"/>
        <v>Chark Jr</v>
      </c>
      <c r="K231" s="1" t="str">
        <f t="shared" si="4"/>
        <v>#N/A</v>
      </c>
      <c r="L231" s="1" t="str">
        <f>IFERROR(VLOOKUP($K231,Players!$D:$E,2,FALSE),VLOOKUP($H231,Players!A:E,5,FALSE))</f>
        <v>#N/A</v>
      </c>
    </row>
    <row r="232" ht="15.75" customHeight="1">
      <c r="A232" s="1">
        <v>2020.0</v>
      </c>
      <c r="B232" s="1" t="s">
        <v>18</v>
      </c>
      <c r="C232" s="1" t="s">
        <v>12</v>
      </c>
      <c r="D232" s="8">
        <v>4.0</v>
      </c>
      <c r="E232" s="8" t="str">
        <f t="shared" si="1"/>
        <v>Playoff Team</v>
      </c>
      <c r="F232" s="8">
        <v>6.0</v>
      </c>
      <c r="G232" s="8">
        <v>69.0</v>
      </c>
      <c r="H232" s="1" t="s">
        <v>402</v>
      </c>
      <c r="I232" s="1" t="str">
        <f t="shared" si="2"/>
        <v>Leonard</v>
      </c>
      <c r="J232" s="1" t="str">
        <f t="shared" si="3"/>
        <v>Fournette</v>
      </c>
      <c r="K232" s="1" t="str">
        <f t="shared" si="4"/>
        <v>#N/A</v>
      </c>
      <c r="L232" s="1" t="str">
        <f>IFERROR(VLOOKUP($K232,Players!$D:$E,2,FALSE),VLOOKUP($H232,Players!A:E,5,FALSE))</f>
        <v>RB</v>
      </c>
    </row>
    <row r="233" ht="15.75" customHeight="1">
      <c r="A233" s="1">
        <v>2020.0</v>
      </c>
      <c r="B233" s="1" t="s">
        <v>18</v>
      </c>
      <c r="C233" s="1" t="s">
        <v>12</v>
      </c>
      <c r="D233" s="8">
        <v>4.0</v>
      </c>
      <c r="E233" s="8" t="str">
        <f t="shared" si="1"/>
        <v>Playoff Team</v>
      </c>
      <c r="F233" s="8">
        <v>7.0</v>
      </c>
      <c r="G233" s="8">
        <v>76.0</v>
      </c>
      <c r="H233" s="1" t="s">
        <v>318</v>
      </c>
      <c r="I233" s="1" t="str">
        <f t="shared" si="2"/>
        <v>Will</v>
      </c>
      <c r="J233" s="1" t="str">
        <f t="shared" si="3"/>
        <v>Fuller V</v>
      </c>
      <c r="K233" s="1" t="str">
        <f t="shared" si="4"/>
        <v>#N/A</v>
      </c>
      <c r="L233" s="1" t="str">
        <f>IFERROR(VLOOKUP($K233,Players!$D:$E,2,FALSE),VLOOKUP($H233,Players!A:E,5,FALSE))</f>
        <v>#N/A</v>
      </c>
    </row>
    <row r="234" ht="15.75" customHeight="1">
      <c r="A234" s="1">
        <v>2020.0</v>
      </c>
      <c r="B234" s="1" t="s">
        <v>18</v>
      </c>
      <c r="C234" s="1" t="s">
        <v>12</v>
      </c>
      <c r="D234" s="8">
        <v>4.0</v>
      </c>
      <c r="E234" s="8" t="str">
        <f t="shared" si="1"/>
        <v>Playoff Team</v>
      </c>
      <c r="F234" s="8">
        <v>8.0</v>
      </c>
      <c r="G234" s="8">
        <v>93.0</v>
      </c>
      <c r="H234" s="1" t="s">
        <v>452</v>
      </c>
      <c r="I234" s="1" t="str">
        <f t="shared" si="2"/>
        <v>James</v>
      </c>
      <c r="J234" s="1" t="str">
        <f t="shared" si="3"/>
        <v>White</v>
      </c>
      <c r="K234" s="1" t="str">
        <f t="shared" si="4"/>
        <v>#N/A</v>
      </c>
      <c r="L234" s="1" t="str">
        <f>IFERROR(VLOOKUP($K234,Players!$D:$E,2,FALSE),VLOOKUP($H234,Players!A:E,5,FALSE))</f>
        <v>RB</v>
      </c>
    </row>
    <row r="235" ht="15.75" customHeight="1">
      <c r="A235" s="1">
        <v>2020.0</v>
      </c>
      <c r="B235" s="1" t="s">
        <v>18</v>
      </c>
      <c r="C235" s="1" t="s">
        <v>12</v>
      </c>
      <c r="D235" s="8">
        <v>4.0</v>
      </c>
      <c r="E235" s="8" t="str">
        <f t="shared" si="1"/>
        <v>Playoff Team</v>
      </c>
      <c r="F235" s="8">
        <v>9.0</v>
      </c>
      <c r="G235" s="8">
        <v>100.0</v>
      </c>
      <c r="H235" s="1" t="s">
        <v>227</v>
      </c>
      <c r="I235" s="1" t="str">
        <f t="shared" si="2"/>
        <v>TJ</v>
      </c>
      <c r="J235" s="1" t="str">
        <f t="shared" si="3"/>
        <v>Hockenson</v>
      </c>
      <c r="K235" s="1" t="str">
        <f t="shared" si="4"/>
        <v>#N/A</v>
      </c>
      <c r="L235" s="1" t="str">
        <f>IFERROR(VLOOKUP($K235,Players!$D:$E,2,FALSE),VLOOKUP($H235,Players!A:E,5,FALSE))</f>
        <v>TE</v>
      </c>
    </row>
    <row r="236" ht="15.75" customHeight="1">
      <c r="A236" s="1">
        <v>2020.0</v>
      </c>
      <c r="B236" s="1" t="s">
        <v>18</v>
      </c>
      <c r="C236" s="1" t="s">
        <v>12</v>
      </c>
      <c r="D236" s="8">
        <v>4.0</v>
      </c>
      <c r="E236" s="8" t="str">
        <f t="shared" si="1"/>
        <v>Playoff Team</v>
      </c>
      <c r="F236" s="8">
        <v>10.0</v>
      </c>
      <c r="G236" s="8">
        <v>117.0</v>
      </c>
      <c r="H236" s="1" t="s">
        <v>118</v>
      </c>
      <c r="I236" s="1" t="str">
        <f t="shared" si="2"/>
        <v>Mike</v>
      </c>
      <c r="J236" s="1" t="str">
        <f t="shared" si="3"/>
        <v>Gesicki</v>
      </c>
      <c r="K236" s="1" t="str">
        <f t="shared" si="4"/>
        <v>#N/A</v>
      </c>
      <c r="L236" s="1" t="str">
        <f>IFERROR(VLOOKUP($K236,Players!$D:$E,2,FALSE),VLOOKUP($H236,Players!A:E,5,FALSE))</f>
        <v>TE</v>
      </c>
    </row>
    <row r="237" ht="15.75" customHeight="1">
      <c r="A237" s="1">
        <v>2020.0</v>
      </c>
      <c r="B237" s="1" t="s">
        <v>18</v>
      </c>
      <c r="C237" s="1" t="s">
        <v>12</v>
      </c>
      <c r="D237" s="8">
        <v>4.0</v>
      </c>
      <c r="E237" s="8" t="str">
        <f t="shared" si="1"/>
        <v>Playoff Team</v>
      </c>
      <c r="F237" s="8">
        <v>11.0</v>
      </c>
      <c r="G237" s="8">
        <v>124.0</v>
      </c>
      <c r="H237" s="1" t="s">
        <v>366</v>
      </c>
      <c r="I237" s="1" t="str">
        <f t="shared" si="2"/>
        <v>Matthew</v>
      </c>
      <c r="J237" s="1" t="str">
        <f t="shared" si="3"/>
        <v>Stafford</v>
      </c>
      <c r="K237" s="1" t="str">
        <f t="shared" si="4"/>
        <v>#N/A</v>
      </c>
      <c r="L237" s="1" t="str">
        <f>IFERROR(VLOOKUP($K237,Players!$D:$E,2,FALSE),VLOOKUP($H237,Players!A:E,5,FALSE))</f>
        <v>QB</v>
      </c>
    </row>
    <row r="238" ht="15.75" customHeight="1">
      <c r="A238" s="1">
        <v>2020.0</v>
      </c>
      <c r="B238" s="1" t="s">
        <v>18</v>
      </c>
      <c r="C238" s="1" t="s">
        <v>12</v>
      </c>
      <c r="D238" s="8">
        <v>4.0</v>
      </c>
      <c r="E238" s="8" t="str">
        <f t="shared" si="1"/>
        <v>Playoff Team</v>
      </c>
      <c r="F238" s="8">
        <v>12.0</v>
      </c>
      <c r="G238" s="8">
        <v>141.0</v>
      </c>
      <c r="H238" s="1" t="s">
        <v>143</v>
      </c>
      <c r="I238" s="1" t="str">
        <f t="shared" si="2"/>
        <v>Chase</v>
      </c>
      <c r="J238" s="1" t="str">
        <f t="shared" si="3"/>
        <v>Edmonds</v>
      </c>
      <c r="K238" s="1" t="str">
        <f t="shared" si="4"/>
        <v>#N/A</v>
      </c>
      <c r="L238" s="1" t="str">
        <f>IFERROR(VLOOKUP($K238,Players!$D:$E,2,FALSE),VLOOKUP($H238,Players!A:E,5,FALSE))</f>
        <v>RB</v>
      </c>
    </row>
    <row r="239" ht="15.75" customHeight="1">
      <c r="A239" s="1">
        <v>2020.0</v>
      </c>
      <c r="B239" s="1" t="s">
        <v>18</v>
      </c>
      <c r="C239" s="1" t="s">
        <v>12</v>
      </c>
      <c r="D239" s="8">
        <v>4.0</v>
      </c>
      <c r="E239" s="8" t="str">
        <f t="shared" si="1"/>
        <v>Playoff Team</v>
      </c>
      <c r="F239" s="8">
        <v>13.0</v>
      </c>
      <c r="G239" s="8">
        <v>148.0</v>
      </c>
      <c r="H239" s="1" t="s">
        <v>104</v>
      </c>
      <c r="I239" s="1" t="str">
        <f t="shared" si="2"/>
        <v>Parris</v>
      </c>
      <c r="J239" s="1" t="str">
        <f t="shared" si="3"/>
        <v>Campbell</v>
      </c>
      <c r="K239" s="1" t="str">
        <f t="shared" si="4"/>
        <v>#N/A</v>
      </c>
      <c r="L239" s="1" t="str">
        <f>IFERROR(VLOOKUP($K239,Players!$D:$E,2,FALSE),VLOOKUP($H239,Players!A:E,5,FALSE))</f>
        <v>WR</v>
      </c>
    </row>
    <row r="240" ht="15.75" customHeight="1">
      <c r="A240" s="1">
        <v>2020.0</v>
      </c>
      <c r="B240" s="1" t="s">
        <v>18</v>
      </c>
      <c r="C240" s="1" t="s">
        <v>12</v>
      </c>
      <c r="D240" s="8">
        <v>4.0</v>
      </c>
      <c r="E240" s="8" t="str">
        <f t="shared" si="1"/>
        <v>Playoff Team</v>
      </c>
      <c r="F240" s="8">
        <v>14.0</v>
      </c>
      <c r="G240" s="8">
        <v>165.0</v>
      </c>
      <c r="H240" s="1" t="s">
        <v>231</v>
      </c>
      <c r="I240" s="1" t="str">
        <f t="shared" si="2"/>
        <v>Los</v>
      </c>
      <c r="J240" s="1" t="str">
        <f t="shared" si="3"/>
        <v>Angeles</v>
      </c>
      <c r="K240" s="1" t="str">
        <f t="shared" si="4"/>
        <v>#N/A</v>
      </c>
      <c r="L240" s="1" t="str">
        <f>IFERROR(VLOOKUP($K240,Players!$D:$E,2,FALSE),VLOOKUP($H240,Players!A:E,5,FALSE))</f>
        <v>DEF</v>
      </c>
    </row>
    <row r="241" ht="15.75" customHeight="1">
      <c r="A241" s="1">
        <v>2020.0</v>
      </c>
      <c r="B241" s="1" t="s">
        <v>18</v>
      </c>
      <c r="C241" s="1" t="s">
        <v>12</v>
      </c>
      <c r="D241" s="8">
        <v>4.0</v>
      </c>
      <c r="E241" s="8" t="str">
        <f t="shared" si="1"/>
        <v>Playoff Team</v>
      </c>
      <c r="F241" s="8">
        <v>15.0</v>
      </c>
      <c r="G241" s="8">
        <v>172.0</v>
      </c>
      <c r="H241" s="1" t="s">
        <v>606</v>
      </c>
      <c r="I241" s="1" t="str">
        <f t="shared" si="2"/>
        <v>Zane</v>
      </c>
      <c r="J241" s="1" t="str">
        <f t="shared" si="3"/>
        <v>Gonzalez</v>
      </c>
      <c r="K241" s="1" t="str">
        <f t="shared" si="4"/>
        <v>#N/A</v>
      </c>
      <c r="L241" s="1" t="str">
        <f>IFERROR(VLOOKUP($K241,Players!$D:$E,2,FALSE),VLOOKUP($H241,Players!A:E,5,FALSE))</f>
        <v>K</v>
      </c>
    </row>
    <row r="242" ht="15.75" customHeight="1">
      <c r="A242" s="1">
        <v>2020.0</v>
      </c>
      <c r="B242" s="1" t="s">
        <v>42</v>
      </c>
      <c r="C242" s="1" t="s">
        <v>15</v>
      </c>
      <c r="D242" s="8">
        <v>1.0</v>
      </c>
      <c r="E242" s="8" t="str">
        <f t="shared" si="1"/>
        <v>Playoff Team</v>
      </c>
      <c r="F242" s="8">
        <v>1.0</v>
      </c>
      <c r="G242" s="8">
        <v>5.0</v>
      </c>
      <c r="H242" s="1" t="s">
        <v>93</v>
      </c>
      <c r="I242" s="1" t="str">
        <f t="shared" si="2"/>
        <v>Dalvin</v>
      </c>
      <c r="J242" s="1" t="str">
        <f t="shared" si="3"/>
        <v>Cook</v>
      </c>
      <c r="K242" s="1" t="str">
        <f t="shared" si="4"/>
        <v>#N/A</v>
      </c>
      <c r="L242" s="1" t="str">
        <f>IFERROR(VLOOKUP($K242,Players!$D:$E,2,FALSE),VLOOKUP($H242,Players!A:E,5,FALSE))</f>
        <v>RB</v>
      </c>
    </row>
    <row r="243" ht="15.75" customHeight="1">
      <c r="A243" s="1">
        <v>2020.0</v>
      </c>
      <c r="B243" s="1" t="s">
        <v>42</v>
      </c>
      <c r="C243" s="1" t="s">
        <v>15</v>
      </c>
      <c r="D243" s="8">
        <v>1.0</v>
      </c>
      <c r="E243" s="8" t="str">
        <f t="shared" si="1"/>
        <v>Playoff Team</v>
      </c>
      <c r="F243" s="8">
        <v>2.0</v>
      </c>
      <c r="G243" s="8">
        <v>20.0</v>
      </c>
      <c r="H243" s="1" t="s">
        <v>167</v>
      </c>
      <c r="I243" s="1" t="str">
        <f t="shared" si="2"/>
        <v>Aaron</v>
      </c>
      <c r="J243" s="1" t="str">
        <f t="shared" si="3"/>
        <v>Jones</v>
      </c>
      <c r="K243" s="1" t="str">
        <f t="shared" si="4"/>
        <v>#N/A</v>
      </c>
      <c r="L243" s="1" t="str">
        <f>IFERROR(VLOOKUP($K243,Players!$D:$E,2,FALSE),VLOOKUP($H243,Players!A:E,5,FALSE))</f>
        <v>RB</v>
      </c>
    </row>
    <row r="244" ht="15.75" customHeight="1">
      <c r="A244" s="1">
        <v>2020.0</v>
      </c>
      <c r="B244" s="1" t="s">
        <v>42</v>
      </c>
      <c r="C244" s="1" t="s">
        <v>15</v>
      </c>
      <c r="D244" s="8">
        <v>1.0</v>
      </c>
      <c r="E244" s="8" t="str">
        <f t="shared" si="1"/>
        <v>Playoff Team</v>
      </c>
      <c r="F244" s="8">
        <v>3.0</v>
      </c>
      <c r="G244" s="8">
        <v>29.0</v>
      </c>
      <c r="H244" s="1" t="s">
        <v>225</v>
      </c>
      <c r="I244" s="1" t="str">
        <f t="shared" si="2"/>
        <v>Lamar</v>
      </c>
      <c r="J244" s="1" t="str">
        <f t="shared" si="3"/>
        <v>Jackson</v>
      </c>
      <c r="K244" s="1" t="str">
        <f t="shared" si="4"/>
        <v>#N/A</v>
      </c>
      <c r="L244" s="1" t="str">
        <f>IFERROR(VLOOKUP($K244,Players!$D:$E,2,FALSE),VLOOKUP($H244,Players!A:E,5,FALSE))</f>
        <v>QB</v>
      </c>
    </row>
    <row r="245" ht="15.75" customHeight="1">
      <c r="A245" s="1">
        <v>2020.0</v>
      </c>
      <c r="B245" s="1" t="s">
        <v>42</v>
      </c>
      <c r="C245" s="1" t="s">
        <v>15</v>
      </c>
      <c r="D245" s="8">
        <v>1.0</v>
      </c>
      <c r="E245" s="8" t="str">
        <f t="shared" si="1"/>
        <v>Playoff Team</v>
      </c>
      <c r="F245" s="8">
        <v>4.0</v>
      </c>
      <c r="G245" s="8">
        <v>44.0</v>
      </c>
      <c r="H245" s="1" t="s">
        <v>216</v>
      </c>
      <c r="I245" s="1" t="str">
        <f t="shared" si="2"/>
        <v>DK</v>
      </c>
      <c r="J245" s="1" t="str">
        <f t="shared" si="3"/>
        <v>Metcalf</v>
      </c>
      <c r="K245" s="1" t="str">
        <f t="shared" si="4"/>
        <v>#N/A</v>
      </c>
      <c r="L245" s="1" t="str">
        <f>IFERROR(VLOOKUP($K245,Players!$D:$E,2,FALSE),VLOOKUP($H245,Players!A:E,5,FALSE))</f>
        <v>#N/A</v>
      </c>
    </row>
    <row r="246" ht="15.75" customHeight="1">
      <c r="A246" s="1">
        <v>2020.0</v>
      </c>
      <c r="B246" s="1" t="s">
        <v>42</v>
      </c>
      <c r="C246" s="1" t="s">
        <v>15</v>
      </c>
      <c r="D246" s="8">
        <v>1.0</v>
      </c>
      <c r="E246" s="8" t="str">
        <f t="shared" si="1"/>
        <v>Playoff Team</v>
      </c>
      <c r="F246" s="8">
        <v>5.0</v>
      </c>
      <c r="G246" s="8">
        <v>53.0</v>
      </c>
      <c r="H246" s="1" t="s">
        <v>422</v>
      </c>
      <c r="I246" s="1" t="str">
        <f t="shared" si="2"/>
        <v>Stefon</v>
      </c>
      <c r="J246" s="1" t="str">
        <f t="shared" si="3"/>
        <v>Diggs</v>
      </c>
      <c r="K246" s="1" t="str">
        <f t="shared" si="4"/>
        <v>#N/A</v>
      </c>
      <c r="L246" s="1" t="str">
        <f>IFERROR(VLOOKUP($K246,Players!$D:$E,2,FALSE),VLOOKUP($H246,Players!A:E,5,FALSE))</f>
        <v>WR</v>
      </c>
    </row>
    <row r="247" ht="15.75" customHeight="1">
      <c r="A247" s="1">
        <v>2020.0</v>
      </c>
      <c r="B247" s="1" t="s">
        <v>42</v>
      </c>
      <c r="C247" s="1" t="s">
        <v>15</v>
      </c>
      <c r="D247" s="8">
        <v>1.0</v>
      </c>
      <c r="E247" s="8" t="str">
        <f t="shared" si="1"/>
        <v>Playoff Team</v>
      </c>
      <c r="F247" s="8">
        <v>6.0</v>
      </c>
      <c r="G247" s="8">
        <v>68.0</v>
      </c>
      <c r="H247" s="1" t="s">
        <v>119</v>
      </c>
      <c r="I247" s="1" t="str">
        <f t="shared" si="2"/>
        <v>Marquise</v>
      </c>
      <c r="J247" s="1" t="str">
        <f t="shared" si="3"/>
        <v>Brown</v>
      </c>
      <c r="K247" s="1" t="str">
        <f t="shared" si="4"/>
        <v>#N/A</v>
      </c>
      <c r="L247" s="1" t="str">
        <f>IFERROR(VLOOKUP($K247,Players!$D:$E,2,FALSE),VLOOKUP($H247,Players!A:E,5,FALSE))</f>
        <v>WR</v>
      </c>
    </row>
    <row r="248" ht="15.75" customHeight="1">
      <c r="A248" s="1">
        <v>2020.0</v>
      </c>
      <c r="B248" s="1" t="s">
        <v>42</v>
      </c>
      <c r="C248" s="1" t="s">
        <v>15</v>
      </c>
      <c r="D248" s="8">
        <v>1.0</v>
      </c>
      <c r="E248" s="8" t="str">
        <f t="shared" si="1"/>
        <v>Playoff Team</v>
      </c>
      <c r="F248" s="8">
        <v>7.0</v>
      </c>
      <c r="G248" s="8">
        <v>77.0</v>
      </c>
      <c r="H248" s="1" t="s">
        <v>618</v>
      </c>
      <c r="I248" s="1" t="str">
        <f t="shared" si="2"/>
        <v>Julian</v>
      </c>
      <c r="J248" s="1" t="str">
        <f t="shared" si="3"/>
        <v>Edelman</v>
      </c>
      <c r="K248" s="1" t="str">
        <f t="shared" si="4"/>
        <v>#N/A</v>
      </c>
      <c r="L248" s="1" t="str">
        <f>IFERROR(VLOOKUP($K248,Players!$D:$E,2,FALSE),VLOOKUP($H248,Players!A:E,5,FALSE))</f>
        <v>WR</v>
      </c>
    </row>
    <row r="249" ht="15.75" customHeight="1">
      <c r="A249" s="1">
        <v>2020.0</v>
      </c>
      <c r="B249" s="1" t="s">
        <v>42</v>
      </c>
      <c r="C249" s="1" t="s">
        <v>15</v>
      </c>
      <c r="D249" s="8">
        <v>1.0</v>
      </c>
      <c r="E249" s="8" t="str">
        <f t="shared" si="1"/>
        <v>Playoff Team</v>
      </c>
      <c r="F249" s="8">
        <v>8.0</v>
      </c>
      <c r="G249" s="8">
        <v>92.0</v>
      </c>
      <c r="H249" s="1" t="s">
        <v>620</v>
      </c>
      <c r="I249" s="1" t="str">
        <f t="shared" si="2"/>
        <v>Phillip</v>
      </c>
      <c r="J249" s="1" t="str">
        <f t="shared" si="3"/>
        <v>Lindsay</v>
      </c>
      <c r="K249" s="1" t="str">
        <f t="shared" si="4"/>
        <v>#N/A</v>
      </c>
      <c r="L249" s="1" t="str">
        <f>IFERROR(VLOOKUP($K249,Players!$D:$E,2,FALSE),VLOOKUP($H249,Players!A:E,5,FALSE))</f>
        <v>RB</v>
      </c>
    </row>
    <row r="250" ht="15.75" customHeight="1">
      <c r="A250" s="1">
        <v>2020.0</v>
      </c>
      <c r="B250" s="1" t="s">
        <v>42</v>
      </c>
      <c r="C250" s="1" t="s">
        <v>15</v>
      </c>
      <c r="D250" s="8">
        <v>1.0</v>
      </c>
      <c r="E250" s="8" t="str">
        <f t="shared" si="1"/>
        <v>Playoff Team</v>
      </c>
      <c r="F250" s="8">
        <v>9.0</v>
      </c>
      <c r="G250" s="8">
        <v>101.0</v>
      </c>
      <c r="H250" s="1" t="s">
        <v>449</v>
      </c>
      <c r="I250" s="1" t="str">
        <f t="shared" si="2"/>
        <v>Henry</v>
      </c>
      <c r="J250" s="1" t="str">
        <f t="shared" si="3"/>
        <v>Ruggs III</v>
      </c>
      <c r="K250" s="1" t="str">
        <f t="shared" si="4"/>
        <v>#N/A</v>
      </c>
      <c r="L250" s="1" t="str">
        <f>IFERROR(VLOOKUP($K250,Players!$D:$E,2,FALSE),VLOOKUP($H250,Players!A:E,5,FALSE))</f>
        <v>#N/A</v>
      </c>
    </row>
    <row r="251" ht="15.75" customHeight="1">
      <c r="A251" s="1">
        <v>2020.0</v>
      </c>
      <c r="B251" s="1" t="s">
        <v>42</v>
      </c>
      <c r="C251" s="1" t="s">
        <v>15</v>
      </c>
      <c r="D251" s="8">
        <v>1.0</v>
      </c>
      <c r="E251" s="8" t="str">
        <f t="shared" si="1"/>
        <v>Playoff Team</v>
      </c>
      <c r="F251" s="8">
        <v>10.0</v>
      </c>
      <c r="G251" s="8">
        <v>116.0</v>
      </c>
      <c r="H251" s="1" t="s">
        <v>625</v>
      </c>
      <c r="I251" s="1" t="str">
        <f t="shared" si="2"/>
        <v>Marlon</v>
      </c>
      <c r="J251" s="1" t="str">
        <f t="shared" si="3"/>
        <v>Mack</v>
      </c>
      <c r="K251" s="1" t="str">
        <f t="shared" si="4"/>
        <v>#N/A</v>
      </c>
      <c r="L251" s="1" t="str">
        <f>IFERROR(VLOOKUP($K251,Players!$D:$E,2,FALSE),VLOOKUP($H251,Players!A:E,5,FALSE))</f>
        <v>RB</v>
      </c>
    </row>
    <row r="252" ht="15.75" customHeight="1">
      <c r="A252" s="1">
        <v>2020.0</v>
      </c>
      <c r="B252" s="1" t="s">
        <v>42</v>
      </c>
      <c r="C252" s="1" t="s">
        <v>15</v>
      </c>
      <c r="D252" s="8">
        <v>1.0</v>
      </c>
      <c r="E252" s="8" t="str">
        <f t="shared" si="1"/>
        <v>Playoff Team</v>
      </c>
      <c r="F252" s="8">
        <v>11.0</v>
      </c>
      <c r="G252" s="8">
        <v>125.0</v>
      </c>
      <c r="H252" s="1" t="s">
        <v>315</v>
      </c>
      <c r="I252" s="1" t="str">
        <f t="shared" si="2"/>
        <v>Noah</v>
      </c>
      <c r="J252" s="1" t="str">
        <f t="shared" si="3"/>
        <v>Fant</v>
      </c>
      <c r="K252" s="1" t="str">
        <f t="shared" si="4"/>
        <v>#N/A</v>
      </c>
      <c r="L252" s="1" t="str">
        <f>IFERROR(VLOOKUP($K252,Players!$D:$E,2,FALSE),VLOOKUP($H252,Players!A:E,5,FALSE))</f>
        <v>TE</v>
      </c>
    </row>
    <row r="253" ht="15.75" customHeight="1">
      <c r="A253" s="1">
        <v>2020.0</v>
      </c>
      <c r="B253" s="1" t="s">
        <v>42</v>
      </c>
      <c r="C253" s="1" t="s">
        <v>15</v>
      </c>
      <c r="D253" s="8">
        <v>1.0</v>
      </c>
      <c r="E253" s="8" t="str">
        <f t="shared" si="1"/>
        <v>Playoff Team</v>
      </c>
      <c r="F253" s="8">
        <v>12.0</v>
      </c>
      <c r="G253" s="8">
        <v>140.0</v>
      </c>
      <c r="H253" s="1" t="s">
        <v>331</v>
      </c>
      <c r="I253" s="1" t="str">
        <f t="shared" si="2"/>
        <v>Kansas</v>
      </c>
      <c r="J253" s="1" t="str">
        <f t="shared" si="3"/>
        <v>City</v>
      </c>
      <c r="K253" s="1" t="str">
        <f t="shared" si="4"/>
        <v>#N/A</v>
      </c>
      <c r="L253" s="1" t="str">
        <f>IFERROR(VLOOKUP($K253,Players!$D:$E,2,FALSE),VLOOKUP($H253,Players!A:E,5,FALSE))</f>
        <v>DEF</v>
      </c>
    </row>
    <row r="254" ht="15.75" customHeight="1">
      <c r="A254" s="1">
        <v>2020.0</v>
      </c>
      <c r="B254" s="1" t="s">
        <v>42</v>
      </c>
      <c r="C254" s="1" t="s">
        <v>15</v>
      </c>
      <c r="D254" s="8">
        <v>1.0</v>
      </c>
      <c r="E254" s="8" t="str">
        <f t="shared" si="1"/>
        <v>Playoff Team</v>
      </c>
      <c r="F254" s="8">
        <v>13.0</v>
      </c>
      <c r="G254" s="8">
        <v>149.0</v>
      </c>
      <c r="H254" s="1" t="s">
        <v>631</v>
      </c>
      <c r="I254" s="1" t="str">
        <f t="shared" si="2"/>
        <v>Rodrigo</v>
      </c>
      <c r="J254" s="1" t="str">
        <f t="shared" si="3"/>
        <v>Blankenship</v>
      </c>
      <c r="K254" s="1" t="str">
        <f t="shared" si="4"/>
        <v>#N/A</v>
      </c>
      <c r="L254" s="1" t="str">
        <f>IFERROR(VLOOKUP($K254,Players!$D:$E,2,FALSE),VLOOKUP($H254,Players!A:E,5,FALSE))</f>
        <v>K</v>
      </c>
    </row>
    <row r="255" ht="15.75" customHeight="1">
      <c r="A255" s="1">
        <v>2020.0</v>
      </c>
      <c r="B255" s="1" t="s">
        <v>42</v>
      </c>
      <c r="C255" s="1" t="s">
        <v>15</v>
      </c>
      <c r="D255" s="8">
        <v>1.0</v>
      </c>
      <c r="E255" s="8" t="str">
        <f t="shared" si="1"/>
        <v>Playoff Team</v>
      </c>
      <c r="F255" s="8">
        <v>14.0</v>
      </c>
      <c r="G255" s="8">
        <v>164.0</v>
      </c>
      <c r="H255" s="1" t="s">
        <v>400</v>
      </c>
      <c r="I255" s="1" t="str">
        <f t="shared" si="2"/>
        <v>Michael</v>
      </c>
      <c r="J255" s="1" t="str">
        <f t="shared" si="3"/>
        <v>Pittman Jr</v>
      </c>
      <c r="K255" s="1" t="str">
        <f t="shared" si="4"/>
        <v>#N/A</v>
      </c>
      <c r="L255" s="1" t="str">
        <f>IFERROR(VLOOKUP($K255,Players!$D:$E,2,FALSE),VLOOKUP($H255,Players!A:E,5,FALSE))</f>
        <v>#N/A</v>
      </c>
    </row>
    <row r="256" ht="15.75" customHeight="1">
      <c r="A256" s="1">
        <v>2020.0</v>
      </c>
      <c r="B256" s="1" t="s">
        <v>42</v>
      </c>
      <c r="C256" s="1" t="s">
        <v>15</v>
      </c>
      <c r="D256" s="8">
        <v>1.0</v>
      </c>
      <c r="E256" s="8" t="str">
        <f t="shared" si="1"/>
        <v>Playoff Team</v>
      </c>
      <c r="F256" s="8">
        <v>15.0</v>
      </c>
      <c r="G256" s="8">
        <v>173.0</v>
      </c>
      <c r="H256" s="1" t="s">
        <v>635</v>
      </c>
      <c r="I256" s="1" t="str">
        <f t="shared" si="2"/>
        <v>Jared</v>
      </c>
      <c r="J256" s="1" t="str">
        <f t="shared" si="3"/>
        <v>Goff</v>
      </c>
      <c r="K256" s="1" t="str">
        <f t="shared" si="4"/>
        <v>#N/A</v>
      </c>
      <c r="L256" s="1" t="str">
        <f>IFERROR(VLOOKUP($K256,Players!$D:$E,2,FALSE),VLOOKUP($H256,Players!A:E,5,FALSE))</f>
        <v>#N/A</v>
      </c>
    </row>
    <row r="257" ht="15.75" customHeight="1">
      <c r="A257" s="1">
        <v>2020.0</v>
      </c>
      <c r="B257" s="1" t="s">
        <v>46</v>
      </c>
      <c r="C257" s="1" t="s">
        <v>13</v>
      </c>
      <c r="D257" s="8">
        <v>6.0</v>
      </c>
      <c r="E257" s="8" t="str">
        <f t="shared" si="1"/>
        <v>Playoff Team</v>
      </c>
      <c r="F257" s="8">
        <v>1.0</v>
      </c>
      <c r="G257" s="8">
        <v>6.0</v>
      </c>
      <c r="H257" s="1" t="s">
        <v>108</v>
      </c>
      <c r="I257" s="1" t="str">
        <f t="shared" si="2"/>
        <v>Alvin</v>
      </c>
      <c r="J257" s="1" t="str">
        <f t="shared" si="3"/>
        <v>Kamara</v>
      </c>
      <c r="K257" s="1" t="str">
        <f t="shared" si="4"/>
        <v>#N/A</v>
      </c>
      <c r="L257" s="1" t="str">
        <f>IFERROR(VLOOKUP($K257,Players!$D:$E,2,FALSE),VLOOKUP($H257,Players!A:E,5,FALSE))</f>
        <v>RB</v>
      </c>
    </row>
    <row r="258" ht="15.75" customHeight="1">
      <c r="A258" s="1">
        <v>2020.0</v>
      </c>
      <c r="B258" s="1" t="s">
        <v>46</v>
      </c>
      <c r="C258" s="1" t="s">
        <v>13</v>
      </c>
      <c r="D258" s="8">
        <v>6.0</v>
      </c>
      <c r="E258" s="8" t="str">
        <f t="shared" si="1"/>
        <v>Playoff Team</v>
      </c>
      <c r="F258" s="8">
        <v>2.0</v>
      </c>
      <c r="G258" s="8">
        <v>19.0</v>
      </c>
      <c r="H258" s="1" t="s">
        <v>298</v>
      </c>
      <c r="I258" s="1" t="str">
        <f t="shared" si="2"/>
        <v>DeAndre</v>
      </c>
      <c r="J258" s="1" t="str">
        <f t="shared" si="3"/>
        <v>Hopkins</v>
      </c>
      <c r="K258" s="1" t="str">
        <f t="shared" si="4"/>
        <v>#N/A</v>
      </c>
      <c r="L258" s="1" t="str">
        <f>IFERROR(VLOOKUP($K258,Players!$D:$E,2,FALSE),VLOOKUP($H258,Players!A:E,5,FALSE))</f>
        <v>WR</v>
      </c>
    </row>
    <row r="259" ht="15.75" customHeight="1">
      <c r="A259" s="1">
        <v>2020.0</v>
      </c>
      <c r="B259" s="1" t="s">
        <v>46</v>
      </c>
      <c r="C259" s="1" t="s">
        <v>13</v>
      </c>
      <c r="D259" s="8">
        <v>6.0</v>
      </c>
      <c r="E259" s="8" t="str">
        <f t="shared" si="1"/>
        <v>Playoff Team</v>
      </c>
      <c r="F259" s="8">
        <v>3.0</v>
      </c>
      <c r="G259" s="8">
        <v>30.0</v>
      </c>
      <c r="H259" s="1" t="s">
        <v>133</v>
      </c>
      <c r="I259" s="1" t="str">
        <f t="shared" si="2"/>
        <v>David</v>
      </c>
      <c r="J259" s="1" t="str">
        <f t="shared" si="3"/>
        <v>Johnson</v>
      </c>
      <c r="K259" s="1" t="str">
        <f t="shared" si="4"/>
        <v>#N/A</v>
      </c>
      <c r="L259" s="1" t="str">
        <f>IFERROR(VLOOKUP($K259,Players!$D:$E,2,FALSE),VLOOKUP($H259,Players!A:E,5,FALSE))</f>
        <v>RB</v>
      </c>
    </row>
    <row r="260" ht="15.75" customHeight="1">
      <c r="A260" s="1">
        <v>2020.0</v>
      </c>
      <c r="B260" s="1" t="s">
        <v>46</v>
      </c>
      <c r="C260" s="1" t="s">
        <v>13</v>
      </c>
      <c r="D260" s="8">
        <v>6.0</v>
      </c>
      <c r="E260" s="8" t="str">
        <f t="shared" si="1"/>
        <v>Playoff Team</v>
      </c>
      <c r="F260" s="8">
        <v>4.0</v>
      </c>
      <c r="G260" s="8">
        <v>43.0</v>
      </c>
      <c r="H260" s="1" t="s">
        <v>142</v>
      </c>
      <c r="I260" s="1" t="str">
        <f t="shared" si="2"/>
        <v>Tyler</v>
      </c>
      <c r="J260" s="1" t="str">
        <f t="shared" si="3"/>
        <v>Lockett</v>
      </c>
      <c r="K260" s="1" t="str">
        <f t="shared" si="4"/>
        <v>#N/A</v>
      </c>
      <c r="L260" s="1" t="str">
        <f>IFERROR(VLOOKUP($K260,Players!$D:$E,2,FALSE),VLOOKUP($H260,Players!A:E,5,FALSE))</f>
        <v>WR</v>
      </c>
    </row>
    <row r="261" ht="15.75" customHeight="1">
      <c r="A261" s="1">
        <v>2020.0</v>
      </c>
      <c r="B261" s="1" t="s">
        <v>46</v>
      </c>
      <c r="C261" s="1" t="s">
        <v>13</v>
      </c>
      <c r="D261" s="8">
        <v>6.0</v>
      </c>
      <c r="E261" s="8" t="str">
        <f t="shared" si="1"/>
        <v>Playoff Team</v>
      </c>
      <c r="F261" s="8">
        <v>5.0</v>
      </c>
      <c r="G261" s="8">
        <v>54.0</v>
      </c>
      <c r="H261" s="1" t="s">
        <v>144</v>
      </c>
      <c r="I261" s="1" t="str">
        <f t="shared" si="2"/>
        <v>Russell</v>
      </c>
      <c r="J261" s="1" t="str">
        <f t="shared" si="3"/>
        <v>Wilson</v>
      </c>
      <c r="K261" s="1" t="str">
        <f t="shared" si="4"/>
        <v>#N/A</v>
      </c>
      <c r="L261" s="1" t="str">
        <f>IFERROR(VLOOKUP($K261,Players!$D:$E,2,FALSE),VLOOKUP($H261,Players!A:E,5,FALSE))</f>
        <v>QB</v>
      </c>
    </row>
    <row r="262" ht="15.75" customHeight="1">
      <c r="A262" s="1">
        <v>2020.0</v>
      </c>
      <c r="B262" s="1" t="s">
        <v>46</v>
      </c>
      <c r="C262" s="1" t="s">
        <v>13</v>
      </c>
      <c r="D262" s="8">
        <v>6.0</v>
      </c>
      <c r="E262" s="8" t="str">
        <f t="shared" si="1"/>
        <v>Playoff Team</v>
      </c>
      <c r="F262" s="8">
        <v>6.0</v>
      </c>
      <c r="G262" s="8">
        <v>67.0</v>
      </c>
      <c r="H262" s="1" t="s">
        <v>150</v>
      </c>
      <c r="I262" s="1" t="str">
        <f t="shared" si="2"/>
        <v>Michael</v>
      </c>
      <c r="J262" s="1" t="str">
        <f t="shared" si="3"/>
        <v>Gallup</v>
      </c>
      <c r="K262" s="1" t="str">
        <f t="shared" si="4"/>
        <v>#N/A</v>
      </c>
      <c r="L262" s="1" t="str">
        <f>IFERROR(VLOOKUP($K262,Players!$D:$E,2,FALSE),VLOOKUP($H262,Players!A:E,5,FALSE))</f>
        <v>WR</v>
      </c>
    </row>
    <row r="263" ht="15.75" customHeight="1">
      <c r="A263" s="1">
        <v>2020.0</v>
      </c>
      <c r="B263" s="1" t="s">
        <v>46</v>
      </c>
      <c r="C263" s="1" t="s">
        <v>13</v>
      </c>
      <c r="D263" s="8">
        <v>6.0</v>
      </c>
      <c r="E263" s="8" t="str">
        <f t="shared" si="1"/>
        <v>Playoff Team</v>
      </c>
      <c r="F263" s="8">
        <v>7.0</v>
      </c>
      <c r="G263" s="8">
        <v>78.0</v>
      </c>
      <c r="H263" s="1" t="s">
        <v>654</v>
      </c>
      <c r="I263" s="1" t="str">
        <f t="shared" si="2"/>
        <v>Rob</v>
      </c>
      <c r="J263" s="1" t="str">
        <f t="shared" si="3"/>
        <v>Gronkowski</v>
      </c>
      <c r="K263" s="1" t="str">
        <f t="shared" si="4"/>
        <v>#N/A</v>
      </c>
      <c r="L263" s="1" t="str">
        <f>IFERROR(VLOOKUP($K263,Players!$D:$E,2,FALSE),VLOOKUP($H263,Players!A:E,5,FALSE))</f>
        <v>TE</v>
      </c>
    </row>
    <row r="264" ht="15.75" customHeight="1">
      <c r="A264" s="1">
        <v>2020.0</v>
      </c>
      <c r="B264" s="1" t="s">
        <v>46</v>
      </c>
      <c r="C264" s="1" t="s">
        <v>13</v>
      </c>
      <c r="D264" s="8">
        <v>6.0</v>
      </c>
      <c r="E264" s="8" t="str">
        <f t="shared" si="1"/>
        <v>Playoff Team</v>
      </c>
      <c r="F264" s="8">
        <v>8.0</v>
      </c>
      <c r="G264" s="8">
        <v>91.0</v>
      </c>
      <c r="H264" s="1" t="s">
        <v>146</v>
      </c>
      <c r="I264" s="1" t="str">
        <f t="shared" si="2"/>
        <v>Sony</v>
      </c>
      <c r="J264" s="1" t="str">
        <f t="shared" si="3"/>
        <v>Michel</v>
      </c>
      <c r="K264" s="1" t="str">
        <f t="shared" si="4"/>
        <v>#N/A</v>
      </c>
      <c r="L264" s="1" t="str">
        <f>IFERROR(VLOOKUP($K264,Players!$D:$E,2,FALSE),VLOOKUP($H264,Players!A:E,5,FALSE))</f>
        <v>RB</v>
      </c>
    </row>
    <row r="265" ht="15.75" customHeight="1">
      <c r="A265" s="1">
        <v>2020.0</v>
      </c>
      <c r="B265" s="1" t="s">
        <v>46</v>
      </c>
      <c r="C265" s="1" t="s">
        <v>13</v>
      </c>
      <c r="D265" s="8">
        <v>6.0</v>
      </c>
      <c r="E265" s="8" t="str">
        <f t="shared" si="1"/>
        <v>Playoff Team</v>
      </c>
      <c r="F265" s="8">
        <v>9.0</v>
      </c>
      <c r="G265" s="8">
        <v>102.0</v>
      </c>
      <c r="H265" s="1" t="s">
        <v>301</v>
      </c>
      <c r="I265" s="1" t="str">
        <f t="shared" si="2"/>
        <v>CeeDee</v>
      </c>
      <c r="J265" s="1" t="str">
        <f t="shared" si="3"/>
        <v>Lamb</v>
      </c>
      <c r="K265" s="1" t="str">
        <f t="shared" si="4"/>
        <v>#N/A</v>
      </c>
      <c r="L265" s="1" t="str">
        <f>IFERROR(VLOOKUP($K265,Players!$D:$E,2,FALSE),VLOOKUP($H265,Players!A:E,5,FALSE))</f>
        <v>WR</v>
      </c>
    </row>
    <row r="266" ht="15.75" customHeight="1">
      <c r="A266" s="1">
        <v>2020.0</v>
      </c>
      <c r="B266" s="1" t="s">
        <v>46</v>
      </c>
      <c r="C266" s="1" t="s">
        <v>13</v>
      </c>
      <c r="D266" s="8">
        <v>6.0</v>
      </c>
      <c r="E266" s="8" t="str">
        <f t="shared" si="1"/>
        <v>Playoff Team</v>
      </c>
      <c r="F266" s="8">
        <v>10.0</v>
      </c>
      <c r="G266" s="8">
        <v>115.0</v>
      </c>
      <c r="H266" s="1" t="s">
        <v>662</v>
      </c>
      <c r="I266" s="1" t="str">
        <f t="shared" si="2"/>
        <v>New</v>
      </c>
      <c r="J266" s="1" t="str">
        <f t="shared" si="3"/>
        <v>Orleans</v>
      </c>
      <c r="K266" s="1" t="str">
        <f t="shared" si="4"/>
        <v>#N/A</v>
      </c>
      <c r="L266" s="1" t="str">
        <f>IFERROR(VLOOKUP($K266,Players!$D:$E,2,FALSE),VLOOKUP($H266,Players!A:E,5,FALSE))</f>
        <v>DEF</v>
      </c>
    </row>
    <row r="267" ht="15.75" customHeight="1">
      <c r="A267" s="1">
        <v>2020.0</v>
      </c>
      <c r="B267" s="1" t="s">
        <v>46</v>
      </c>
      <c r="C267" s="1" t="s">
        <v>13</v>
      </c>
      <c r="D267" s="8">
        <v>6.0</v>
      </c>
      <c r="E267" s="8" t="str">
        <f t="shared" si="1"/>
        <v>Playoff Team</v>
      </c>
      <c r="F267" s="8">
        <v>11.0</v>
      </c>
      <c r="G267" s="8">
        <v>126.0</v>
      </c>
      <c r="H267" s="1" t="s">
        <v>665</v>
      </c>
      <c r="I267" s="1" t="str">
        <f t="shared" si="2"/>
        <v>Wil</v>
      </c>
      <c r="J267" s="1" t="str">
        <f t="shared" si="3"/>
        <v>Lutz</v>
      </c>
      <c r="K267" s="1" t="str">
        <f t="shared" si="4"/>
        <v>#N/A</v>
      </c>
      <c r="L267" s="1" t="str">
        <f>IFERROR(VLOOKUP($K267,Players!$D:$E,2,FALSE),VLOOKUP($H267,Players!A:E,5,FALSE))</f>
        <v>K</v>
      </c>
    </row>
    <row r="268" ht="15.75" customHeight="1">
      <c r="A268" s="1">
        <v>2020.0</v>
      </c>
      <c r="B268" s="1" t="s">
        <v>46</v>
      </c>
      <c r="C268" s="1" t="s">
        <v>13</v>
      </c>
      <c r="D268" s="8">
        <v>6.0</v>
      </c>
      <c r="E268" s="8" t="str">
        <f t="shared" si="1"/>
        <v>Playoff Team</v>
      </c>
      <c r="F268" s="8">
        <v>12.0</v>
      </c>
      <c r="G268" s="8">
        <v>139.0</v>
      </c>
      <c r="H268" s="1" t="s">
        <v>84</v>
      </c>
      <c r="I268" s="1" t="str">
        <f t="shared" si="2"/>
        <v>Jerry</v>
      </c>
      <c r="J268" s="1" t="str">
        <f t="shared" si="3"/>
        <v>Jeudy</v>
      </c>
      <c r="K268" s="1" t="str">
        <f t="shared" si="4"/>
        <v>#N/A</v>
      </c>
      <c r="L268" s="1" t="str">
        <f>IFERROR(VLOOKUP($K268,Players!$D:$E,2,FALSE),VLOOKUP($H268,Players!A:E,5,FALSE))</f>
        <v>WR</v>
      </c>
    </row>
    <row r="269" ht="15.75" customHeight="1">
      <c r="A269" s="1">
        <v>2020.0</v>
      </c>
      <c r="B269" s="1" t="s">
        <v>46</v>
      </c>
      <c r="C269" s="1" t="s">
        <v>13</v>
      </c>
      <c r="D269" s="8">
        <v>6.0</v>
      </c>
      <c r="E269" s="8" t="str">
        <f t="shared" si="1"/>
        <v>Playoff Team</v>
      </c>
      <c r="F269" s="8">
        <v>13.0</v>
      </c>
      <c r="G269" s="8">
        <v>150.0</v>
      </c>
      <c r="H269" s="1" t="s">
        <v>670</v>
      </c>
      <c r="I269" s="1" t="str">
        <f t="shared" si="2"/>
        <v>Chris</v>
      </c>
      <c r="J269" s="1" t="str">
        <f t="shared" si="3"/>
        <v>Thompson</v>
      </c>
      <c r="K269" s="1" t="str">
        <f t="shared" si="4"/>
        <v>#N/A</v>
      </c>
      <c r="L269" s="1" t="str">
        <f>IFERROR(VLOOKUP($K269,Players!$D:$E,2,FALSE),VLOOKUP($H269,Players!A:E,5,FALSE))</f>
        <v>WR</v>
      </c>
    </row>
    <row r="270" ht="15.75" customHeight="1">
      <c r="A270" s="1">
        <v>2020.0</v>
      </c>
      <c r="B270" s="1" t="s">
        <v>46</v>
      </c>
      <c r="C270" s="1" t="s">
        <v>13</v>
      </c>
      <c r="D270" s="8">
        <v>6.0</v>
      </c>
      <c r="E270" s="8" t="str">
        <f t="shared" si="1"/>
        <v>Playoff Team</v>
      </c>
      <c r="F270" s="8">
        <v>14.0</v>
      </c>
      <c r="G270" s="8">
        <v>163.0</v>
      </c>
      <c r="H270" s="1" t="s">
        <v>260</v>
      </c>
      <c r="I270" s="1" t="str">
        <f t="shared" si="2"/>
        <v>Alshon</v>
      </c>
      <c r="J270" s="1" t="str">
        <f t="shared" si="3"/>
        <v>Jeffery</v>
      </c>
      <c r="K270" s="1" t="str">
        <f t="shared" si="4"/>
        <v>#N/A</v>
      </c>
      <c r="L270" s="1" t="str">
        <f>IFERROR(VLOOKUP($K270,Players!$D:$E,2,FALSE),VLOOKUP($H270,Players!A:E,5,FALSE))</f>
        <v>WR</v>
      </c>
    </row>
    <row r="271" ht="15.75" customHeight="1">
      <c r="A271" s="1">
        <v>2020.0</v>
      </c>
      <c r="B271" s="1" t="s">
        <v>46</v>
      </c>
      <c r="C271" s="1" t="s">
        <v>13</v>
      </c>
      <c r="D271" s="8">
        <v>6.0</v>
      </c>
      <c r="E271" s="8" t="str">
        <f t="shared" si="1"/>
        <v>Playoff Team</v>
      </c>
      <c r="F271" s="8">
        <v>15.0</v>
      </c>
      <c r="G271" s="8">
        <v>174.0</v>
      </c>
      <c r="H271" s="1" t="s">
        <v>134</v>
      </c>
      <c r="I271" s="1" t="str">
        <f t="shared" si="2"/>
        <v>Jonnu</v>
      </c>
      <c r="J271" s="1" t="str">
        <f t="shared" si="3"/>
        <v>Smith</v>
      </c>
      <c r="K271" s="1" t="str">
        <f t="shared" si="4"/>
        <v>#N/A</v>
      </c>
      <c r="L271" s="1" t="str">
        <f>IFERROR(VLOOKUP($K271,Players!$D:$E,2,FALSE),VLOOKUP($H271,Players!A:E,5,FALSE))</f>
        <v>TE</v>
      </c>
    </row>
    <row r="272" ht="15.75" customHeight="1">
      <c r="A272" s="1">
        <v>2020.0</v>
      </c>
      <c r="B272" s="1" t="s">
        <v>48</v>
      </c>
      <c r="C272" s="1" t="s">
        <v>19</v>
      </c>
      <c r="D272" s="8">
        <v>10.0</v>
      </c>
      <c r="E272" s="8" t="str">
        <f t="shared" si="1"/>
        <v>Non-Playoff Team</v>
      </c>
      <c r="F272" s="8">
        <v>1.0</v>
      </c>
      <c r="G272" s="8">
        <v>7.0</v>
      </c>
      <c r="H272" s="1" t="s">
        <v>79</v>
      </c>
      <c r="I272" s="1" t="str">
        <f t="shared" si="2"/>
        <v>Clyde</v>
      </c>
      <c r="J272" s="1" t="str">
        <f t="shared" si="3"/>
        <v>Edwards-Helaire</v>
      </c>
      <c r="K272" s="1" t="str">
        <f t="shared" si="4"/>
        <v>#N/A</v>
      </c>
      <c r="L272" s="1" t="str">
        <f>IFERROR(VLOOKUP($K272,Players!$D:$E,2,FALSE),VLOOKUP($H272,Players!A:E,5,FALSE))</f>
        <v>RB</v>
      </c>
    </row>
    <row r="273" ht="15.75" customHeight="1">
      <c r="A273" s="1">
        <v>2020.0</v>
      </c>
      <c r="B273" s="1" t="s">
        <v>48</v>
      </c>
      <c r="C273" s="1" t="s">
        <v>19</v>
      </c>
      <c r="D273" s="8">
        <v>10.0</v>
      </c>
      <c r="E273" s="8" t="str">
        <f t="shared" si="1"/>
        <v>Non-Playoff Team</v>
      </c>
      <c r="F273" s="8">
        <v>2.0</v>
      </c>
      <c r="G273" s="8">
        <v>18.0</v>
      </c>
      <c r="H273" s="1" t="s">
        <v>362</v>
      </c>
      <c r="I273" s="1" t="str">
        <f t="shared" si="2"/>
        <v>Kenyan</v>
      </c>
      <c r="J273" s="1" t="str">
        <f t="shared" si="3"/>
        <v>Drake</v>
      </c>
      <c r="K273" s="1" t="str">
        <f t="shared" si="4"/>
        <v>#N/A</v>
      </c>
      <c r="L273" s="1" t="str">
        <f>IFERROR(VLOOKUP($K273,Players!$D:$E,2,FALSE),VLOOKUP($H273,Players!A:E,5,FALSE))</f>
        <v>RB</v>
      </c>
    </row>
    <row r="274" ht="15.75" customHeight="1">
      <c r="A274" s="1">
        <v>2020.0</v>
      </c>
      <c r="B274" s="1" t="s">
        <v>48</v>
      </c>
      <c r="C274" s="1" t="s">
        <v>19</v>
      </c>
      <c r="D274" s="8">
        <v>10.0</v>
      </c>
      <c r="E274" s="8" t="str">
        <f t="shared" si="1"/>
        <v>Non-Playoff Team</v>
      </c>
      <c r="F274" s="8">
        <v>3.0</v>
      </c>
      <c r="G274" s="8">
        <v>31.0</v>
      </c>
      <c r="H274" s="1" t="s">
        <v>130</v>
      </c>
      <c r="I274" s="1" t="str">
        <f t="shared" si="2"/>
        <v>Kenny</v>
      </c>
      <c r="J274" s="1" t="str">
        <f t="shared" si="3"/>
        <v>Golladay</v>
      </c>
      <c r="K274" s="1" t="str">
        <f t="shared" si="4"/>
        <v>#N/A</v>
      </c>
      <c r="L274" s="1" t="str">
        <f>IFERROR(VLOOKUP($K274,Players!$D:$E,2,FALSE),VLOOKUP($H274,Players!A:E,5,FALSE))</f>
        <v>WR</v>
      </c>
    </row>
    <row r="275" ht="15.75" customHeight="1">
      <c r="A275" s="1">
        <v>2020.0</v>
      </c>
      <c r="B275" s="1" t="s">
        <v>48</v>
      </c>
      <c r="C275" s="1" t="s">
        <v>19</v>
      </c>
      <c r="D275" s="8">
        <v>10.0</v>
      </c>
      <c r="E275" s="8" t="str">
        <f t="shared" si="1"/>
        <v>Non-Playoff Team</v>
      </c>
      <c r="F275" s="8">
        <v>4.0</v>
      </c>
      <c r="G275" s="8">
        <v>42.0</v>
      </c>
      <c r="H275" s="1" t="s">
        <v>111</v>
      </c>
      <c r="I275" s="1" t="str">
        <f t="shared" si="2"/>
        <v>DJ</v>
      </c>
      <c r="J275" s="1" t="str">
        <f t="shared" si="3"/>
        <v>Moore</v>
      </c>
      <c r="K275" s="1" t="str">
        <f t="shared" si="4"/>
        <v>#N/A</v>
      </c>
      <c r="L275" s="1" t="str">
        <f>IFERROR(VLOOKUP($K275,Players!$D:$E,2,FALSE),VLOOKUP($H275,Players!A:E,5,FALSE))</f>
        <v>#N/A</v>
      </c>
    </row>
    <row r="276" ht="15.75" customHeight="1">
      <c r="A276" s="1">
        <v>2020.0</v>
      </c>
      <c r="B276" s="1" t="s">
        <v>48</v>
      </c>
      <c r="C276" s="1" t="s">
        <v>19</v>
      </c>
      <c r="D276" s="8">
        <v>10.0</v>
      </c>
      <c r="E276" s="8" t="str">
        <f t="shared" si="1"/>
        <v>Non-Playoff Team</v>
      </c>
      <c r="F276" s="8">
        <v>5.0</v>
      </c>
      <c r="G276" s="8">
        <v>55.0</v>
      </c>
      <c r="H276" s="1" t="s">
        <v>389</v>
      </c>
      <c r="I276" s="1" t="str">
        <f t="shared" si="2"/>
        <v>Robert</v>
      </c>
      <c r="J276" s="1" t="str">
        <f t="shared" si="3"/>
        <v>Woods</v>
      </c>
      <c r="K276" s="1" t="str">
        <f t="shared" si="4"/>
        <v>#N/A</v>
      </c>
      <c r="L276" s="1" t="str">
        <f>IFERROR(VLOOKUP($K276,Players!$D:$E,2,FALSE),VLOOKUP($H276,Players!A:E,5,FALSE))</f>
        <v>WR</v>
      </c>
    </row>
    <row r="277" ht="15.75" customHeight="1">
      <c r="A277" s="1">
        <v>2020.0</v>
      </c>
      <c r="B277" s="1" t="s">
        <v>48</v>
      </c>
      <c r="C277" s="1" t="s">
        <v>19</v>
      </c>
      <c r="D277" s="8">
        <v>10.0</v>
      </c>
      <c r="E277" s="8" t="str">
        <f t="shared" si="1"/>
        <v>Non-Playoff Team</v>
      </c>
      <c r="F277" s="8">
        <v>6.0</v>
      </c>
      <c r="G277" s="8">
        <v>66.0</v>
      </c>
      <c r="H277" s="1" t="s">
        <v>152</v>
      </c>
      <c r="I277" s="1" t="str">
        <f t="shared" si="2"/>
        <v>AJ</v>
      </c>
      <c r="J277" s="1" t="str">
        <f t="shared" si="3"/>
        <v>Green</v>
      </c>
      <c r="K277" s="1" t="str">
        <f t="shared" si="4"/>
        <v>#N/A</v>
      </c>
      <c r="L277" s="1" t="str">
        <f>IFERROR(VLOOKUP($K277,Players!$D:$E,2,FALSE),VLOOKUP($H277,Players!A:E,5,FALSE))</f>
        <v>WR</v>
      </c>
    </row>
    <row r="278" ht="15.75" customHeight="1">
      <c r="A278" s="1">
        <v>2020.0</v>
      </c>
      <c r="B278" s="1" t="s">
        <v>48</v>
      </c>
      <c r="C278" s="1" t="s">
        <v>19</v>
      </c>
      <c r="D278" s="8">
        <v>10.0</v>
      </c>
      <c r="E278" s="8" t="str">
        <f t="shared" si="1"/>
        <v>Non-Playoff Team</v>
      </c>
      <c r="F278" s="8">
        <v>7.0</v>
      </c>
      <c r="G278" s="8">
        <v>79.0</v>
      </c>
      <c r="H278" s="1" t="s">
        <v>109</v>
      </c>
      <c r="I278" s="1" t="str">
        <f t="shared" si="2"/>
        <v>Antonio</v>
      </c>
      <c r="J278" s="1" t="str">
        <f t="shared" si="3"/>
        <v>Gibson</v>
      </c>
      <c r="K278" s="1" t="str">
        <f t="shared" si="4"/>
        <v>#N/A</v>
      </c>
      <c r="L278" s="1" t="str">
        <f>IFERROR(VLOOKUP($K278,Players!$D:$E,2,FALSE),VLOOKUP($H278,Players!A:E,5,FALSE))</f>
        <v>RB</v>
      </c>
    </row>
    <row r="279" ht="15.75" customHeight="1">
      <c r="A279" s="1">
        <v>2020.0</v>
      </c>
      <c r="B279" s="1" t="s">
        <v>48</v>
      </c>
      <c r="C279" s="1" t="s">
        <v>19</v>
      </c>
      <c r="D279" s="8">
        <v>10.0</v>
      </c>
      <c r="E279" s="8" t="str">
        <f t="shared" si="1"/>
        <v>Non-Playoff Team</v>
      </c>
      <c r="F279" s="8">
        <v>8.0</v>
      </c>
      <c r="G279" s="8">
        <v>90.0</v>
      </c>
      <c r="H279" s="1" t="s">
        <v>694</v>
      </c>
      <c r="I279" s="1" t="str">
        <f t="shared" si="2"/>
        <v>Jared</v>
      </c>
      <c r="J279" s="1" t="str">
        <f t="shared" si="3"/>
        <v>Cook</v>
      </c>
      <c r="K279" s="1" t="str">
        <f t="shared" si="4"/>
        <v>#N/A</v>
      </c>
      <c r="L279" s="1" t="str">
        <f>IFERROR(VLOOKUP($K279,Players!$D:$E,2,FALSE),VLOOKUP($H279,Players!A:E,5,FALSE))</f>
        <v>TE</v>
      </c>
    </row>
    <row r="280" ht="15.75" customHeight="1">
      <c r="A280" s="1">
        <v>2020.0</v>
      </c>
      <c r="B280" s="1" t="s">
        <v>48</v>
      </c>
      <c r="C280" s="1" t="s">
        <v>19</v>
      </c>
      <c r="D280" s="8">
        <v>10.0</v>
      </c>
      <c r="E280" s="8" t="str">
        <f t="shared" si="1"/>
        <v>Non-Playoff Team</v>
      </c>
      <c r="F280" s="8">
        <v>9.0</v>
      </c>
      <c r="G280" s="8">
        <v>103.0</v>
      </c>
      <c r="H280" s="1" t="s">
        <v>328</v>
      </c>
      <c r="I280" s="1" t="str">
        <f t="shared" si="2"/>
        <v>Sterling</v>
      </c>
      <c r="J280" s="1" t="str">
        <f t="shared" si="3"/>
        <v>Shepard</v>
      </c>
      <c r="K280" s="1" t="str">
        <f t="shared" si="4"/>
        <v>#N/A</v>
      </c>
      <c r="L280" s="1" t="str">
        <f>IFERROR(VLOOKUP($K280,Players!$D:$E,2,FALSE),VLOOKUP($H280,Players!A:E,5,FALSE))</f>
        <v>WR</v>
      </c>
    </row>
    <row r="281" ht="15.75" customHeight="1">
      <c r="A281" s="1">
        <v>2020.0</v>
      </c>
      <c r="B281" s="1" t="s">
        <v>48</v>
      </c>
      <c r="C281" s="1" t="s">
        <v>19</v>
      </c>
      <c r="D281" s="8">
        <v>10.0</v>
      </c>
      <c r="E281" s="8" t="str">
        <f t="shared" si="1"/>
        <v>Non-Playoff Team</v>
      </c>
      <c r="F281" s="8">
        <v>10.0</v>
      </c>
      <c r="G281" s="8">
        <v>114.0</v>
      </c>
      <c r="H281" s="1" t="s">
        <v>699</v>
      </c>
      <c r="I281" s="1" t="str">
        <f t="shared" si="2"/>
        <v>Jordan</v>
      </c>
      <c r="J281" s="1" t="str">
        <f t="shared" si="3"/>
        <v>Howard</v>
      </c>
      <c r="K281" s="1" t="str">
        <f t="shared" si="4"/>
        <v>#N/A</v>
      </c>
      <c r="L281" s="1" t="str">
        <f>IFERROR(VLOOKUP($K281,Players!$D:$E,2,FALSE),VLOOKUP($H281,Players!A:E,5,FALSE))</f>
        <v>RB</v>
      </c>
    </row>
    <row r="282" ht="15.75" customHeight="1">
      <c r="A282" s="1">
        <v>2020.0</v>
      </c>
      <c r="B282" s="1" t="s">
        <v>48</v>
      </c>
      <c r="C282" s="1" t="s">
        <v>19</v>
      </c>
      <c r="D282" s="8">
        <v>10.0</v>
      </c>
      <c r="E282" s="8" t="str">
        <f t="shared" si="1"/>
        <v>Non-Playoff Team</v>
      </c>
      <c r="F282" s="8">
        <v>11.0</v>
      </c>
      <c r="G282" s="8">
        <v>127.0</v>
      </c>
      <c r="H282" s="1" t="s">
        <v>701</v>
      </c>
      <c r="I282" s="1" t="str">
        <f t="shared" si="2"/>
        <v>DeSean</v>
      </c>
      <c r="J282" s="1" t="str">
        <f t="shared" si="3"/>
        <v>Jackson</v>
      </c>
      <c r="K282" s="1" t="str">
        <f t="shared" si="4"/>
        <v>#N/A</v>
      </c>
      <c r="L282" s="1" t="str">
        <f>IFERROR(VLOOKUP($K282,Players!$D:$E,2,FALSE),VLOOKUP($H282,Players!A:E,5,FALSE))</f>
        <v>WR</v>
      </c>
    </row>
    <row r="283" ht="15.75" customHeight="1">
      <c r="A283" s="1">
        <v>2020.0</v>
      </c>
      <c r="B283" s="1" t="s">
        <v>48</v>
      </c>
      <c r="C283" s="1" t="s">
        <v>19</v>
      </c>
      <c r="D283" s="8">
        <v>10.0</v>
      </c>
      <c r="E283" s="8" t="str">
        <f t="shared" si="1"/>
        <v>Non-Playoff Team</v>
      </c>
      <c r="F283" s="8">
        <v>12.0</v>
      </c>
      <c r="G283" s="8">
        <v>138.0</v>
      </c>
      <c r="H283" s="1" t="s">
        <v>332</v>
      </c>
      <c r="I283" s="1" t="str">
        <f t="shared" si="2"/>
        <v>Anthony</v>
      </c>
      <c r="J283" s="1" t="str">
        <f t="shared" si="3"/>
        <v>Miller</v>
      </c>
      <c r="K283" s="1" t="str">
        <f t="shared" si="4"/>
        <v>#N/A</v>
      </c>
      <c r="L283" s="1" t="str">
        <f>IFERROR(VLOOKUP($K283,Players!$D:$E,2,FALSE),VLOOKUP($H283,Players!A:E,5,FALSE))</f>
        <v>WR</v>
      </c>
    </row>
    <row r="284" ht="15.75" customHeight="1">
      <c r="A284" s="1">
        <v>2020.0</v>
      </c>
      <c r="B284" s="1" t="s">
        <v>48</v>
      </c>
      <c r="C284" s="1" t="s">
        <v>19</v>
      </c>
      <c r="D284" s="8">
        <v>10.0</v>
      </c>
      <c r="E284" s="8" t="str">
        <f t="shared" si="1"/>
        <v>Non-Playoff Team</v>
      </c>
      <c r="F284" s="8">
        <v>13.0</v>
      </c>
      <c r="G284" s="8">
        <v>151.0</v>
      </c>
      <c r="H284" s="1" t="s">
        <v>457</v>
      </c>
      <c r="I284" s="1" t="str">
        <f t="shared" si="2"/>
        <v>Ben</v>
      </c>
      <c r="J284" s="1" t="str">
        <f t="shared" si="3"/>
        <v>Roethlisberger</v>
      </c>
      <c r="K284" s="1" t="str">
        <f t="shared" si="4"/>
        <v>#N/A</v>
      </c>
      <c r="L284" s="1" t="str">
        <f>IFERROR(VLOOKUP($K284,Players!$D:$E,2,FALSE),VLOOKUP($H284,Players!A:E,5,FALSE))</f>
        <v>QB</v>
      </c>
    </row>
    <row r="285" ht="15.75" customHeight="1">
      <c r="A285" s="1">
        <v>2020.0</v>
      </c>
      <c r="B285" s="1" t="s">
        <v>48</v>
      </c>
      <c r="C285" s="1" t="s">
        <v>19</v>
      </c>
      <c r="D285" s="8">
        <v>10.0</v>
      </c>
      <c r="E285" s="8" t="str">
        <f t="shared" si="1"/>
        <v>Non-Playoff Team</v>
      </c>
      <c r="F285" s="8">
        <v>14.0</v>
      </c>
      <c r="G285" s="8">
        <v>162.0</v>
      </c>
      <c r="H285" s="1" t="s">
        <v>369</v>
      </c>
      <c r="I285" s="1" t="str">
        <f t="shared" si="2"/>
        <v>New</v>
      </c>
      <c r="J285" s="1" t="str">
        <f t="shared" si="3"/>
        <v>England</v>
      </c>
      <c r="K285" s="1" t="str">
        <f t="shared" si="4"/>
        <v>#N/A</v>
      </c>
      <c r="L285" s="1" t="str">
        <f>IFERROR(VLOOKUP($K285,Players!$D:$E,2,FALSE),VLOOKUP($H285,Players!A:E,5,FALSE))</f>
        <v>DEF</v>
      </c>
    </row>
    <row r="286" ht="15.75" customHeight="1">
      <c r="A286" s="1">
        <v>2020.0</v>
      </c>
      <c r="B286" s="1" t="s">
        <v>48</v>
      </c>
      <c r="C286" s="1" t="s">
        <v>19</v>
      </c>
      <c r="D286" s="8">
        <v>10.0</v>
      </c>
      <c r="E286" s="8" t="str">
        <f t="shared" si="1"/>
        <v>Non-Playoff Team</v>
      </c>
      <c r="F286" s="8">
        <v>15.0</v>
      </c>
      <c r="G286" s="8">
        <v>175.0</v>
      </c>
      <c r="H286" s="1" t="s">
        <v>707</v>
      </c>
      <c r="I286" s="1" t="str">
        <f t="shared" si="2"/>
        <v>Jake</v>
      </c>
      <c r="J286" s="1" t="str">
        <f t="shared" si="3"/>
        <v>Elliott</v>
      </c>
      <c r="K286" s="1" t="str">
        <f t="shared" si="4"/>
        <v>#N/A</v>
      </c>
      <c r="L286" s="1" t="str">
        <f>IFERROR(VLOOKUP($K286,Players!$D:$E,2,FALSE),VLOOKUP($H286,Players!A:E,5,FALSE))</f>
        <v>K</v>
      </c>
    </row>
    <row r="287" ht="15.75" customHeight="1">
      <c r="A287" s="1">
        <v>2020.0</v>
      </c>
      <c r="B287" s="1" t="s">
        <v>32</v>
      </c>
      <c r="C287" s="1" t="s">
        <v>25</v>
      </c>
      <c r="D287" s="8">
        <v>7.0</v>
      </c>
      <c r="E287" s="8" t="str">
        <f t="shared" si="1"/>
        <v>Non-Playoff Team</v>
      </c>
      <c r="F287" s="8">
        <v>1.0</v>
      </c>
      <c r="G287" s="8">
        <v>8.0</v>
      </c>
      <c r="H287" s="1" t="s">
        <v>270</v>
      </c>
      <c r="I287" s="1" t="str">
        <f t="shared" si="2"/>
        <v>Michael</v>
      </c>
      <c r="J287" s="1" t="str">
        <f t="shared" si="3"/>
        <v>Thomas</v>
      </c>
      <c r="K287" s="1" t="str">
        <f t="shared" si="4"/>
        <v>#N/A</v>
      </c>
      <c r="L287" s="1" t="str">
        <f>IFERROR(VLOOKUP($K287,Players!$D:$E,2,FALSE),VLOOKUP($H287,Players!A:E,5,FALSE))</f>
        <v>WR</v>
      </c>
    </row>
    <row r="288" ht="15.75" customHeight="1">
      <c r="A288" s="1">
        <v>2020.0</v>
      </c>
      <c r="B288" s="1" t="s">
        <v>32</v>
      </c>
      <c r="C288" s="1" t="s">
        <v>25</v>
      </c>
      <c r="D288" s="8">
        <v>7.0</v>
      </c>
      <c r="E288" s="8" t="str">
        <f t="shared" si="1"/>
        <v>Non-Playoff Team</v>
      </c>
      <c r="F288" s="8">
        <v>2.0</v>
      </c>
      <c r="G288" s="8">
        <v>17.0</v>
      </c>
      <c r="H288" s="1" t="s">
        <v>425</v>
      </c>
      <c r="I288" s="1" t="str">
        <f t="shared" si="2"/>
        <v>Nick</v>
      </c>
      <c r="J288" s="1" t="str">
        <f t="shared" si="3"/>
        <v>Chubb</v>
      </c>
      <c r="K288" s="1" t="str">
        <f t="shared" si="4"/>
        <v>#N/A</v>
      </c>
      <c r="L288" s="1" t="str">
        <f>IFERROR(VLOOKUP($K288,Players!$D:$E,2,FALSE),VLOOKUP($H288,Players!A:E,5,FALSE))</f>
        <v>RB</v>
      </c>
    </row>
    <row r="289" ht="15.75" customHeight="1">
      <c r="A289" s="1">
        <v>2020.0</v>
      </c>
      <c r="B289" s="1" t="s">
        <v>32</v>
      </c>
      <c r="C289" s="1" t="s">
        <v>25</v>
      </c>
      <c r="D289" s="8">
        <v>7.0</v>
      </c>
      <c r="E289" s="8" t="str">
        <f t="shared" si="1"/>
        <v>Non-Playoff Team</v>
      </c>
      <c r="F289" s="8">
        <v>3.0</v>
      </c>
      <c r="G289" s="8">
        <v>32.0</v>
      </c>
      <c r="H289" s="1" t="s">
        <v>112</v>
      </c>
      <c r="I289" s="1" t="str">
        <f t="shared" si="2"/>
        <v>Adam</v>
      </c>
      <c r="J289" s="1" t="str">
        <f t="shared" si="3"/>
        <v>Thielen</v>
      </c>
      <c r="K289" s="1" t="str">
        <f t="shared" si="4"/>
        <v>#N/A</v>
      </c>
      <c r="L289" s="1" t="str">
        <f>IFERROR(VLOOKUP($K289,Players!$D:$E,2,FALSE),VLOOKUP($H289,Players!A:E,5,FALSE))</f>
        <v>WR</v>
      </c>
    </row>
    <row r="290" ht="15.75" customHeight="1">
      <c r="A290" s="1">
        <v>2020.0</v>
      </c>
      <c r="B290" s="1" t="s">
        <v>32</v>
      </c>
      <c r="C290" s="1" t="s">
        <v>25</v>
      </c>
      <c r="D290" s="8">
        <v>7.0</v>
      </c>
      <c r="E290" s="8" t="str">
        <f t="shared" si="1"/>
        <v>Non-Playoff Team</v>
      </c>
      <c r="F290" s="8">
        <v>4.0</v>
      </c>
      <c r="G290" s="8">
        <v>41.0</v>
      </c>
      <c r="H290" s="1" t="s">
        <v>381</v>
      </c>
      <c r="I290" s="1" t="str">
        <f t="shared" si="2"/>
        <v>Jonathan</v>
      </c>
      <c r="J290" s="1" t="str">
        <f t="shared" si="3"/>
        <v>Taylor</v>
      </c>
      <c r="K290" s="1" t="str">
        <f t="shared" si="4"/>
        <v>#N/A</v>
      </c>
      <c r="L290" s="1" t="str">
        <f>IFERROR(VLOOKUP($K290,Players!$D:$E,2,FALSE),VLOOKUP($H290,Players!A:E,5,FALSE))</f>
        <v>RB</v>
      </c>
    </row>
    <row r="291" ht="15.75" customHeight="1">
      <c r="A291" s="1">
        <v>2020.0</v>
      </c>
      <c r="B291" s="1" t="s">
        <v>32</v>
      </c>
      <c r="C291" s="1" t="s">
        <v>25</v>
      </c>
      <c r="D291" s="8">
        <v>7.0</v>
      </c>
      <c r="E291" s="8" t="str">
        <f t="shared" si="1"/>
        <v>Non-Playoff Team</v>
      </c>
      <c r="F291" s="8">
        <v>5.0</v>
      </c>
      <c r="G291" s="8">
        <v>56.0</v>
      </c>
      <c r="H291" s="1" t="s">
        <v>141</v>
      </c>
      <c r="I291" s="1" t="str">
        <f t="shared" si="2"/>
        <v>AJ</v>
      </c>
      <c r="J291" s="1" t="str">
        <f t="shared" si="3"/>
        <v>Brown</v>
      </c>
      <c r="K291" s="1" t="str">
        <f t="shared" si="4"/>
        <v>#N/A</v>
      </c>
      <c r="L291" s="1" t="str">
        <f>IFERROR(VLOOKUP($K291,Players!$D:$E,2,FALSE),VLOOKUP($H291,Players!A:E,5,FALSE))</f>
        <v>WR</v>
      </c>
    </row>
    <row r="292" ht="15.75" customHeight="1">
      <c r="A292" s="1">
        <v>2020.0</v>
      </c>
      <c r="B292" s="1" t="s">
        <v>32</v>
      </c>
      <c r="C292" s="1" t="s">
        <v>25</v>
      </c>
      <c r="D292" s="8">
        <v>7.0</v>
      </c>
      <c r="E292" s="8" t="str">
        <f t="shared" si="1"/>
        <v>Non-Playoff Team</v>
      </c>
      <c r="F292" s="8">
        <v>6.0</v>
      </c>
      <c r="G292" s="8">
        <v>65.0</v>
      </c>
      <c r="H292" s="1" t="s">
        <v>306</v>
      </c>
      <c r="I292" s="1" t="str">
        <f t="shared" si="2"/>
        <v>Dak</v>
      </c>
      <c r="J292" s="1" t="str">
        <f t="shared" si="3"/>
        <v>Prescott</v>
      </c>
      <c r="K292" s="1" t="str">
        <f t="shared" si="4"/>
        <v>#N/A</v>
      </c>
      <c r="L292" s="1" t="str">
        <f>IFERROR(VLOOKUP($K292,Players!$D:$E,2,FALSE),VLOOKUP($H292,Players!A:E,5,FALSE))</f>
        <v>QB</v>
      </c>
    </row>
    <row r="293" ht="15.75" customHeight="1">
      <c r="A293" s="1">
        <v>2020.0</v>
      </c>
      <c r="B293" s="1" t="s">
        <v>32</v>
      </c>
      <c r="C293" s="1" t="s">
        <v>25</v>
      </c>
      <c r="D293" s="8">
        <v>7.0</v>
      </c>
      <c r="E293" s="8" t="str">
        <f t="shared" si="1"/>
        <v>Non-Playoff Team</v>
      </c>
      <c r="F293" s="8">
        <v>7.0</v>
      </c>
      <c r="G293" s="8">
        <v>80.0</v>
      </c>
      <c r="H293" s="1" t="s">
        <v>101</v>
      </c>
      <c r="I293" s="1" t="str">
        <f t="shared" si="2"/>
        <v>Tyler</v>
      </c>
      <c r="J293" s="1" t="str">
        <f t="shared" si="3"/>
        <v>Higbee</v>
      </c>
      <c r="K293" s="1" t="str">
        <f t="shared" si="4"/>
        <v>#N/A</v>
      </c>
      <c r="L293" s="1" t="str">
        <f>IFERROR(VLOOKUP($K293,Players!$D:$E,2,FALSE),VLOOKUP($H293,Players!A:E,5,FALSE))</f>
        <v>TE</v>
      </c>
    </row>
    <row r="294" ht="15.75" customHeight="1">
      <c r="A294" s="1">
        <v>2020.0</v>
      </c>
      <c r="B294" s="1" t="s">
        <v>32</v>
      </c>
      <c r="C294" s="1" t="s">
        <v>25</v>
      </c>
      <c r="D294" s="8">
        <v>7.0</v>
      </c>
      <c r="E294" s="8" t="str">
        <f t="shared" si="1"/>
        <v>Non-Playoff Team</v>
      </c>
      <c r="F294" s="8">
        <v>8.0</v>
      </c>
      <c r="G294" s="8">
        <v>89.0</v>
      </c>
      <c r="H294" s="1" t="s">
        <v>312</v>
      </c>
      <c r="I294" s="1" t="str">
        <f t="shared" si="2"/>
        <v>Ronald</v>
      </c>
      <c r="J294" s="1" t="str">
        <f t="shared" si="3"/>
        <v>Jones II</v>
      </c>
      <c r="K294" s="1" t="str">
        <f t="shared" si="4"/>
        <v>#N/A</v>
      </c>
      <c r="L294" s="1" t="str">
        <f>IFERROR(VLOOKUP($K294,Players!$D:$E,2,FALSE),VLOOKUP($H294,Players!A:E,5,FALSE))</f>
        <v>#N/A</v>
      </c>
    </row>
    <row r="295" ht="15.75" customHeight="1">
      <c r="A295" s="1">
        <v>2020.0</v>
      </c>
      <c r="B295" s="1" t="s">
        <v>32</v>
      </c>
      <c r="C295" s="1" t="s">
        <v>25</v>
      </c>
      <c r="D295" s="8">
        <v>7.0</v>
      </c>
      <c r="E295" s="8" t="str">
        <f t="shared" si="1"/>
        <v>Non-Playoff Team</v>
      </c>
      <c r="F295" s="8">
        <v>9.0</v>
      </c>
      <c r="G295" s="8">
        <v>104.0</v>
      </c>
      <c r="H295" s="1" t="s">
        <v>132</v>
      </c>
      <c r="I295" s="1" t="str">
        <f t="shared" si="2"/>
        <v>#VALUE!</v>
      </c>
      <c r="J295" s="1" t="str">
        <f t="shared" si="3"/>
        <v>#VALUE!</v>
      </c>
      <c r="K295" s="1" t="str">
        <f t="shared" si="4"/>
        <v>#N/A</v>
      </c>
      <c r="L295" s="1" t="str">
        <f>IFERROR(VLOOKUP($K295,Players!$D:$E,2,FALSE),VLOOKUP($H295,Players!A:E,5,FALSE))</f>
        <v>DEF</v>
      </c>
    </row>
    <row r="296" ht="15.75" customHeight="1">
      <c r="A296" s="1">
        <v>2020.0</v>
      </c>
      <c r="B296" s="1" t="s">
        <v>32</v>
      </c>
      <c r="C296" s="1" t="s">
        <v>25</v>
      </c>
      <c r="D296" s="8">
        <v>7.0</v>
      </c>
      <c r="E296" s="8" t="str">
        <f t="shared" si="1"/>
        <v>Non-Playoff Team</v>
      </c>
      <c r="F296" s="8">
        <v>10.0</v>
      </c>
      <c r="G296" s="8">
        <v>113.0</v>
      </c>
      <c r="H296" s="1" t="s">
        <v>711</v>
      </c>
      <c r="I296" s="1" t="str">
        <f t="shared" si="2"/>
        <v>Darius</v>
      </c>
      <c r="J296" s="1" t="str">
        <f t="shared" si="3"/>
        <v>Slayton</v>
      </c>
      <c r="K296" s="1" t="str">
        <f t="shared" si="4"/>
        <v>#N/A</v>
      </c>
      <c r="L296" s="1" t="str">
        <f>IFERROR(VLOOKUP($K296,Players!$D:$E,2,FALSE),VLOOKUP($H296,Players!A:E,5,FALSE))</f>
        <v>WR</v>
      </c>
    </row>
    <row r="297" ht="15.75" customHeight="1">
      <c r="A297" s="1">
        <v>2020.0</v>
      </c>
      <c r="B297" s="1" t="s">
        <v>32</v>
      </c>
      <c r="C297" s="1" t="s">
        <v>25</v>
      </c>
      <c r="D297" s="8">
        <v>7.0</v>
      </c>
      <c r="E297" s="8" t="str">
        <f t="shared" si="1"/>
        <v>Non-Playoff Team</v>
      </c>
      <c r="F297" s="8">
        <v>11.0</v>
      </c>
      <c r="G297" s="8">
        <v>128.0</v>
      </c>
      <c r="H297" s="1" t="s">
        <v>288</v>
      </c>
      <c r="I297" s="1" t="str">
        <f t="shared" si="2"/>
        <v>Greg</v>
      </c>
      <c r="J297" s="1" t="str">
        <f t="shared" si="3"/>
        <v>Zuerlein</v>
      </c>
      <c r="K297" s="1" t="str">
        <f t="shared" si="4"/>
        <v>#N/A</v>
      </c>
      <c r="L297" s="1" t="str">
        <f>IFERROR(VLOOKUP($K297,Players!$D:$E,2,FALSE),VLOOKUP($H297,Players!A:E,5,FALSE))</f>
        <v>K</v>
      </c>
    </row>
    <row r="298" ht="15.75" customHeight="1">
      <c r="A298" s="1">
        <v>2020.0</v>
      </c>
      <c r="B298" s="1" t="s">
        <v>32</v>
      </c>
      <c r="C298" s="1" t="s">
        <v>25</v>
      </c>
      <c r="D298" s="8">
        <v>7.0</v>
      </c>
      <c r="E298" s="8" t="str">
        <f t="shared" si="1"/>
        <v>Non-Playoff Team</v>
      </c>
      <c r="F298" s="8">
        <v>12.0</v>
      </c>
      <c r="G298" s="8">
        <v>137.0</v>
      </c>
      <c r="H298" s="1" t="s">
        <v>714</v>
      </c>
      <c r="I298" s="1" t="str">
        <f t="shared" si="2"/>
        <v>Drew</v>
      </c>
      <c r="J298" s="1" t="str">
        <f t="shared" si="3"/>
        <v>Brees</v>
      </c>
      <c r="K298" s="1" t="str">
        <f t="shared" si="4"/>
        <v>#N/A</v>
      </c>
      <c r="L298" s="1" t="str">
        <f>IFERROR(VLOOKUP($K298,Players!$D:$E,2,FALSE),VLOOKUP($H298,Players!A:E,5,FALSE))</f>
        <v>QB</v>
      </c>
    </row>
    <row r="299" ht="15.75" customHeight="1">
      <c r="A299" s="1">
        <v>2020.0</v>
      </c>
      <c r="B299" s="1" t="s">
        <v>32</v>
      </c>
      <c r="C299" s="1" t="s">
        <v>25</v>
      </c>
      <c r="D299" s="8">
        <v>7.0</v>
      </c>
      <c r="E299" s="8" t="str">
        <f t="shared" si="1"/>
        <v>Non-Playoff Team</v>
      </c>
      <c r="F299" s="8">
        <v>13.0</v>
      </c>
      <c r="G299" s="8">
        <v>152.0</v>
      </c>
      <c r="H299" s="1" t="s">
        <v>487</v>
      </c>
      <c r="I299" s="1" t="str">
        <f t="shared" si="2"/>
        <v>Blake</v>
      </c>
      <c r="J299" s="1" t="str">
        <f t="shared" si="3"/>
        <v>Jarwin</v>
      </c>
      <c r="K299" s="1" t="str">
        <f t="shared" si="4"/>
        <v>#N/A</v>
      </c>
      <c r="L299" s="1" t="str">
        <f>IFERROR(VLOOKUP($K299,Players!$D:$E,2,FALSE),VLOOKUP($H299,Players!A:E,5,FALSE))</f>
        <v>TE</v>
      </c>
    </row>
    <row r="300" ht="15.75" customHeight="1">
      <c r="A300" s="1">
        <v>2020.0</v>
      </c>
      <c r="B300" s="1" t="s">
        <v>32</v>
      </c>
      <c r="C300" s="1" t="s">
        <v>25</v>
      </c>
      <c r="D300" s="8">
        <v>7.0</v>
      </c>
      <c r="E300" s="8" t="str">
        <f t="shared" si="1"/>
        <v>Non-Playoff Team</v>
      </c>
      <c r="F300" s="8">
        <v>14.0</v>
      </c>
      <c r="G300" s="8">
        <v>161.0</v>
      </c>
      <c r="H300" s="1" t="s">
        <v>197</v>
      </c>
      <c r="I300" s="1" t="str">
        <f t="shared" si="2"/>
        <v>Adrian</v>
      </c>
      <c r="J300" s="1" t="str">
        <f t="shared" si="3"/>
        <v>Peterson</v>
      </c>
      <c r="K300" s="1" t="str">
        <f t="shared" si="4"/>
        <v>#N/A</v>
      </c>
      <c r="L300" s="1" t="str">
        <f>IFERROR(VLOOKUP($K300,Players!$D:$E,2,FALSE),VLOOKUP($H300,Players!A:E,5,FALSE))</f>
        <v>RB</v>
      </c>
    </row>
    <row r="301" ht="15.75" customHeight="1">
      <c r="A301" s="1">
        <v>2020.0</v>
      </c>
      <c r="B301" s="1" t="s">
        <v>32</v>
      </c>
      <c r="C301" s="1" t="s">
        <v>25</v>
      </c>
      <c r="D301" s="8">
        <v>7.0</v>
      </c>
      <c r="E301" s="8" t="str">
        <f t="shared" si="1"/>
        <v>Non-Playoff Team</v>
      </c>
      <c r="F301" s="8">
        <v>15.0</v>
      </c>
      <c r="G301" s="8">
        <v>176.0</v>
      </c>
      <c r="H301" s="1" t="s">
        <v>719</v>
      </c>
      <c r="I301" s="1" t="str">
        <f t="shared" si="2"/>
        <v>Denver</v>
      </c>
      <c r="J301" s="1" t="str">
        <f t="shared" si="3"/>
        <v/>
      </c>
      <c r="K301" s="1" t="str">
        <f t="shared" si="4"/>
        <v>#N/A</v>
      </c>
      <c r="L301" s="1" t="str">
        <f>IFERROR(VLOOKUP($K301,Players!$D:$E,2,FALSE),VLOOKUP($H301,Players!A:E,5,FALSE))</f>
        <v>DEF</v>
      </c>
    </row>
    <row r="302" ht="15.75" customHeight="1">
      <c r="A302" s="1">
        <v>2020.0</v>
      </c>
      <c r="B302" s="1" t="s">
        <v>30</v>
      </c>
      <c r="C302" s="1" t="s">
        <v>31</v>
      </c>
      <c r="D302" s="8">
        <v>8.0</v>
      </c>
      <c r="E302" s="8" t="str">
        <f t="shared" si="1"/>
        <v>Non-Playoff Team</v>
      </c>
      <c r="F302" s="8">
        <v>1.0</v>
      </c>
      <c r="G302" s="8">
        <v>9.0</v>
      </c>
      <c r="H302" s="1" t="s">
        <v>94</v>
      </c>
      <c r="I302" s="1" t="str">
        <f t="shared" si="2"/>
        <v>Joe</v>
      </c>
      <c r="J302" s="1" t="str">
        <f t="shared" si="3"/>
        <v>Mixon</v>
      </c>
      <c r="K302" s="1" t="str">
        <f t="shared" si="4"/>
        <v>#N/A</v>
      </c>
      <c r="L302" s="1" t="str">
        <f>IFERROR(VLOOKUP($K302,Players!$D:$E,2,FALSE),VLOOKUP($H302,Players!A:E,5,FALSE))</f>
        <v>RB</v>
      </c>
    </row>
    <row r="303" ht="15.75" customHeight="1">
      <c r="A303" s="1">
        <v>2020.0</v>
      </c>
      <c r="B303" s="1" t="s">
        <v>30</v>
      </c>
      <c r="C303" s="1" t="s">
        <v>31</v>
      </c>
      <c r="D303" s="8">
        <v>8.0</v>
      </c>
      <c r="E303" s="8" t="str">
        <f t="shared" si="1"/>
        <v>Non-Playoff Team</v>
      </c>
      <c r="F303" s="8">
        <v>2.0</v>
      </c>
      <c r="G303" s="8">
        <v>16.0</v>
      </c>
      <c r="H303" s="1" t="s">
        <v>345</v>
      </c>
      <c r="I303" s="1" t="str">
        <f t="shared" si="2"/>
        <v>George</v>
      </c>
      <c r="J303" s="1" t="str">
        <f t="shared" si="3"/>
        <v>Kittle</v>
      </c>
      <c r="K303" s="1" t="str">
        <f t="shared" si="4"/>
        <v>#N/A</v>
      </c>
      <c r="L303" s="1" t="str">
        <f>IFERROR(VLOOKUP($K303,Players!$D:$E,2,FALSE),VLOOKUP($H303,Players!A:E,5,FALSE))</f>
        <v>TE</v>
      </c>
    </row>
    <row r="304" ht="15.75" customHeight="1">
      <c r="A304" s="1">
        <v>2020.0</v>
      </c>
      <c r="B304" s="1" t="s">
        <v>30</v>
      </c>
      <c r="C304" s="1" t="s">
        <v>31</v>
      </c>
      <c r="D304" s="8">
        <v>8.0</v>
      </c>
      <c r="E304" s="8" t="str">
        <f t="shared" si="1"/>
        <v>Non-Playoff Team</v>
      </c>
      <c r="F304" s="8">
        <v>3.0</v>
      </c>
      <c r="G304" s="8">
        <v>33.0</v>
      </c>
      <c r="H304" s="1" t="s">
        <v>724</v>
      </c>
      <c r="I304" s="1" t="str">
        <f t="shared" si="2"/>
        <v>Mark</v>
      </c>
      <c r="J304" s="1" t="str">
        <f t="shared" si="3"/>
        <v>Ingram II</v>
      </c>
      <c r="K304" s="1" t="str">
        <f t="shared" si="4"/>
        <v>#N/A</v>
      </c>
      <c r="L304" s="1" t="str">
        <f>IFERROR(VLOOKUP($K304,Players!$D:$E,2,FALSE),VLOOKUP($H304,Players!A:E,5,FALSE))</f>
        <v>#N/A</v>
      </c>
    </row>
    <row r="305" ht="15.75" customHeight="1">
      <c r="A305" s="1">
        <v>2020.0</v>
      </c>
      <c r="B305" s="1" t="s">
        <v>30</v>
      </c>
      <c r="C305" s="1" t="s">
        <v>31</v>
      </c>
      <c r="D305" s="8">
        <v>8.0</v>
      </c>
      <c r="E305" s="8" t="str">
        <f t="shared" si="1"/>
        <v>Non-Playoff Team</v>
      </c>
      <c r="F305" s="8">
        <v>4.0</v>
      </c>
      <c r="G305" s="8">
        <v>40.0</v>
      </c>
      <c r="H305" s="1" t="s">
        <v>430</v>
      </c>
      <c r="I305" s="1" t="str">
        <f t="shared" si="2"/>
        <v>Cooper</v>
      </c>
      <c r="J305" s="1" t="str">
        <f t="shared" si="3"/>
        <v>Kupp</v>
      </c>
      <c r="K305" s="1" t="str">
        <f t="shared" si="4"/>
        <v>#N/A</v>
      </c>
      <c r="L305" s="1" t="str">
        <f>IFERROR(VLOOKUP($K305,Players!$D:$E,2,FALSE),VLOOKUP($H305,Players!A:E,5,FALSE))</f>
        <v>WR</v>
      </c>
    </row>
    <row r="306" ht="15.75" customHeight="1">
      <c r="A306" s="1">
        <v>2020.0</v>
      </c>
      <c r="B306" s="1" t="s">
        <v>30</v>
      </c>
      <c r="C306" s="1" t="s">
        <v>31</v>
      </c>
      <c r="D306" s="8">
        <v>8.0</v>
      </c>
      <c r="E306" s="8" t="str">
        <f t="shared" si="1"/>
        <v>Non-Playoff Team</v>
      </c>
      <c r="F306" s="8">
        <v>5.0</v>
      </c>
      <c r="G306" s="8">
        <v>57.0</v>
      </c>
      <c r="H306" s="1" t="s">
        <v>730</v>
      </c>
      <c r="I306" s="1" t="str">
        <f t="shared" si="2"/>
        <v>Deshaun</v>
      </c>
      <c r="J306" s="1" t="str">
        <f t="shared" si="3"/>
        <v>Watson</v>
      </c>
      <c r="K306" s="1" t="str">
        <f t="shared" si="4"/>
        <v>#N/A</v>
      </c>
      <c r="L306" s="1" t="str">
        <f>IFERROR(VLOOKUP($K306,Players!$D:$E,2,FALSE),VLOOKUP($H306,Players!A:E,5,FALSE))</f>
        <v>QB</v>
      </c>
    </row>
    <row r="307" ht="15.75" customHeight="1">
      <c r="A307" s="1">
        <v>2020.0</v>
      </c>
      <c r="B307" s="1" t="s">
        <v>30</v>
      </c>
      <c r="C307" s="1" t="s">
        <v>31</v>
      </c>
      <c r="D307" s="8">
        <v>8.0</v>
      </c>
      <c r="E307" s="8" t="str">
        <f t="shared" si="1"/>
        <v>Non-Playoff Team</v>
      </c>
      <c r="F307" s="8">
        <v>6.0</v>
      </c>
      <c r="G307" s="8">
        <v>64.0</v>
      </c>
      <c r="H307" s="1" t="s">
        <v>282</v>
      </c>
      <c r="I307" s="1" t="str">
        <f t="shared" si="2"/>
        <v>San</v>
      </c>
      <c r="J307" s="1" t="str">
        <f t="shared" si="3"/>
        <v>Francisco</v>
      </c>
      <c r="K307" s="1" t="str">
        <f t="shared" si="4"/>
        <v>#N/A</v>
      </c>
      <c r="L307" s="1" t="str">
        <f>IFERROR(VLOOKUP($K307,Players!$D:$E,2,FALSE),VLOOKUP($H307,Players!A:E,5,FALSE))</f>
        <v>DEF</v>
      </c>
    </row>
    <row r="308" ht="15.75" customHeight="1">
      <c r="A308" s="1">
        <v>2020.0</v>
      </c>
      <c r="B308" s="1" t="s">
        <v>30</v>
      </c>
      <c r="C308" s="1" t="s">
        <v>31</v>
      </c>
      <c r="D308" s="8">
        <v>8.0</v>
      </c>
      <c r="E308" s="8" t="str">
        <f t="shared" si="1"/>
        <v>Non-Playoff Team</v>
      </c>
      <c r="F308" s="8">
        <v>7.0</v>
      </c>
      <c r="G308" s="8">
        <v>81.0</v>
      </c>
      <c r="H308" s="1" t="s">
        <v>243</v>
      </c>
      <c r="I308" s="1" t="str">
        <f t="shared" si="2"/>
        <v>Marvin</v>
      </c>
      <c r="J308" s="1" t="str">
        <f t="shared" si="3"/>
        <v>Jones Jr</v>
      </c>
      <c r="K308" s="1" t="str">
        <f t="shared" si="4"/>
        <v>#N/A</v>
      </c>
      <c r="L308" s="1" t="str">
        <f>IFERROR(VLOOKUP($K308,Players!$D:$E,2,FALSE),VLOOKUP($H308,Players!A:E,5,FALSE))</f>
        <v>#N/A</v>
      </c>
    </row>
    <row r="309" ht="15.75" customHeight="1">
      <c r="A309" s="1">
        <v>2020.0</v>
      </c>
      <c r="B309" s="1" t="s">
        <v>30</v>
      </c>
      <c r="C309" s="1" t="s">
        <v>31</v>
      </c>
      <c r="D309" s="8">
        <v>8.0</v>
      </c>
      <c r="E309" s="8" t="str">
        <f t="shared" si="1"/>
        <v>Non-Playoff Team</v>
      </c>
      <c r="F309" s="8">
        <v>8.0</v>
      </c>
      <c r="G309" s="8">
        <v>88.0</v>
      </c>
      <c r="H309" s="1" t="s">
        <v>190</v>
      </c>
      <c r="I309" s="1" t="str">
        <f t="shared" si="2"/>
        <v>Justin</v>
      </c>
      <c r="J309" s="1" t="str">
        <f t="shared" si="3"/>
        <v>Tucker</v>
      </c>
      <c r="K309" s="1" t="str">
        <f t="shared" si="4"/>
        <v>#N/A</v>
      </c>
      <c r="L309" s="1" t="str">
        <f>IFERROR(VLOOKUP($K309,Players!$D:$E,2,FALSE),VLOOKUP($H309,Players!A:E,5,FALSE))</f>
        <v>K</v>
      </c>
    </row>
    <row r="310" ht="15.75" customHeight="1">
      <c r="A310" s="1">
        <v>2020.0</v>
      </c>
      <c r="B310" s="1" t="s">
        <v>30</v>
      </c>
      <c r="C310" s="1" t="s">
        <v>31</v>
      </c>
      <c r="D310" s="8">
        <v>8.0</v>
      </c>
      <c r="E310" s="8" t="str">
        <f t="shared" si="1"/>
        <v>Non-Playoff Team</v>
      </c>
      <c r="F310" s="8">
        <v>9.0</v>
      </c>
      <c r="G310" s="8">
        <v>105.0</v>
      </c>
      <c r="H310" s="1" t="s">
        <v>741</v>
      </c>
      <c r="I310" s="1" t="str">
        <f t="shared" si="2"/>
        <v>Emmanuel</v>
      </c>
      <c r="J310" s="1" t="str">
        <f t="shared" si="3"/>
        <v>Sanders</v>
      </c>
      <c r="K310" s="1" t="str">
        <f t="shared" si="4"/>
        <v>#N/A</v>
      </c>
      <c r="L310" s="1" t="str">
        <f>IFERROR(VLOOKUP($K310,Players!$D:$E,2,FALSE),VLOOKUP($H310,Players!A:E,5,FALSE))</f>
        <v>WR</v>
      </c>
    </row>
    <row r="311" ht="15.75" customHeight="1">
      <c r="A311" s="1">
        <v>2020.0</v>
      </c>
      <c r="B311" s="1" t="s">
        <v>30</v>
      </c>
      <c r="C311" s="1" t="s">
        <v>31</v>
      </c>
      <c r="D311" s="8">
        <v>8.0</v>
      </c>
      <c r="E311" s="8" t="str">
        <f t="shared" si="1"/>
        <v>Non-Playoff Team</v>
      </c>
      <c r="F311" s="8">
        <v>10.0</v>
      </c>
      <c r="G311" s="8">
        <v>112.0</v>
      </c>
      <c r="H311" s="1" t="s">
        <v>438</v>
      </c>
      <c r="I311" s="1" t="str">
        <f t="shared" si="2"/>
        <v>Dallas</v>
      </c>
      <c r="J311" s="1" t="str">
        <f t="shared" si="3"/>
        <v>Goedert</v>
      </c>
      <c r="K311" s="1" t="str">
        <f t="shared" si="4"/>
        <v>#N/A</v>
      </c>
      <c r="L311" s="1" t="str">
        <f>IFERROR(VLOOKUP($K311,Players!$D:$E,2,FALSE),VLOOKUP($H311,Players!A:E,5,FALSE))</f>
        <v>TE</v>
      </c>
    </row>
    <row r="312" ht="15.75" customHeight="1">
      <c r="A312" s="1">
        <v>2020.0</v>
      </c>
      <c r="B312" s="1" t="s">
        <v>30</v>
      </c>
      <c r="C312" s="1" t="s">
        <v>31</v>
      </c>
      <c r="D312" s="8">
        <v>8.0</v>
      </c>
      <c r="E312" s="8" t="str">
        <f t="shared" si="1"/>
        <v>Non-Playoff Team</v>
      </c>
      <c r="F312" s="8">
        <v>11.0</v>
      </c>
      <c r="G312" s="8">
        <v>129.0</v>
      </c>
      <c r="H312" s="1" t="s">
        <v>680</v>
      </c>
      <c r="I312" s="1" t="str">
        <f t="shared" si="2"/>
        <v>Cam</v>
      </c>
      <c r="J312" s="1" t="str">
        <f t="shared" si="3"/>
        <v>Newton</v>
      </c>
      <c r="K312" s="1" t="str">
        <f t="shared" si="4"/>
        <v>#N/A</v>
      </c>
      <c r="L312" s="1" t="str">
        <f>IFERROR(VLOOKUP($K312,Players!$D:$E,2,FALSE),VLOOKUP($H312,Players!A:E,5,FALSE))</f>
        <v>QB</v>
      </c>
    </row>
    <row r="313" ht="15.75" customHeight="1">
      <c r="A313" s="1">
        <v>2020.0</v>
      </c>
      <c r="B313" s="1" t="s">
        <v>30</v>
      </c>
      <c r="C313" s="1" t="s">
        <v>31</v>
      </c>
      <c r="D313" s="8">
        <v>8.0</v>
      </c>
      <c r="E313" s="8" t="str">
        <f t="shared" si="1"/>
        <v>Non-Playoff Team</v>
      </c>
      <c r="F313" s="8">
        <v>12.0</v>
      </c>
      <c r="G313" s="8">
        <v>136.0</v>
      </c>
      <c r="H313" s="1" t="s">
        <v>749</v>
      </c>
      <c r="I313" s="1" t="str">
        <f t="shared" si="2"/>
        <v>Latavius</v>
      </c>
      <c r="J313" s="1" t="str">
        <f t="shared" si="3"/>
        <v>Murray</v>
      </c>
      <c r="K313" s="1" t="str">
        <f t="shared" si="4"/>
        <v>#N/A</v>
      </c>
      <c r="L313" s="1" t="str">
        <f>IFERROR(VLOOKUP($K313,Players!$D:$E,2,FALSE),VLOOKUP($H313,Players!A:E,5,FALSE))</f>
        <v>RB</v>
      </c>
    </row>
    <row r="314" ht="15.75" customHeight="1">
      <c r="A314" s="1">
        <v>2020.0</v>
      </c>
      <c r="B314" s="1" t="s">
        <v>30</v>
      </c>
      <c r="C314" s="1" t="s">
        <v>31</v>
      </c>
      <c r="D314" s="8">
        <v>8.0</v>
      </c>
      <c r="E314" s="8" t="str">
        <f t="shared" si="1"/>
        <v>Non-Playoff Team</v>
      </c>
      <c r="F314" s="8">
        <v>13.0</v>
      </c>
      <c r="G314" s="8">
        <v>153.0</v>
      </c>
      <c r="H314" s="1" t="s">
        <v>751</v>
      </c>
      <c r="I314" s="1" t="str">
        <f t="shared" si="2"/>
        <v>LeSean</v>
      </c>
      <c r="J314" s="1" t="str">
        <f t="shared" si="3"/>
        <v>McCoy</v>
      </c>
      <c r="K314" s="1" t="str">
        <f t="shared" si="4"/>
        <v>#N/A</v>
      </c>
      <c r="L314" s="1" t="str">
        <f>IFERROR(VLOOKUP($K314,Players!$D:$E,2,FALSE),VLOOKUP($H314,Players!A:E,5,FALSE))</f>
        <v>RB</v>
      </c>
    </row>
    <row r="315" ht="15.75" customHeight="1">
      <c r="A315" s="1">
        <v>2020.0</v>
      </c>
      <c r="B315" s="1" t="s">
        <v>30</v>
      </c>
      <c r="C315" s="1" t="s">
        <v>31</v>
      </c>
      <c r="D315" s="8">
        <v>8.0</v>
      </c>
      <c r="E315" s="8" t="str">
        <f t="shared" si="1"/>
        <v>Non-Playoff Team</v>
      </c>
      <c r="F315" s="8">
        <v>14.0</v>
      </c>
      <c r="G315" s="8">
        <v>160.0</v>
      </c>
      <c r="H315" s="1" t="s">
        <v>394</v>
      </c>
      <c r="I315" s="1" t="str">
        <f t="shared" si="2"/>
        <v>Brandon</v>
      </c>
      <c r="J315" s="1" t="str">
        <f t="shared" si="3"/>
        <v>Aiyuk</v>
      </c>
      <c r="K315" s="1" t="str">
        <f t="shared" si="4"/>
        <v>#N/A</v>
      </c>
      <c r="L315" s="1" t="str">
        <f>IFERROR(VLOOKUP($K315,Players!$D:$E,2,FALSE),VLOOKUP($H315,Players!A:E,5,FALSE))</f>
        <v>WR</v>
      </c>
    </row>
    <row r="316" ht="15.75" customHeight="1">
      <c r="A316" s="1">
        <v>2020.0</v>
      </c>
      <c r="B316" s="1" t="s">
        <v>30</v>
      </c>
      <c r="C316" s="1" t="s">
        <v>31</v>
      </c>
      <c r="D316" s="8">
        <v>8.0</v>
      </c>
      <c r="E316" s="8" t="str">
        <f t="shared" si="1"/>
        <v>Non-Playoff Team</v>
      </c>
      <c r="F316" s="8">
        <v>15.0</v>
      </c>
      <c r="G316" s="8">
        <v>177.0</v>
      </c>
      <c r="H316" s="1" t="s">
        <v>756</v>
      </c>
      <c r="I316" s="1" t="str">
        <f t="shared" si="2"/>
        <v>#VALUE!</v>
      </c>
      <c r="J316" s="1" t="str">
        <f t="shared" si="3"/>
        <v>#VALUE!</v>
      </c>
      <c r="K316" s="1" t="str">
        <f t="shared" si="4"/>
        <v>#N/A</v>
      </c>
      <c r="L316" s="1" t="str">
        <f>IFERROR(VLOOKUP($K316,Players!$D:$E,2,FALSE),VLOOKUP($H316,Players!A:E,5,FALSE))</f>
        <v>DEF</v>
      </c>
    </row>
    <row r="317" ht="15.75" customHeight="1">
      <c r="A317" s="1">
        <v>2020.0</v>
      </c>
      <c r="B317" s="1" t="s">
        <v>43</v>
      </c>
      <c r="C317" s="1" t="s">
        <v>23</v>
      </c>
      <c r="D317" s="8">
        <v>2.0</v>
      </c>
      <c r="E317" s="8" t="str">
        <f t="shared" si="1"/>
        <v>Playoff Team</v>
      </c>
      <c r="F317" s="8">
        <v>1.0</v>
      </c>
      <c r="G317" s="8">
        <v>10.0</v>
      </c>
      <c r="H317" s="1" t="s">
        <v>213</v>
      </c>
      <c r="I317" s="1" t="str">
        <f t="shared" si="2"/>
        <v>Davante</v>
      </c>
      <c r="J317" s="1" t="str">
        <f t="shared" si="3"/>
        <v>Adams</v>
      </c>
      <c r="K317" s="1" t="str">
        <f t="shared" si="4"/>
        <v>#N/A</v>
      </c>
      <c r="L317" s="1" t="str">
        <f>IFERROR(VLOOKUP($K317,Players!$D:$E,2,FALSE),VLOOKUP($H317,Players!A:E,5,FALSE))</f>
        <v>WR</v>
      </c>
    </row>
    <row r="318" ht="15.75" customHeight="1">
      <c r="A318" s="1">
        <v>2020.0</v>
      </c>
      <c r="B318" s="1" t="s">
        <v>43</v>
      </c>
      <c r="C318" s="1" t="s">
        <v>23</v>
      </c>
      <c r="D318" s="8">
        <v>2.0</v>
      </c>
      <c r="E318" s="8" t="str">
        <f t="shared" si="1"/>
        <v>Playoff Team</v>
      </c>
      <c r="F318" s="8">
        <v>2.0</v>
      </c>
      <c r="G318" s="8">
        <v>15.0</v>
      </c>
      <c r="H318" s="1" t="s">
        <v>110</v>
      </c>
      <c r="I318" s="1" t="str">
        <f t="shared" si="2"/>
        <v>Patrick</v>
      </c>
      <c r="J318" s="1" t="str">
        <f t="shared" si="3"/>
        <v>Mahomes</v>
      </c>
      <c r="K318" s="1" t="str">
        <f t="shared" si="4"/>
        <v>#N/A</v>
      </c>
      <c r="L318" s="1" t="str">
        <f>IFERROR(VLOOKUP($K318,Players!$D:$E,2,FALSE),VLOOKUP($H318,Players!A:E,5,FALSE))</f>
        <v>QB</v>
      </c>
    </row>
    <row r="319" ht="15.75" customHeight="1">
      <c r="A319" s="1">
        <v>2020.0</v>
      </c>
      <c r="B319" s="1" t="s">
        <v>43</v>
      </c>
      <c r="C319" s="1" t="s">
        <v>23</v>
      </c>
      <c r="D319" s="8">
        <v>2.0</v>
      </c>
      <c r="E319" s="8" t="str">
        <f t="shared" si="1"/>
        <v>Playoff Team</v>
      </c>
      <c r="F319" s="8">
        <v>3.0</v>
      </c>
      <c r="G319" s="8">
        <v>34.0</v>
      </c>
      <c r="H319" s="1" t="s">
        <v>760</v>
      </c>
      <c r="I319" s="1" t="str">
        <f t="shared" si="2"/>
        <v>Todd</v>
      </c>
      <c r="J319" s="1" t="str">
        <f t="shared" si="3"/>
        <v>Gurley II</v>
      </c>
      <c r="K319" s="1" t="str">
        <f t="shared" si="4"/>
        <v>#N/A</v>
      </c>
      <c r="L319" s="1" t="str">
        <f>IFERROR(VLOOKUP($K319,Players!$D:$E,2,FALSE),VLOOKUP($H319,Players!A:E,5,FALSE))</f>
        <v>#N/A</v>
      </c>
    </row>
    <row r="320" ht="15.75" customHeight="1">
      <c r="A320" s="1">
        <v>2020.0</v>
      </c>
      <c r="B320" s="1" t="s">
        <v>43</v>
      </c>
      <c r="C320" s="1" t="s">
        <v>23</v>
      </c>
      <c r="D320" s="8">
        <v>2.0</v>
      </c>
      <c r="E320" s="8" t="str">
        <f t="shared" si="1"/>
        <v>Playoff Team</v>
      </c>
      <c r="F320" s="8">
        <v>4.0</v>
      </c>
      <c r="G320" s="8">
        <v>39.0</v>
      </c>
      <c r="H320" s="1" t="s">
        <v>360</v>
      </c>
      <c r="I320" s="1" t="str">
        <f t="shared" si="2"/>
        <v>Melvin</v>
      </c>
      <c r="J320" s="1" t="str">
        <f t="shared" si="3"/>
        <v>Gordon III</v>
      </c>
      <c r="K320" s="1" t="str">
        <f t="shared" si="4"/>
        <v>#N/A</v>
      </c>
      <c r="L320" s="1" t="str">
        <f>IFERROR(VLOOKUP($K320,Players!$D:$E,2,FALSE),VLOOKUP($H320,Players!A:E,5,FALSE))</f>
        <v>#N/A</v>
      </c>
    </row>
    <row r="321" ht="15.75" customHeight="1">
      <c r="A321" s="1">
        <v>2020.0</v>
      </c>
      <c r="B321" s="1" t="s">
        <v>43</v>
      </c>
      <c r="C321" s="1" t="s">
        <v>23</v>
      </c>
      <c r="D321" s="8">
        <v>2.0</v>
      </c>
      <c r="E321" s="8" t="str">
        <f t="shared" si="1"/>
        <v>Playoff Team</v>
      </c>
      <c r="F321" s="8">
        <v>5.0</v>
      </c>
      <c r="G321" s="8">
        <v>58.0</v>
      </c>
      <c r="H321" s="1" t="s">
        <v>80</v>
      </c>
      <c r="I321" s="1" t="str">
        <f t="shared" si="2"/>
        <v>Keenan</v>
      </c>
      <c r="J321" s="1" t="str">
        <f t="shared" si="3"/>
        <v>Allen</v>
      </c>
      <c r="K321" s="1" t="str">
        <f t="shared" si="4"/>
        <v>#N/A</v>
      </c>
      <c r="L321" s="1" t="str">
        <f>IFERROR(VLOOKUP($K321,Players!$D:$E,2,FALSE),VLOOKUP($H321,Players!A:E,5,FALSE))</f>
        <v>WR</v>
      </c>
    </row>
    <row r="322" ht="15.75" customHeight="1">
      <c r="A322" s="1">
        <v>2020.0</v>
      </c>
      <c r="B322" s="1" t="s">
        <v>43</v>
      </c>
      <c r="C322" s="1" t="s">
        <v>23</v>
      </c>
      <c r="D322" s="8">
        <v>2.0</v>
      </c>
      <c r="E322" s="8" t="str">
        <f t="shared" si="1"/>
        <v>Playoff Team</v>
      </c>
      <c r="F322" s="8">
        <v>6.0</v>
      </c>
      <c r="G322" s="8">
        <v>63.0</v>
      </c>
      <c r="H322" s="1" t="s">
        <v>440</v>
      </c>
      <c r="I322" s="1" t="str">
        <f t="shared" si="2"/>
        <v>Tyler</v>
      </c>
      <c r="J322" s="1" t="str">
        <f t="shared" si="3"/>
        <v>Boyd</v>
      </c>
      <c r="K322" s="1" t="str">
        <f t="shared" si="4"/>
        <v>#N/A</v>
      </c>
      <c r="L322" s="1" t="str">
        <f>IFERROR(VLOOKUP($K322,Players!$D:$E,2,FALSE),VLOOKUP($H322,Players!A:E,5,FALSE))</f>
        <v>WR</v>
      </c>
    </row>
    <row r="323" ht="15.75" customHeight="1">
      <c r="A323" s="1">
        <v>2020.0</v>
      </c>
      <c r="B323" s="1" t="s">
        <v>43</v>
      </c>
      <c r="C323" s="1" t="s">
        <v>23</v>
      </c>
      <c r="D323" s="8">
        <v>2.0</v>
      </c>
      <c r="E323" s="8" t="str">
        <f t="shared" si="1"/>
        <v>Playoff Team</v>
      </c>
      <c r="F323" s="8">
        <v>7.0</v>
      </c>
      <c r="G323" s="8">
        <v>82.0</v>
      </c>
      <c r="H323" s="1" t="s">
        <v>222</v>
      </c>
      <c r="I323" s="1" t="str">
        <f t="shared" si="2"/>
        <v>D'Andre</v>
      </c>
      <c r="J323" s="1" t="str">
        <f t="shared" si="3"/>
        <v>Swift</v>
      </c>
      <c r="K323" s="1" t="str">
        <f t="shared" si="4"/>
        <v>#N/A</v>
      </c>
      <c r="L323" s="1" t="str">
        <f>IFERROR(VLOOKUP($K323,Players!$D:$E,2,FALSE),VLOOKUP($H323,Players!A:E,5,FALSE))</f>
        <v>RB</v>
      </c>
    </row>
    <row r="324" ht="15.75" customHeight="1">
      <c r="A324" s="1">
        <v>2020.0</v>
      </c>
      <c r="B324" s="1" t="s">
        <v>43</v>
      </c>
      <c r="C324" s="1" t="s">
        <v>23</v>
      </c>
      <c r="D324" s="8">
        <v>2.0</v>
      </c>
      <c r="E324" s="8" t="str">
        <f t="shared" si="1"/>
        <v>Playoff Team</v>
      </c>
      <c r="F324" s="8">
        <v>8.0</v>
      </c>
      <c r="G324" s="8">
        <v>87.0</v>
      </c>
      <c r="H324" s="1" t="s">
        <v>87</v>
      </c>
      <c r="I324" s="1" t="str">
        <f t="shared" si="2"/>
        <v>#VALUE!</v>
      </c>
      <c r="J324" s="1" t="str">
        <f t="shared" si="3"/>
        <v>#VALUE!</v>
      </c>
      <c r="K324" s="1" t="str">
        <f t="shared" si="4"/>
        <v>#N/A</v>
      </c>
      <c r="L324" s="1" t="str">
        <f>IFERROR(VLOOKUP($K324,Players!$D:$E,2,FALSE),VLOOKUP($H324,Players!A:E,5,FALSE))</f>
        <v>DEF</v>
      </c>
    </row>
    <row r="325" ht="15.75" customHeight="1">
      <c r="A325" s="1">
        <v>2020.0</v>
      </c>
      <c r="B325" s="1" t="s">
        <v>43</v>
      </c>
      <c r="C325" s="1" t="s">
        <v>23</v>
      </c>
      <c r="D325" s="8">
        <v>2.0</v>
      </c>
      <c r="E325" s="8" t="str">
        <f t="shared" si="1"/>
        <v>Playoff Team</v>
      </c>
      <c r="F325" s="8">
        <v>9.0</v>
      </c>
      <c r="G325" s="8">
        <v>106.0</v>
      </c>
      <c r="H325" s="1" t="s">
        <v>160</v>
      </c>
      <c r="I325" s="1" t="str">
        <f t="shared" si="2"/>
        <v>Tevin</v>
      </c>
      <c r="J325" s="1" t="str">
        <f t="shared" si="3"/>
        <v>Coleman</v>
      </c>
      <c r="K325" s="1" t="str">
        <f t="shared" si="4"/>
        <v>#N/A</v>
      </c>
      <c r="L325" s="1" t="str">
        <f>IFERROR(VLOOKUP($K325,Players!$D:$E,2,FALSE),VLOOKUP($H325,Players!A:E,5,FALSE))</f>
        <v>RB</v>
      </c>
    </row>
    <row r="326" ht="15.75" customHeight="1">
      <c r="A326" s="1">
        <v>2020.0</v>
      </c>
      <c r="B326" s="1" t="s">
        <v>43</v>
      </c>
      <c r="C326" s="1" t="s">
        <v>23</v>
      </c>
      <c r="D326" s="8">
        <v>2.0</v>
      </c>
      <c r="E326" s="8" t="str">
        <f t="shared" si="1"/>
        <v>Playoff Team</v>
      </c>
      <c r="F326" s="8">
        <v>10.0</v>
      </c>
      <c r="G326" s="8">
        <v>111.0</v>
      </c>
      <c r="H326" s="1" t="s">
        <v>772</v>
      </c>
      <c r="I326" s="1" t="str">
        <f t="shared" si="2"/>
        <v>Mecole</v>
      </c>
      <c r="J326" s="1" t="str">
        <f t="shared" si="3"/>
        <v>Hardman</v>
      </c>
      <c r="K326" s="1" t="str">
        <f t="shared" si="4"/>
        <v>#N/A</v>
      </c>
      <c r="L326" s="1" t="str">
        <f>IFERROR(VLOOKUP($K326,Players!$D:$E,2,FALSE),VLOOKUP($H326,Players!A:E,5,FALSE))</f>
        <v>WR</v>
      </c>
    </row>
    <row r="327" ht="15.75" customHeight="1">
      <c r="A327" s="1">
        <v>2020.0</v>
      </c>
      <c r="B327" s="1" t="s">
        <v>43</v>
      </c>
      <c r="C327" s="1" t="s">
        <v>23</v>
      </c>
      <c r="D327" s="8">
        <v>2.0</v>
      </c>
      <c r="E327" s="8" t="str">
        <f t="shared" si="1"/>
        <v>Playoff Team</v>
      </c>
      <c r="F327" s="8">
        <v>11.0</v>
      </c>
      <c r="G327" s="8">
        <v>130.0</v>
      </c>
      <c r="H327" s="1" t="s">
        <v>775</v>
      </c>
      <c r="I327" s="1" t="str">
        <f t="shared" si="2"/>
        <v>Larry</v>
      </c>
      <c r="J327" s="1" t="str">
        <f t="shared" si="3"/>
        <v>Fitzgerald</v>
      </c>
      <c r="K327" s="1" t="str">
        <f t="shared" si="4"/>
        <v>#N/A</v>
      </c>
      <c r="L327" s="1" t="str">
        <f>IFERROR(VLOOKUP($K327,Players!$D:$E,2,FALSE),VLOOKUP($H327,Players!A:E,5,FALSE))</f>
        <v>WR</v>
      </c>
    </row>
    <row r="328" ht="15.75" customHeight="1">
      <c r="A328" s="1">
        <v>2020.0</v>
      </c>
      <c r="B328" s="1" t="s">
        <v>43</v>
      </c>
      <c r="C328" s="1" t="s">
        <v>23</v>
      </c>
      <c r="D328" s="8">
        <v>2.0</v>
      </c>
      <c r="E328" s="8" t="str">
        <f t="shared" si="1"/>
        <v>Playoff Team</v>
      </c>
      <c r="F328" s="8">
        <v>12.0</v>
      </c>
      <c r="G328" s="8">
        <v>135.0</v>
      </c>
      <c r="H328" s="1" t="s">
        <v>406</v>
      </c>
      <c r="I328" s="1" t="str">
        <f t="shared" si="2"/>
        <v>Austin</v>
      </c>
      <c r="J328" s="1" t="str">
        <f t="shared" si="3"/>
        <v>Hooper</v>
      </c>
      <c r="K328" s="1" t="str">
        <f t="shared" si="4"/>
        <v>#N/A</v>
      </c>
      <c r="L328" s="1" t="str">
        <f>IFERROR(VLOOKUP($K328,Players!$D:$E,2,FALSE),VLOOKUP($H328,Players!A:E,5,FALSE))</f>
        <v>TE</v>
      </c>
    </row>
    <row r="329" ht="15.75" customHeight="1">
      <c r="A329" s="1">
        <v>2020.0</v>
      </c>
      <c r="B329" s="1" t="s">
        <v>43</v>
      </c>
      <c r="C329" s="1" t="s">
        <v>23</v>
      </c>
      <c r="D329" s="8">
        <v>2.0</v>
      </c>
      <c r="E329" s="8" t="str">
        <f t="shared" si="1"/>
        <v>Playoff Team</v>
      </c>
      <c r="F329" s="8">
        <v>13.0</v>
      </c>
      <c r="G329" s="8">
        <v>154.0</v>
      </c>
      <c r="H329" s="1" t="s">
        <v>99</v>
      </c>
      <c r="I329" s="1" t="str">
        <f t="shared" si="2"/>
        <v>Robbie</v>
      </c>
      <c r="J329" s="1" t="str">
        <f t="shared" si="3"/>
        <v>Anderson</v>
      </c>
      <c r="K329" s="1" t="str">
        <f t="shared" si="4"/>
        <v>#N/A</v>
      </c>
      <c r="L329" s="1" t="str">
        <f>IFERROR(VLOOKUP($K329,Players!$D:$E,2,FALSE),VLOOKUP($H329,Players!A:E,5,FALSE))</f>
        <v>WR</v>
      </c>
    </row>
    <row r="330" ht="15.75" customHeight="1">
      <c r="A330" s="1">
        <v>2020.0</v>
      </c>
      <c r="B330" s="1" t="s">
        <v>43</v>
      </c>
      <c r="C330" s="1" t="s">
        <v>23</v>
      </c>
      <c r="D330" s="8">
        <v>2.0</v>
      </c>
      <c r="E330" s="8" t="str">
        <f t="shared" si="1"/>
        <v>Playoff Team</v>
      </c>
      <c r="F330" s="8">
        <v>14.0</v>
      </c>
      <c r="G330" s="8">
        <v>159.0</v>
      </c>
      <c r="H330" s="1" t="s">
        <v>176</v>
      </c>
      <c r="I330" s="1" t="str">
        <f t="shared" si="2"/>
        <v>Aaron</v>
      </c>
      <c r="J330" s="1" t="str">
        <f t="shared" si="3"/>
        <v>Rodgers</v>
      </c>
      <c r="K330" s="1" t="str">
        <f t="shared" si="4"/>
        <v>#N/A</v>
      </c>
      <c r="L330" s="1" t="str">
        <f>IFERROR(VLOOKUP($K330,Players!$D:$E,2,FALSE),VLOOKUP($H330,Players!A:E,5,FALSE))</f>
        <v>QB</v>
      </c>
    </row>
    <row r="331" ht="15.75" customHeight="1">
      <c r="A331" s="1">
        <v>2020.0</v>
      </c>
      <c r="B331" s="1" t="s">
        <v>43</v>
      </c>
      <c r="C331" s="1" t="s">
        <v>23</v>
      </c>
      <c r="D331" s="8">
        <v>2.0</v>
      </c>
      <c r="E331" s="8" t="str">
        <f t="shared" si="1"/>
        <v>Playoff Team</v>
      </c>
      <c r="F331" s="8">
        <v>15.0</v>
      </c>
      <c r="G331" s="8">
        <v>178.0</v>
      </c>
      <c r="H331" s="1" t="s">
        <v>781</v>
      </c>
      <c r="I331" s="1" t="str">
        <f t="shared" si="2"/>
        <v>Stephen</v>
      </c>
      <c r="J331" s="1" t="str">
        <f t="shared" si="3"/>
        <v>Gostkowski</v>
      </c>
      <c r="K331" s="1" t="str">
        <f t="shared" si="4"/>
        <v>#N/A</v>
      </c>
      <c r="L331" s="1" t="str">
        <f>IFERROR(VLOOKUP($K331,Players!$D:$E,2,FALSE),VLOOKUP($H331,Players!A:E,5,FALSE))</f>
        <v>K</v>
      </c>
    </row>
    <row r="332" ht="15.75" customHeight="1">
      <c r="A332" s="1">
        <v>2020.0</v>
      </c>
      <c r="B332" s="1" t="s">
        <v>36</v>
      </c>
      <c r="C332" s="1" t="s">
        <v>17</v>
      </c>
      <c r="D332" s="8">
        <v>3.0</v>
      </c>
      <c r="E332" s="8" t="str">
        <f t="shared" si="1"/>
        <v>Playoff Team</v>
      </c>
      <c r="F332" s="8">
        <v>1.0</v>
      </c>
      <c r="G332" s="8">
        <v>11.0</v>
      </c>
      <c r="H332" s="1" t="s">
        <v>339</v>
      </c>
      <c r="I332" s="1" t="str">
        <f t="shared" si="2"/>
        <v>Tyreek</v>
      </c>
      <c r="J332" s="1" t="str">
        <f t="shared" si="3"/>
        <v>Hill</v>
      </c>
      <c r="K332" s="1" t="str">
        <f t="shared" si="4"/>
        <v>#N/A</v>
      </c>
      <c r="L332" s="1" t="str">
        <f>IFERROR(VLOOKUP($K332,Players!$D:$E,2,FALSE),VLOOKUP($H332,Players!A:E,5,FALSE))</f>
        <v>WR</v>
      </c>
    </row>
    <row r="333" ht="15.75" customHeight="1">
      <c r="A333" s="1">
        <v>2020.0</v>
      </c>
      <c r="B333" s="1" t="s">
        <v>36</v>
      </c>
      <c r="C333" s="1" t="s">
        <v>17</v>
      </c>
      <c r="D333" s="8">
        <v>3.0</v>
      </c>
      <c r="E333" s="8" t="str">
        <f t="shared" si="1"/>
        <v>Playoff Team</v>
      </c>
      <c r="F333" s="8">
        <v>2.0</v>
      </c>
      <c r="G333" s="8">
        <v>14.0</v>
      </c>
      <c r="H333" s="1" t="s">
        <v>96</v>
      </c>
      <c r="I333" s="1" t="str">
        <f t="shared" si="2"/>
        <v>Julio</v>
      </c>
      <c r="J333" s="1" t="str">
        <f t="shared" si="3"/>
        <v>Jones</v>
      </c>
      <c r="K333" s="1" t="str">
        <f t="shared" si="4"/>
        <v>#N/A</v>
      </c>
      <c r="L333" s="1" t="str">
        <f>IFERROR(VLOOKUP($K333,Players!$D:$E,2,FALSE),VLOOKUP($H333,Players!A:E,5,FALSE))</f>
        <v>WR</v>
      </c>
    </row>
    <row r="334" ht="15.75" customHeight="1">
      <c r="A334" s="1">
        <v>2020.0</v>
      </c>
      <c r="B334" s="1" t="s">
        <v>36</v>
      </c>
      <c r="C334" s="1" t="s">
        <v>17</v>
      </c>
      <c r="D334" s="8">
        <v>3.0</v>
      </c>
      <c r="E334" s="8" t="str">
        <f t="shared" si="1"/>
        <v>Playoff Team</v>
      </c>
      <c r="F334" s="8">
        <v>3.0</v>
      </c>
      <c r="G334" s="8">
        <v>35.0</v>
      </c>
      <c r="H334" s="1" t="s">
        <v>81</v>
      </c>
      <c r="I334" s="1" t="str">
        <f t="shared" si="2"/>
        <v>Mark</v>
      </c>
      <c r="J334" s="1" t="str">
        <f t="shared" si="3"/>
        <v>Andrews</v>
      </c>
      <c r="K334" s="1" t="str">
        <f t="shared" si="4"/>
        <v>#N/A</v>
      </c>
      <c r="L334" s="1" t="str">
        <f>IFERROR(VLOOKUP($K334,Players!$D:$E,2,FALSE),VLOOKUP($H334,Players!A:E,5,FALSE))</f>
        <v>TE</v>
      </c>
    </row>
    <row r="335" ht="15.75" customHeight="1">
      <c r="A335" s="1">
        <v>2020.0</v>
      </c>
      <c r="B335" s="1" t="s">
        <v>36</v>
      </c>
      <c r="C335" s="1" t="s">
        <v>17</v>
      </c>
      <c r="D335" s="8">
        <v>3.0</v>
      </c>
      <c r="E335" s="8" t="str">
        <f t="shared" si="1"/>
        <v>Playoff Team</v>
      </c>
      <c r="F335" s="8">
        <v>4.0</v>
      </c>
      <c r="G335" s="8">
        <v>38.0</v>
      </c>
      <c r="H335" s="1" t="s">
        <v>788</v>
      </c>
      <c r="I335" s="1" t="str">
        <f t="shared" si="2"/>
        <v>Le'Veon</v>
      </c>
      <c r="J335" s="1" t="str">
        <f t="shared" si="3"/>
        <v>Bell</v>
      </c>
      <c r="K335" s="1" t="str">
        <f t="shared" si="4"/>
        <v>#N/A</v>
      </c>
      <c r="L335" s="1" t="str">
        <f>IFERROR(VLOOKUP($K335,Players!$D:$E,2,FALSE),VLOOKUP($H335,Players!A:E,5,FALSE))</f>
        <v>RB</v>
      </c>
    </row>
    <row r="336" ht="15.75" customHeight="1">
      <c r="A336" s="1">
        <v>2020.0</v>
      </c>
      <c r="B336" s="1" t="s">
        <v>36</v>
      </c>
      <c r="C336" s="1" t="s">
        <v>17</v>
      </c>
      <c r="D336" s="8">
        <v>3.0</v>
      </c>
      <c r="E336" s="8" t="str">
        <f t="shared" si="1"/>
        <v>Playoff Team</v>
      </c>
      <c r="F336" s="8">
        <v>5.0</v>
      </c>
      <c r="G336" s="8">
        <v>59.0</v>
      </c>
      <c r="H336" s="1" t="s">
        <v>791</v>
      </c>
      <c r="I336" s="1" t="str">
        <f t="shared" si="2"/>
        <v>Tarik</v>
      </c>
      <c r="J336" s="1" t="str">
        <f t="shared" si="3"/>
        <v>Cohen</v>
      </c>
      <c r="K336" s="1" t="str">
        <f t="shared" si="4"/>
        <v>#N/A</v>
      </c>
      <c r="L336" s="1" t="str">
        <f>IFERROR(VLOOKUP($K336,Players!$D:$E,2,FALSE),VLOOKUP($H336,Players!A:E,5,FALSE))</f>
        <v>RB</v>
      </c>
    </row>
    <row r="337" ht="15.75" customHeight="1">
      <c r="A337" s="1">
        <v>2020.0</v>
      </c>
      <c r="B337" s="1" t="s">
        <v>36</v>
      </c>
      <c r="C337" s="1" t="s">
        <v>17</v>
      </c>
      <c r="D337" s="8">
        <v>3.0</v>
      </c>
      <c r="E337" s="8" t="str">
        <f t="shared" si="1"/>
        <v>Playoff Team</v>
      </c>
      <c r="F337" s="8">
        <v>6.0</v>
      </c>
      <c r="G337" s="8">
        <v>62.0</v>
      </c>
      <c r="H337" s="1" t="s">
        <v>276</v>
      </c>
      <c r="I337" s="1" t="str">
        <f t="shared" si="2"/>
        <v>Courtland</v>
      </c>
      <c r="J337" s="1" t="str">
        <f t="shared" si="3"/>
        <v>Sutton</v>
      </c>
      <c r="K337" s="1" t="str">
        <f t="shared" si="4"/>
        <v>#N/A</v>
      </c>
      <c r="L337" s="1" t="str">
        <f>IFERROR(VLOOKUP($K337,Players!$D:$E,2,FALSE),VLOOKUP($H337,Players!A:E,5,FALSE))</f>
        <v>WR</v>
      </c>
    </row>
    <row r="338" ht="15.75" customHeight="1">
      <c r="A338" s="1">
        <v>2020.0</v>
      </c>
      <c r="B338" s="1" t="s">
        <v>36</v>
      </c>
      <c r="C338" s="1" t="s">
        <v>17</v>
      </c>
      <c r="D338" s="8">
        <v>3.0</v>
      </c>
      <c r="E338" s="8" t="str">
        <f t="shared" si="1"/>
        <v>Playoff Team</v>
      </c>
      <c r="F338" s="8">
        <v>7.0</v>
      </c>
      <c r="G338" s="8">
        <v>83.0</v>
      </c>
      <c r="H338" s="1" t="s">
        <v>428</v>
      </c>
      <c r="I338" s="1" t="str">
        <f t="shared" si="2"/>
        <v>Josh</v>
      </c>
      <c r="J338" s="1" t="str">
        <f t="shared" si="3"/>
        <v>Allen</v>
      </c>
      <c r="K338" s="1" t="str">
        <f t="shared" si="4"/>
        <v>#N/A</v>
      </c>
      <c r="L338" s="1" t="str">
        <f>IFERROR(VLOOKUP($K338,Players!$D:$E,2,FALSE),VLOOKUP($H338,Players!A:E,5,FALSE))</f>
        <v>QB</v>
      </c>
    </row>
    <row r="339" ht="15.75" customHeight="1">
      <c r="A339" s="1">
        <v>2020.0</v>
      </c>
      <c r="B339" s="1" t="s">
        <v>36</v>
      </c>
      <c r="C339" s="1" t="s">
        <v>17</v>
      </c>
      <c r="D339" s="8">
        <v>3.0</v>
      </c>
      <c r="E339" s="8" t="str">
        <f t="shared" si="1"/>
        <v>Playoff Team</v>
      </c>
      <c r="F339" s="8">
        <v>8.0</v>
      </c>
      <c r="G339" s="8">
        <v>86.0</v>
      </c>
      <c r="H339" s="1" t="s">
        <v>798</v>
      </c>
      <c r="I339" s="1" t="str">
        <f t="shared" si="2"/>
        <v>JK</v>
      </c>
      <c r="J339" s="1" t="str">
        <f t="shared" si="3"/>
        <v>Dobbins</v>
      </c>
      <c r="K339" s="1" t="str">
        <f t="shared" si="4"/>
        <v>#N/A</v>
      </c>
      <c r="L339" s="1" t="str">
        <f>IFERROR(VLOOKUP($K339,Players!$D:$E,2,FALSE),VLOOKUP($H339,Players!A:E,5,FALSE))</f>
        <v>RB</v>
      </c>
    </row>
    <row r="340" ht="15.75" customHeight="1">
      <c r="A340" s="1">
        <v>2020.0</v>
      </c>
      <c r="B340" s="1" t="s">
        <v>36</v>
      </c>
      <c r="C340" s="1" t="s">
        <v>17</v>
      </c>
      <c r="D340" s="8">
        <v>3.0</v>
      </c>
      <c r="E340" s="8" t="str">
        <f t="shared" si="1"/>
        <v>Playoff Team</v>
      </c>
      <c r="F340" s="8">
        <v>9.0</v>
      </c>
      <c r="G340" s="8">
        <v>107.0</v>
      </c>
      <c r="H340" s="1" t="s">
        <v>766</v>
      </c>
      <c r="I340" s="1" t="str">
        <f t="shared" si="2"/>
        <v>#VALUE!</v>
      </c>
      <c r="J340" s="1" t="str">
        <f t="shared" si="3"/>
        <v>#VALUE!</v>
      </c>
      <c r="K340" s="1" t="str">
        <f t="shared" si="4"/>
        <v>#N/A</v>
      </c>
      <c r="L340" s="1" t="str">
        <f>IFERROR(VLOOKUP($K340,Players!$D:$E,2,FALSE),VLOOKUP($H340,Players!A:E,5,FALSE))</f>
        <v>DEF</v>
      </c>
    </row>
    <row r="341" ht="15.75" customHeight="1">
      <c r="A341" s="1">
        <v>2020.0</v>
      </c>
      <c r="B341" s="1" t="s">
        <v>36</v>
      </c>
      <c r="C341" s="1" t="s">
        <v>17</v>
      </c>
      <c r="D341" s="8">
        <v>3.0</v>
      </c>
      <c r="E341" s="8" t="str">
        <f t="shared" si="1"/>
        <v>Playoff Team</v>
      </c>
      <c r="F341" s="8">
        <v>10.0</v>
      </c>
      <c r="G341" s="8">
        <v>110.0</v>
      </c>
      <c r="H341" s="1" t="s">
        <v>323</v>
      </c>
      <c r="I341" s="1" t="str">
        <f t="shared" si="2"/>
        <v>Harrison</v>
      </c>
      <c r="J341" s="1" t="str">
        <f t="shared" si="3"/>
        <v>Butker</v>
      </c>
      <c r="K341" s="1" t="str">
        <f t="shared" si="4"/>
        <v>#N/A</v>
      </c>
      <c r="L341" s="1" t="str">
        <f>IFERROR(VLOOKUP($K341,Players!$D:$E,2,FALSE),VLOOKUP($H341,Players!A:E,5,FALSE))</f>
        <v>K</v>
      </c>
    </row>
    <row r="342" ht="15.75" customHeight="1">
      <c r="A342" s="1">
        <v>2020.0</v>
      </c>
      <c r="B342" s="1" t="s">
        <v>36</v>
      </c>
      <c r="C342" s="1" t="s">
        <v>17</v>
      </c>
      <c r="D342" s="8">
        <v>3.0</v>
      </c>
      <c r="E342" s="8" t="str">
        <f t="shared" si="1"/>
        <v>Playoff Team</v>
      </c>
      <c r="F342" s="8">
        <v>11.0</v>
      </c>
      <c r="G342" s="8">
        <v>131.0</v>
      </c>
      <c r="H342" s="1" t="s">
        <v>265</v>
      </c>
      <c r="I342" s="1" t="str">
        <f t="shared" si="2"/>
        <v>Darrell</v>
      </c>
      <c r="J342" s="1" t="str">
        <f t="shared" si="3"/>
        <v>Henderson Jr</v>
      </c>
      <c r="K342" s="1" t="str">
        <f t="shared" si="4"/>
        <v>#N/A</v>
      </c>
      <c r="L342" s="1" t="str">
        <f>IFERROR(VLOOKUP($K342,Players!$D:$E,2,FALSE),VLOOKUP($H342,Players!A:E,5,FALSE))</f>
        <v>#N/A</v>
      </c>
    </row>
    <row r="343" ht="15.75" customHeight="1">
      <c r="A343" s="1">
        <v>2020.0</v>
      </c>
      <c r="B343" s="1" t="s">
        <v>36</v>
      </c>
      <c r="C343" s="1" t="s">
        <v>17</v>
      </c>
      <c r="D343" s="8">
        <v>3.0</v>
      </c>
      <c r="E343" s="8" t="str">
        <f t="shared" si="1"/>
        <v>Playoff Team</v>
      </c>
      <c r="F343" s="8">
        <v>12.0</v>
      </c>
      <c r="G343" s="8">
        <v>134.0</v>
      </c>
      <c r="H343" s="1" t="s">
        <v>251</v>
      </c>
      <c r="I343" s="1" t="str">
        <f t="shared" si="2"/>
        <v>Allen</v>
      </c>
      <c r="J343" s="1" t="str">
        <f t="shared" si="3"/>
        <v>Lazard</v>
      </c>
      <c r="K343" s="1" t="str">
        <f t="shared" si="4"/>
        <v>#N/A</v>
      </c>
      <c r="L343" s="1" t="str">
        <f>IFERROR(VLOOKUP($K343,Players!$D:$E,2,FALSE),VLOOKUP($H343,Players!A:E,5,FALSE))</f>
        <v>WR</v>
      </c>
    </row>
    <row r="344" ht="15.75" customHeight="1">
      <c r="A344" s="1">
        <v>2020.0</v>
      </c>
      <c r="B344" s="1" t="s">
        <v>36</v>
      </c>
      <c r="C344" s="1" t="s">
        <v>17</v>
      </c>
      <c r="D344" s="8">
        <v>3.0</v>
      </c>
      <c r="E344" s="8" t="str">
        <f t="shared" si="1"/>
        <v>Playoff Team</v>
      </c>
      <c r="F344" s="8">
        <v>13.0</v>
      </c>
      <c r="G344" s="8">
        <v>155.0</v>
      </c>
      <c r="H344" s="1" t="s">
        <v>810</v>
      </c>
      <c r="I344" s="1" t="str">
        <f t="shared" si="2"/>
        <v>Daniel</v>
      </c>
      <c r="J344" s="1" t="str">
        <f t="shared" si="3"/>
        <v>Jones</v>
      </c>
      <c r="K344" s="1" t="str">
        <f t="shared" si="4"/>
        <v>#N/A</v>
      </c>
      <c r="L344" s="1" t="str">
        <f>IFERROR(VLOOKUP($K344,Players!$D:$E,2,FALSE),VLOOKUP($H344,Players!A:E,5,FALSE))</f>
        <v>QB</v>
      </c>
    </row>
    <row r="345" ht="15.75" customHeight="1">
      <c r="A345" s="1">
        <v>2020.0</v>
      </c>
      <c r="B345" s="1" t="s">
        <v>36</v>
      </c>
      <c r="C345" s="1" t="s">
        <v>17</v>
      </c>
      <c r="D345" s="8">
        <v>3.0</v>
      </c>
      <c r="E345" s="8" t="str">
        <f t="shared" si="1"/>
        <v>Playoff Team</v>
      </c>
      <c r="F345" s="8">
        <v>14.0</v>
      </c>
      <c r="G345" s="8">
        <v>158.0</v>
      </c>
      <c r="H345" s="1" t="s">
        <v>320</v>
      </c>
      <c r="I345" s="1" t="str">
        <f t="shared" si="2"/>
        <v>Mike</v>
      </c>
      <c r="J345" s="1" t="str">
        <f t="shared" si="3"/>
        <v>Williams</v>
      </c>
      <c r="K345" s="1" t="str">
        <f t="shared" si="4"/>
        <v>#N/A</v>
      </c>
      <c r="L345" s="1" t="str">
        <f>IFERROR(VLOOKUP($K345,Players!$D:$E,2,FALSE),VLOOKUP($H345,Players!A:E,5,FALSE))</f>
        <v>WR</v>
      </c>
    </row>
    <row r="346" ht="15.75" customHeight="1">
      <c r="A346" s="1">
        <v>2020.0</v>
      </c>
      <c r="B346" s="1" t="s">
        <v>36</v>
      </c>
      <c r="C346" s="1" t="s">
        <v>17</v>
      </c>
      <c r="D346" s="8">
        <v>3.0</v>
      </c>
      <c r="E346" s="8" t="str">
        <f t="shared" si="1"/>
        <v>Playoff Team</v>
      </c>
      <c r="F346" s="8">
        <v>15.0</v>
      </c>
      <c r="G346" s="8">
        <v>179.0</v>
      </c>
      <c r="H346" s="1" t="s">
        <v>812</v>
      </c>
      <c r="I346" s="1" t="str">
        <f t="shared" si="2"/>
        <v>Chris</v>
      </c>
      <c r="J346" s="1" t="str">
        <f t="shared" si="3"/>
        <v>Herndon</v>
      </c>
      <c r="K346" s="1" t="str">
        <f t="shared" si="4"/>
        <v>#N/A</v>
      </c>
      <c r="L346" s="1" t="str">
        <f>IFERROR(VLOOKUP($K346,Players!$D:$E,2,FALSE),VLOOKUP($H346,Players!A:E,5,FALSE))</f>
        <v>#N/A</v>
      </c>
    </row>
    <row r="347" ht="15.75" customHeight="1">
      <c r="A347" s="1">
        <v>2020.0</v>
      </c>
      <c r="B347" s="1" t="s">
        <v>35</v>
      </c>
      <c r="C347" s="1" t="s">
        <v>10</v>
      </c>
      <c r="D347" s="8">
        <v>9.0</v>
      </c>
      <c r="E347" s="8" t="str">
        <f t="shared" si="1"/>
        <v>Non-Playoff Team</v>
      </c>
      <c r="F347" s="8">
        <v>1.0</v>
      </c>
      <c r="G347" s="8">
        <v>12.0</v>
      </c>
      <c r="H347" s="1" t="s">
        <v>97</v>
      </c>
      <c r="I347" s="1" t="str">
        <f t="shared" si="2"/>
        <v>Josh</v>
      </c>
      <c r="J347" s="1" t="str">
        <f t="shared" si="3"/>
        <v>Jacobs</v>
      </c>
      <c r="K347" s="1" t="str">
        <f t="shared" si="4"/>
        <v>#N/A</v>
      </c>
      <c r="L347" s="1" t="str">
        <f>IFERROR(VLOOKUP($K347,Players!$D:$E,2,FALSE),VLOOKUP($H347,Players!A:E,5,FALSE))</f>
        <v>RB</v>
      </c>
    </row>
    <row r="348" ht="15.75" customHeight="1">
      <c r="A348" s="1">
        <v>2020.0</v>
      </c>
      <c r="B348" s="1" t="s">
        <v>35</v>
      </c>
      <c r="C348" s="1" t="s">
        <v>10</v>
      </c>
      <c r="D348" s="8">
        <v>9.0</v>
      </c>
      <c r="E348" s="8" t="str">
        <f t="shared" si="1"/>
        <v>Non-Playoff Team</v>
      </c>
      <c r="F348" s="8">
        <v>2.0</v>
      </c>
      <c r="G348" s="8">
        <v>13.0</v>
      </c>
      <c r="H348" s="1" t="s">
        <v>219</v>
      </c>
      <c r="I348" s="1" t="str">
        <f t="shared" si="2"/>
        <v>Miles</v>
      </c>
      <c r="J348" s="1" t="str">
        <f t="shared" si="3"/>
        <v>Sanders</v>
      </c>
      <c r="K348" s="1" t="str">
        <f t="shared" si="4"/>
        <v>#N/A</v>
      </c>
      <c r="L348" s="1" t="str">
        <f>IFERROR(VLOOKUP($K348,Players!$D:$E,2,FALSE),VLOOKUP($H348,Players!A:E,5,FALSE))</f>
        <v>RB</v>
      </c>
    </row>
    <row r="349" ht="15.75" customHeight="1">
      <c r="A349" s="1">
        <v>2020.0</v>
      </c>
      <c r="B349" s="1" t="s">
        <v>35</v>
      </c>
      <c r="C349" s="1" t="s">
        <v>10</v>
      </c>
      <c r="D349" s="8">
        <v>9.0</v>
      </c>
      <c r="E349" s="8" t="str">
        <f t="shared" si="1"/>
        <v>Non-Playoff Team</v>
      </c>
      <c r="F349" s="8">
        <v>3.0</v>
      </c>
      <c r="G349" s="8">
        <v>36.0</v>
      </c>
      <c r="H349" s="1" t="s">
        <v>435</v>
      </c>
      <c r="I349" s="1" t="str">
        <f t="shared" si="2"/>
        <v>JuJu</v>
      </c>
      <c r="J349" s="1" t="str">
        <f t="shared" si="3"/>
        <v>Smith-Schuster</v>
      </c>
      <c r="K349" s="1" t="str">
        <f t="shared" si="4"/>
        <v>#N/A</v>
      </c>
      <c r="L349" s="1" t="str">
        <f>IFERROR(VLOOKUP($K349,Players!$D:$E,2,FALSE),VLOOKUP($H349,Players!A:E,5,FALSE))</f>
        <v>WR</v>
      </c>
    </row>
    <row r="350" ht="15.75" customHeight="1">
      <c r="A350" s="1">
        <v>2020.0</v>
      </c>
      <c r="B350" s="1" t="s">
        <v>35</v>
      </c>
      <c r="C350" s="1" t="s">
        <v>10</v>
      </c>
      <c r="D350" s="8">
        <v>9.0</v>
      </c>
      <c r="E350" s="8" t="str">
        <f t="shared" si="1"/>
        <v>Non-Playoff Team</v>
      </c>
      <c r="F350" s="8">
        <v>4.0</v>
      </c>
      <c r="G350" s="8">
        <v>37.0</v>
      </c>
      <c r="H350" s="1" t="s">
        <v>819</v>
      </c>
      <c r="I350" s="1" t="str">
        <f t="shared" si="2"/>
        <v>Zach</v>
      </c>
      <c r="J350" s="1" t="str">
        <f t="shared" si="3"/>
        <v>Ertz</v>
      </c>
      <c r="K350" s="1" t="str">
        <f t="shared" si="4"/>
        <v>#N/A</v>
      </c>
      <c r="L350" s="1" t="str">
        <f>IFERROR(VLOOKUP($K350,Players!$D:$E,2,FALSE),VLOOKUP($H350,Players!A:E,5,FALSE))</f>
        <v>TE</v>
      </c>
    </row>
    <row r="351" ht="15.75" customHeight="1">
      <c r="A351" s="1">
        <v>2020.0</v>
      </c>
      <c r="B351" s="1" t="s">
        <v>35</v>
      </c>
      <c r="C351" s="1" t="s">
        <v>10</v>
      </c>
      <c r="D351" s="8">
        <v>9.0</v>
      </c>
      <c r="E351" s="8" t="str">
        <f t="shared" si="1"/>
        <v>Non-Playoff Team</v>
      </c>
      <c r="F351" s="8">
        <v>5.0</v>
      </c>
      <c r="G351" s="8">
        <v>60.0</v>
      </c>
      <c r="H351" s="1" t="s">
        <v>113</v>
      </c>
      <c r="I351" s="1" t="str">
        <f t="shared" si="2"/>
        <v>Kareem</v>
      </c>
      <c r="J351" s="1" t="str">
        <f t="shared" si="3"/>
        <v>Hunt</v>
      </c>
      <c r="K351" s="1" t="str">
        <f t="shared" si="4"/>
        <v>#N/A</v>
      </c>
      <c r="L351" s="1" t="str">
        <f>IFERROR(VLOOKUP($K351,Players!$D:$E,2,FALSE),VLOOKUP($H351,Players!A:E,5,FALSE))</f>
        <v>RB</v>
      </c>
    </row>
    <row r="352" ht="15.75" customHeight="1">
      <c r="A352" s="1">
        <v>2020.0</v>
      </c>
      <c r="B352" s="1" t="s">
        <v>35</v>
      </c>
      <c r="C352" s="1" t="s">
        <v>10</v>
      </c>
      <c r="D352" s="8">
        <v>9.0</v>
      </c>
      <c r="E352" s="8" t="str">
        <f t="shared" si="1"/>
        <v>Non-Playoff Team</v>
      </c>
      <c r="F352" s="8">
        <v>6.0</v>
      </c>
      <c r="G352" s="8">
        <v>61.0</v>
      </c>
      <c r="H352" s="1" t="s">
        <v>822</v>
      </c>
      <c r="I352" s="1" t="str">
        <f t="shared" si="2"/>
        <v>TY</v>
      </c>
      <c r="J352" s="1" t="str">
        <f t="shared" si="3"/>
        <v>Hilton</v>
      </c>
      <c r="K352" s="1" t="str">
        <f t="shared" si="4"/>
        <v>#N/A</v>
      </c>
      <c r="L352" s="1" t="str">
        <f>IFERROR(VLOOKUP($K352,Players!$D:$E,2,FALSE),VLOOKUP($H352,Players!A:E,5,FALSE))</f>
        <v>WR</v>
      </c>
    </row>
    <row r="353" ht="15.75" customHeight="1">
      <c r="A353" s="1">
        <v>2020.0</v>
      </c>
      <c r="B353" s="1" t="s">
        <v>35</v>
      </c>
      <c r="C353" s="1" t="s">
        <v>10</v>
      </c>
      <c r="D353" s="8">
        <v>9.0</v>
      </c>
      <c r="E353" s="8" t="str">
        <f t="shared" si="1"/>
        <v>Non-Playoff Team</v>
      </c>
      <c r="F353" s="8">
        <v>7.0</v>
      </c>
      <c r="G353" s="8">
        <v>84.0</v>
      </c>
      <c r="H353" s="1" t="s">
        <v>148</v>
      </c>
      <c r="I353" s="1" t="str">
        <f t="shared" si="2"/>
        <v>Zack</v>
      </c>
      <c r="J353" s="1" t="str">
        <f t="shared" si="3"/>
        <v>Moss</v>
      </c>
      <c r="K353" s="1" t="str">
        <f t="shared" si="4"/>
        <v>#N/A</v>
      </c>
      <c r="L353" s="1" t="str">
        <f>IFERROR(VLOOKUP($K353,Players!$D:$E,2,FALSE),VLOOKUP($H353,Players!A:E,5,FALSE))</f>
        <v>RB</v>
      </c>
    </row>
    <row r="354" ht="15.75" customHeight="1">
      <c r="A354" s="1">
        <v>2020.0</v>
      </c>
      <c r="B354" s="1" t="s">
        <v>35</v>
      </c>
      <c r="C354" s="1" t="s">
        <v>10</v>
      </c>
      <c r="D354" s="8">
        <v>9.0</v>
      </c>
      <c r="E354" s="8" t="str">
        <f t="shared" si="1"/>
        <v>Non-Playoff Team</v>
      </c>
      <c r="F354" s="8">
        <v>8.0</v>
      </c>
      <c r="G354" s="8">
        <v>85.0</v>
      </c>
      <c r="H354" s="1" t="s">
        <v>98</v>
      </c>
      <c r="I354" s="1" t="str">
        <f t="shared" si="2"/>
        <v>Deebo</v>
      </c>
      <c r="J354" s="1" t="str">
        <f t="shared" si="3"/>
        <v>Samuel</v>
      </c>
      <c r="K354" s="1" t="str">
        <f t="shared" si="4"/>
        <v>#N/A</v>
      </c>
      <c r="L354" s="1" t="str">
        <f>IFERROR(VLOOKUP($K354,Players!$D:$E,2,FALSE),VLOOKUP($H354,Players!A:E,5,FALSE))</f>
        <v>WR</v>
      </c>
    </row>
    <row r="355" ht="15.75" customHeight="1">
      <c r="A355" s="1">
        <v>2020.0</v>
      </c>
      <c r="B355" s="1" t="s">
        <v>35</v>
      </c>
      <c r="C355" s="1" t="s">
        <v>10</v>
      </c>
      <c r="D355" s="8">
        <v>9.0</v>
      </c>
      <c r="E355" s="8" t="str">
        <f t="shared" si="1"/>
        <v>Non-Playoff Team</v>
      </c>
      <c r="F355" s="8">
        <v>9.0</v>
      </c>
      <c r="G355" s="8">
        <v>108.0</v>
      </c>
      <c r="H355" s="1" t="s">
        <v>267</v>
      </c>
      <c r="I355" s="1" t="str">
        <f t="shared" si="2"/>
        <v>Tom</v>
      </c>
      <c r="J355" s="1" t="str">
        <f t="shared" si="3"/>
        <v>Brady</v>
      </c>
      <c r="K355" s="1" t="str">
        <f t="shared" si="4"/>
        <v>#N/A</v>
      </c>
      <c r="L355" s="1" t="str">
        <f>IFERROR(VLOOKUP($K355,Players!$D:$E,2,FALSE),VLOOKUP($H355,Players!A:E,5,FALSE))</f>
        <v>QB</v>
      </c>
    </row>
    <row r="356" ht="15.75" customHeight="1">
      <c r="A356" s="1">
        <v>2020.0</v>
      </c>
      <c r="B356" s="1" t="s">
        <v>35</v>
      </c>
      <c r="C356" s="1" t="s">
        <v>10</v>
      </c>
      <c r="D356" s="8">
        <v>9.0</v>
      </c>
      <c r="E356" s="8" t="str">
        <f t="shared" si="1"/>
        <v>Non-Playoff Team</v>
      </c>
      <c r="F356" s="8">
        <v>10.0</v>
      </c>
      <c r="G356" s="8">
        <v>109.0</v>
      </c>
      <c r="H356" s="1" t="s">
        <v>830</v>
      </c>
      <c r="I356" s="1" t="str">
        <f t="shared" si="2"/>
        <v>Hayden</v>
      </c>
      <c r="J356" s="1" t="str">
        <f t="shared" si="3"/>
        <v>Hurst</v>
      </c>
      <c r="K356" s="1" t="str">
        <f t="shared" si="4"/>
        <v>#N/A</v>
      </c>
      <c r="L356" s="1" t="str">
        <f>IFERROR(VLOOKUP($K356,Players!$D:$E,2,FALSE),VLOOKUP($H356,Players!A:E,5,FALSE))</f>
        <v>TE</v>
      </c>
    </row>
    <row r="357" ht="15.75" customHeight="1">
      <c r="A357" s="1">
        <v>2020.0</v>
      </c>
      <c r="B357" s="1" t="s">
        <v>35</v>
      </c>
      <c r="C357" s="1" t="s">
        <v>10</v>
      </c>
      <c r="D357" s="8">
        <v>9.0</v>
      </c>
      <c r="E357" s="8" t="str">
        <f t="shared" si="1"/>
        <v>Non-Playoff Team</v>
      </c>
      <c r="F357" s="8">
        <v>11.0</v>
      </c>
      <c r="G357" s="8">
        <v>132.0</v>
      </c>
      <c r="H357" s="1" t="s">
        <v>818</v>
      </c>
      <c r="I357" s="1" t="str">
        <f t="shared" si="2"/>
        <v>Christian</v>
      </c>
      <c r="J357" s="1" t="str">
        <f t="shared" si="3"/>
        <v>Kirk</v>
      </c>
      <c r="K357" s="1" t="str">
        <f t="shared" si="4"/>
        <v>#N/A</v>
      </c>
      <c r="L357" s="1" t="str">
        <f>IFERROR(VLOOKUP($K357,Players!$D:$E,2,FALSE),VLOOKUP($H357,Players!A:E,5,FALSE))</f>
        <v>WR</v>
      </c>
    </row>
    <row r="358" ht="15.75" customHeight="1">
      <c r="A358" s="1">
        <v>2020.0</v>
      </c>
      <c r="B358" s="1" t="s">
        <v>35</v>
      </c>
      <c r="C358" s="1" t="s">
        <v>10</v>
      </c>
      <c r="D358" s="8">
        <v>9.0</v>
      </c>
      <c r="E358" s="8" t="str">
        <f t="shared" si="1"/>
        <v>Non-Playoff Team</v>
      </c>
      <c r="F358" s="8">
        <v>12.0</v>
      </c>
      <c r="G358" s="8">
        <v>133.0</v>
      </c>
      <c r="H358" s="1" t="s">
        <v>407</v>
      </c>
      <c r="I358" s="1" t="str">
        <f t="shared" si="2"/>
        <v>#VALUE!</v>
      </c>
      <c r="J358" s="1" t="str">
        <f t="shared" si="3"/>
        <v>#VALUE!</v>
      </c>
      <c r="K358" s="1" t="str">
        <f t="shared" si="4"/>
        <v>#N/A</v>
      </c>
      <c r="L358" s="1" t="str">
        <f>IFERROR(VLOOKUP($K358,Players!$D:$E,2,FALSE),VLOOKUP($H358,Players!A:E,5,FALSE))</f>
        <v>DEF</v>
      </c>
    </row>
    <row r="359" ht="15.75" customHeight="1">
      <c r="A359" s="1">
        <v>2020.0</v>
      </c>
      <c r="B359" s="1" t="s">
        <v>35</v>
      </c>
      <c r="C359" s="1" t="s">
        <v>10</v>
      </c>
      <c r="D359" s="8">
        <v>9.0</v>
      </c>
      <c r="E359" s="8" t="str">
        <f t="shared" si="1"/>
        <v>Non-Playoff Team</v>
      </c>
      <c r="F359" s="8">
        <v>13.0</v>
      </c>
      <c r="G359" s="8">
        <v>156.0</v>
      </c>
      <c r="H359" s="1" t="s">
        <v>504</v>
      </c>
      <c r="I359" s="1" t="str">
        <f t="shared" si="2"/>
        <v>Boston</v>
      </c>
      <c r="J359" s="1" t="str">
        <f t="shared" si="3"/>
        <v>Scott</v>
      </c>
      <c r="K359" s="1" t="str">
        <f t="shared" si="4"/>
        <v>#N/A</v>
      </c>
      <c r="L359" s="1" t="str">
        <f>IFERROR(VLOOKUP($K359,Players!$D:$E,2,FALSE),VLOOKUP($H359,Players!A:E,5,FALSE))</f>
        <v>RB</v>
      </c>
    </row>
    <row r="360" ht="15.75" customHeight="1">
      <c r="A360" s="1">
        <v>2020.0</v>
      </c>
      <c r="B360" s="1" t="s">
        <v>35</v>
      </c>
      <c r="C360" s="1" t="s">
        <v>10</v>
      </c>
      <c r="D360" s="8">
        <v>9.0</v>
      </c>
      <c r="E360" s="8" t="str">
        <f t="shared" si="1"/>
        <v>Non-Playoff Team</v>
      </c>
      <c r="F360" s="8">
        <v>14.0</v>
      </c>
      <c r="G360" s="8">
        <v>157.0</v>
      </c>
      <c r="H360" s="1" t="s">
        <v>835</v>
      </c>
      <c r="I360" s="1" t="str">
        <f t="shared" si="2"/>
        <v>Sammy</v>
      </c>
      <c r="J360" s="1" t="str">
        <f t="shared" si="3"/>
        <v>Watkins</v>
      </c>
      <c r="K360" s="1" t="str">
        <f t="shared" si="4"/>
        <v>#N/A</v>
      </c>
      <c r="L360" s="1" t="str">
        <f>IFERROR(VLOOKUP($K360,Players!$D:$E,2,FALSE),VLOOKUP($H360,Players!A:E,5,FALSE))</f>
        <v>WR</v>
      </c>
    </row>
    <row r="361" ht="15.75" customHeight="1">
      <c r="A361" s="1">
        <v>2020.0</v>
      </c>
      <c r="B361" s="1" t="s">
        <v>35</v>
      </c>
      <c r="C361" s="1" t="s">
        <v>10</v>
      </c>
      <c r="D361" s="8">
        <v>9.0</v>
      </c>
      <c r="E361" s="8" t="str">
        <f t="shared" si="1"/>
        <v>Non-Playoff Team</v>
      </c>
      <c r="F361" s="8">
        <v>15.0</v>
      </c>
      <c r="G361" s="8">
        <v>180.0</v>
      </c>
      <c r="H361" s="1" t="s">
        <v>249</v>
      </c>
      <c r="I361" s="1" t="str">
        <f t="shared" si="2"/>
        <v>Younghoe</v>
      </c>
      <c r="J361" s="1" t="str">
        <f t="shared" si="3"/>
        <v>Koo</v>
      </c>
      <c r="K361" s="1" t="str">
        <f t="shared" si="4"/>
        <v>#N/A</v>
      </c>
      <c r="L361" s="1" t="str">
        <f>IFERROR(VLOOKUP($K361,Players!$D:$E,2,FALSE),VLOOKUP($H361,Players!A:E,5,FALSE))</f>
        <v>K</v>
      </c>
    </row>
    <row r="362" ht="15.75" customHeight="1">
      <c r="A362" s="1">
        <v>2019.0</v>
      </c>
      <c r="B362" s="1" t="s">
        <v>32</v>
      </c>
      <c r="C362" s="1" t="s">
        <v>25</v>
      </c>
      <c r="D362" s="8">
        <v>3.0</v>
      </c>
      <c r="E362" s="8" t="str">
        <f t="shared" si="1"/>
        <v>Playoff Team</v>
      </c>
      <c r="F362" s="8">
        <v>1.0</v>
      </c>
      <c r="G362" s="8">
        <v>7.0</v>
      </c>
      <c r="H362" s="1" t="s">
        <v>85</v>
      </c>
      <c r="I362" s="1" t="str">
        <f t="shared" si="2"/>
        <v>James</v>
      </c>
      <c r="J362" s="1" t="str">
        <f t="shared" si="3"/>
        <v>Conner</v>
      </c>
      <c r="K362" s="1" t="str">
        <f t="shared" si="4"/>
        <v>#N/A</v>
      </c>
      <c r="L362" s="1" t="str">
        <f>IFERROR(VLOOKUP($K362,Players!$D:$E,2,FALSE),VLOOKUP($H362,Players!A:E,5,FALSE))</f>
        <v>RB</v>
      </c>
    </row>
    <row r="363" ht="15.75" customHeight="1">
      <c r="A363" s="1">
        <v>2019.0</v>
      </c>
      <c r="B363" s="1" t="s">
        <v>32</v>
      </c>
      <c r="C363" s="1" t="s">
        <v>25</v>
      </c>
      <c r="D363" s="8">
        <v>3.0</v>
      </c>
      <c r="E363" s="8" t="str">
        <f t="shared" si="1"/>
        <v>Playoff Team</v>
      </c>
      <c r="F363" s="8">
        <v>2.0</v>
      </c>
      <c r="G363" s="8">
        <v>18.0</v>
      </c>
      <c r="H363" s="1" t="s">
        <v>339</v>
      </c>
      <c r="I363" s="1" t="str">
        <f t="shared" si="2"/>
        <v>Tyreek</v>
      </c>
      <c r="J363" s="1" t="str">
        <f t="shared" si="3"/>
        <v>Hill</v>
      </c>
      <c r="K363" s="1" t="str">
        <f t="shared" si="4"/>
        <v>#N/A</v>
      </c>
      <c r="L363" s="1" t="str">
        <f>IFERROR(VLOOKUP($K363,Players!$D:$E,2,FALSE),VLOOKUP($H363,Players!A:E,5,FALSE))</f>
        <v>WR</v>
      </c>
    </row>
    <row r="364" ht="15.75" customHeight="1">
      <c r="A364" s="1">
        <v>2019.0</v>
      </c>
      <c r="B364" s="1" t="s">
        <v>32</v>
      </c>
      <c r="C364" s="1" t="s">
        <v>25</v>
      </c>
      <c r="D364" s="8">
        <v>3.0</v>
      </c>
      <c r="E364" s="8" t="str">
        <f t="shared" si="1"/>
        <v>Playoff Team</v>
      </c>
      <c r="F364" s="8">
        <v>3.0</v>
      </c>
      <c r="G364" s="8">
        <v>31.0</v>
      </c>
      <c r="H364" s="1" t="s">
        <v>618</v>
      </c>
      <c r="I364" s="1" t="str">
        <f t="shared" si="2"/>
        <v>Julian</v>
      </c>
      <c r="J364" s="1" t="str">
        <f t="shared" si="3"/>
        <v>Edelman</v>
      </c>
      <c r="K364" s="1" t="str">
        <f t="shared" si="4"/>
        <v>#N/A</v>
      </c>
      <c r="L364" s="1" t="str">
        <f>IFERROR(VLOOKUP($K364,Players!$D:$E,2,FALSE),VLOOKUP($H364,Players!A:E,5,FALSE))</f>
        <v>WR</v>
      </c>
    </row>
    <row r="365" ht="15.75" customHeight="1">
      <c r="A365" s="1">
        <v>2019.0</v>
      </c>
      <c r="B365" s="1" t="s">
        <v>32</v>
      </c>
      <c r="C365" s="1" t="s">
        <v>25</v>
      </c>
      <c r="D365" s="8">
        <v>3.0</v>
      </c>
      <c r="E365" s="8" t="str">
        <f t="shared" si="1"/>
        <v>Playoff Team</v>
      </c>
      <c r="F365" s="8">
        <v>4.0</v>
      </c>
      <c r="G365" s="8">
        <v>42.0</v>
      </c>
      <c r="H365" s="1" t="s">
        <v>841</v>
      </c>
      <c r="I365" s="1" t="str">
        <f t="shared" si="2"/>
        <v>Devonta</v>
      </c>
      <c r="J365" s="1" t="str">
        <f t="shared" si="3"/>
        <v>Freeman</v>
      </c>
      <c r="K365" s="1" t="str">
        <f t="shared" si="4"/>
        <v>#N/A</v>
      </c>
      <c r="L365" s="1" t="str">
        <f>IFERROR(VLOOKUP($K365,Players!$D:$E,2,FALSE),VLOOKUP($H365,Players!A:E,5,FALSE))</f>
        <v>RB</v>
      </c>
    </row>
    <row r="366" ht="15.75" customHeight="1">
      <c r="A366" s="1">
        <v>2019.0</v>
      </c>
      <c r="B366" s="1" t="s">
        <v>32</v>
      </c>
      <c r="C366" s="1" t="s">
        <v>25</v>
      </c>
      <c r="D366" s="8">
        <v>3.0</v>
      </c>
      <c r="E366" s="8" t="str">
        <f t="shared" si="1"/>
        <v>Playoff Team</v>
      </c>
      <c r="F366" s="8">
        <v>5.0</v>
      </c>
      <c r="G366" s="8">
        <v>55.0</v>
      </c>
      <c r="H366" s="1" t="s">
        <v>498</v>
      </c>
      <c r="I366" s="1" t="str">
        <f t="shared" si="2"/>
        <v>Duke</v>
      </c>
      <c r="J366" s="1" t="str">
        <f t="shared" si="3"/>
        <v>Johnson</v>
      </c>
      <c r="K366" s="1" t="str">
        <f t="shared" si="4"/>
        <v>#N/A</v>
      </c>
      <c r="L366" s="1" t="str">
        <f>IFERROR(VLOOKUP($K366,Players!$D:$E,2,FALSE),VLOOKUP($H366,Players!A:E,5,FALSE))</f>
        <v>RB</v>
      </c>
    </row>
    <row r="367" ht="15.75" customHeight="1">
      <c r="A367" s="1">
        <v>2019.0</v>
      </c>
      <c r="B367" s="1" t="s">
        <v>32</v>
      </c>
      <c r="C367" s="1" t="s">
        <v>25</v>
      </c>
      <c r="D367" s="8">
        <v>3.0</v>
      </c>
      <c r="E367" s="8" t="str">
        <f t="shared" si="1"/>
        <v>Playoff Team</v>
      </c>
      <c r="F367" s="8">
        <v>6.0</v>
      </c>
      <c r="G367" s="8">
        <v>66.0</v>
      </c>
      <c r="H367" s="1" t="s">
        <v>111</v>
      </c>
      <c r="I367" s="1" t="str">
        <f t="shared" si="2"/>
        <v>DJ</v>
      </c>
      <c r="J367" s="1" t="str">
        <f t="shared" si="3"/>
        <v>Moore</v>
      </c>
      <c r="K367" s="1" t="str">
        <f t="shared" si="4"/>
        <v>#N/A</v>
      </c>
      <c r="L367" s="1" t="str">
        <f>IFERROR(VLOOKUP($K367,Players!$D:$E,2,FALSE),VLOOKUP($H367,Players!A:E,5,FALSE))</f>
        <v>#N/A</v>
      </c>
    </row>
    <row r="368" ht="15.75" customHeight="1">
      <c r="A368" s="1">
        <v>2019.0</v>
      </c>
      <c r="B368" s="1" t="s">
        <v>32</v>
      </c>
      <c r="C368" s="1" t="s">
        <v>25</v>
      </c>
      <c r="D368" s="8">
        <v>3.0</v>
      </c>
      <c r="E368" s="8" t="str">
        <f t="shared" si="1"/>
        <v>Playoff Team</v>
      </c>
      <c r="F368" s="8">
        <v>7.0</v>
      </c>
      <c r="G368" s="8">
        <v>79.0</v>
      </c>
      <c r="H368" s="1" t="s">
        <v>741</v>
      </c>
      <c r="I368" s="1" t="str">
        <f t="shared" si="2"/>
        <v>Emmanuel</v>
      </c>
      <c r="J368" s="1" t="str">
        <f t="shared" si="3"/>
        <v>Sanders</v>
      </c>
      <c r="K368" s="1" t="str">
        <f t="shared" si="4"/>
        <v>#N/A</v>
      </c>
      <c r="L368" s="1" t="str">
        <f>IFERROR(VLOOKUP($K368,Players!$D:$E,2,FALSE),VLOOKUP($H368,Players!A:E,5,FALSE))</f>
        <v>WR</v>
      </c>
    </row>
    <row r="369" ht="15.75" customHeight="1">
      <c r="A369" s="1">
        <v>2019.0</v>
      </c>
      <c r="B369" s="1" t="s">
        <v>32</v>
      </c>
      <c r="C369" s="1" t="s">
        <v>25</v>
      </c>
      <c r="D369" s="8">
        <v>3.0</v>
      </c>
      <c r="E369" s="8" t="str">
        <f t="shared" si="1"/>
        <v>Playoff Team</v>
      </c>
      <c r="F369" s="8">
        <v>8.0</v>
      </c>
      <c r="G369" s="8">
        <v>90.0</v>
      </c>
      <c r="H369" s="1" t="s">
        <v>714</v>
      </c>
      <c r="I369" s="1" t="str">
        <f t="shared" si="2"/>
        <v>Drew</v>
      </c>
      <c r="J369" s="1" t="str">
        <f t="shared" si="3"/>
        <v>Brees</v>
      </c>
      <c r="K369" s="1" t="str">
        <f t="shared" si="4"/>
        <v>#N/A</v>
      </c>
      <c r="L369" s="1" t="str">
        <f>IFERROR(VLOOKUP($K369,Players!$D:$E,2,FALSE),VLOOKUP($H369,Players!A:E,5,FALSE))</f>
        <v>QB</v>
      </c>
    </row>
    <row r="370" ht="15.75" customHeight="1">
      <c r="A370" s="1">
        <v>2019.0</v>
      </c>
      <c r="B370" s="1" t="s">
        <v>32</v>
      </c>
      <c r="C370" s="1" t="s">
        <v>25</v>
      </c>
      <c r="D370" s="8">
        <v>3.0</v>
      </c>
      <c r="E370" s="8" t="str">
        <f t="shared" si="1"/>
        <v>Playoff Team</v>
      </c>
      <c r="F370" s="8">
        <v>9.0</v>
      </c>
      <c r="G370" s="8">
        <v>103.0</v>
      </c>
      <c r="H370" s="1" t="s">
        <v>766</v>
      </c>
      <c r="I370" s="1" t="str">
        <f t="shared" si="2"/>
        <v>#VALUE!</v>
      </c>
      <c r="J370" s="1" t="str">
        <f t="shared" si="3"/>
        <v>#VALUE!</v>
      </c>
      <c r="K370" s="1" t="str">
        <f t="shared" si="4"/>
        <v>#N/A</v>
      </c>
      <c r="L370" s="1" t="str">
        <f>IFERROR(VLOOKUP($K370,Players!$D:$E,2,FALSE),VLOOKUP($H370,Players!A:E,5,FALSE))</f>
        <v>DEF</v>
      </c>
    </row>
    <row r="371" ht="15.75" customHeight="1">
      <c r="A371" s="1">
        <v>2019.0</v>
      </c>
      <c r="B371" s="1" t="s">
        <v>32</v>
      </c>
      <c r="C371" s="1" t="s">
        <v>25</v>
      </c>
      <c r="D371" s="8">
        <v>3.0</v>
      </c>
      <c r="E371" s="8" t="str">
        <f t="shared" si="1"/>
        <v>Playoff Team</v>
      </c>
      <c r="F371" s="8">
        <v>10.0</v>
      </c>
      <c r="G371" s="8">
        <v>114.0</v>
      </c>
      <c r="H371" s="1" t="s">
        <v>854</v>
      </c>
      <c r="I371" s="1" t="str">
        <f t="shared" si="2"/>
        <v>Trey</v>
      </c>
      <c r="J371" s="1" t="str">
        <f t="shared" si="3"/>
        <v>Burton</v>
      </c>
      <c r="K371" s="1" t="str">
        <f t="shared" si="4"/>
        <v>#N/A</v>
      </c>
      <c r="L371" s="1" t="str">
        <f>IFERROR(VLOOKUP($K371,Players!$D:$E,2,FALSE),VLOOKUP($H371,Players!A:E,5,FALSE))</f>
        <v>TE</v>
      </c>
    </row>
    <row r="372" ht="15.75" customHeight="1">
      <c r="A372" s="1">
        <v>2019.0</v>
      </c>
      <c r="B372" s="1" t="s">
        <v>32</v>
      </c>
      <c r="C372" s="1" t="s">
        <v>25</v>
      </c>
      <c r="D372" s="8">
        <v>3.0</v>
      </c>
      <c r="E372" s="8" t="str">
        <f t="shared" si="1"/>
        <v>Playoff Team</v>
      </c>
      <c r="F372" s="8">
        <v>11.0</v>
      </c>
      <c r="G372" s="8">
        <v>127.0</v>
      </c>
      <c r="H372" s="1" t="s">
        <v>857</v>
      </c>
      <c r="I372" s="1" t="str">
        <f t="shared" si="2"/>
        <v>Ito</v>
      </c>
      <c r="J372" s="1" t="str">
        <f t="shared" si="3"/>
        <v>Smith</v>
      </c>
      <c r="K372" s="1" t="str">
        <f t="shared" si="4"/>
        <v>#N/A</v>
      </c>
      <c r="L372" s="1" t="str">
        <f>IFERROR(VLOOKUP($K372,Players!$D:$E,2,FALSE),VLOOKUP($H372,Players!A:E,5,FALSE))</f>
        <v>RB</v>
      </c>
    </row>
    <row r="373" ht="15.75" customHeight="1">
      <c r="A373" s="1">
        <v>2019.0</v>
      </c>
      <c r="B373" s="1" t="s">
        <v>32</v>
      </c>
      <c r="C373" s="1" t="s">
        <v>25</v>
      </c>
      <c r="D373" s="8">
        <v>3.0</v>
      </c>
      <c r="E373" s="8" t="str">
        <f t="shared" si="1"/>
        <v>Playoff Team</v>
      </c>
      <c r="F373" s="8">
        <v>12.0</v>
      </c>
      <c r="G373" s="8">
        <v>138.0</v>
      </c>
      <c r="H373" s="1" t="s">
        <v>288</v>
      </c>
      <c r="I373" s="1" t="str">
        <f t="shared" si="2"/>
        <v>Greg</v>
      </c>
      <c r="J373" s="1" t="str">
        <f t="shared" si="3"/>
        <v>Zuerlein</v>
      </c>
      <c r="K373" s="1" t="str">
        <f t="shared" si="4"/>
        <v>#N/A</v>
      </c>
      <c r="L373" s="1" t="str">
        <f>IFERROR(VLOOKUP($K373,Players!$D:$E,2,FALSE),VLOOKUP($H373,Players!A:E,5,FALSE))</f>
        <v>K</v>
      </c>
    </row>
    <row r="374" ht="15.75" customHeight="1">
      <c r="A374" s="1">
        <v>2019.0</v>
      </c>
      <c r="B374" s="1" t="s">
        <v>32</v>
      </c>
      <c r="C374" s="1" t="s">
        <v>25</v>
      </c>
      <c r="D374" s="8">
        <v>3.0</v>
      </c>
      <c r="E374" s="8" t="str">
        <f t="shared" si="1"/>
        <v>Playoff Team</v>
      </c>
      <c r="F374" s="8">
        <v>13.0</v>
      </c>
      <c r="G374" s="8">
        <v>151.0</v>
      </c>
      <c r="H374" s="1" t="s">
        <v>862</v>
      </c>
      <c r="I374" s="1" t="str">
        <f t="shared" si="2"/>
        <v>Philip</v>
      </c>
      <c r="J374" s="1" t="str">
        <f t="shared" si="3"/>
        <v>Rivers</v>
      </c>
      <c r="K374" s="1" t="str">
        <f t="shared" si="4"/>
        <v>#N/A</v>
      </c>
      <c r="L374" s="1" t="str">
        <f>IFERROR(VLOOKUP($K374,Players!$D:$E,2,FALSE),VLOOKUP($H374,Players!A:E,5,FALSE))</f>
        <v>QB</v>
      </c>
    </row>
    <row r="375" ht="15.75" customHeight="1">
      <c r="A375" s="1">
        <v>2019.0</v>
      </c>
      <c r="B375" s="1" t="s">
        <v>32</v>
      </c>
      <c r="C375" s="1" t="s">
        <v>25</v>
      </c>
      <c r="D375" s="8">
        <v>3.0</v>
      </c>
      <c r="E375" s="8" t="str">
        <f t="shared" si="1"/>
        <v>Playoff Team</v>
      </c>
      <c r="F375" s="8">
        <v>14.0</v>
      </c>
      <c r="G375" s="8">
        <v>162.0</v>
      </c>
      <c r="H375" s="1" t="s">
        <v>864</v>
      </c>
      <c r="I375" s="1" t="str">
        <f t="shared" si="2"/>
        <v>Mohamed</v>
      </c>
      <c r="J375" s="1" t="str">
        <f t="shared" si="3"/>
        <v>Sanu Sr</v>
      </c>
      <c r="K375" s="1" t="str">
        <f t="shared" si="4"/>
        <v>#N/A</v>
      </c>
      <c r="L375" s="1" t="str">
        <f>IFERROR(VLOOKUP($K375,Players!$D:$E,2,FALSE),VLOOKUP($H375,Players!A:E,5,FALSE))</f>
        <v>#N/A</v>
      </c>
    </row>
    <row r="376" ht="15.75" customHeight="1">
      <c r="A376" s="1">
        <v>2019.0</v>
      </c>
      <c r="B376" s="1" t="s">
        <v>32</v>
      </c>
      <c r="C376" s="1" t="s">
        <v>25</v>
      </c>
      <c r="D376" s="8">
        <v>3.0</v>
      </c>
      <c r="E376" s="8" t="str">
        <f t="shared" si="1"/>
        <v>Playoff Team</v>
      </c>
      <c r="F376" s="8">
        <v>15.0</v>
      </c>
      <c r="G376" s="8">
        <v>175.0</v>
      </c>
      <c r="H376" s="1" t="s">
        <v>867</v>
      </c>
      <c r="I376" s="1" t="str">
        <f t="shared" si="2"/>
        <v>Mark</v>
      </c>
      <c r="J376" s="1" t="str">
        <f t="shared" si="3"/>
        <v>Andrews</v>
      </c>
      <c r="K376" s="1" t="str">
        <f t="shared" si="4"/>
        <v>#N/A</v>
      </c>
      <c r="L376" s="1" t="str">
        <f>IFERROR(VLOOKUP($K376,Players!$D:$E,2,FALSE),VLOOKUP($H376,Players!A:E,5,FALSE))</f>
        <v>#N/A</v>
      </c>
    </row>
    <row r="377" ht="15.75" customHeight="1">
      <c r="A377" s="1">
        <v>2019.0</v>
      </c>
      <c r="B377" s="1" t="s">
        <v>21</v>
      </c>
      <c r="C377" s="1" t="s">
        <v>22</v>
      </c>
      <c r="D377" s="8">
        <v>5.0</v>
      </c>
      <c r="E377" s="8" t="str">
        <f t="shared" si="1"/>
        <v>Playoff Team</v>
      </c>
      <c r="F377" s="8">
        <v>1.0</v>
      </c>
      <c r="G377" s="8">
        <v>6.0</v>
      </c>
      <c r="H377" s="1" t="s">
        <v>133</v>
      </c>
      <c r="I377" s="1" t="str">
        <f t="shared" si="2"/>
        <v>David</v>
      </c>
      <c r="J377" s="1" t="str">
        <f t="shared" si="3"/>
        <v>Johnson</v>
      </c>
      <c r="K377" s="1" t="str">
        <f t="shared" si="4"/>
        <v>#N/A</v>
      </c>
      <c r="L377" s="1" t="str">
        <f>IFERROR(VLOOKUP($K377,Players!$D:$E,2,FALSE),VLOOKUP($H377,Players!A:E,5,FALSE))</f>
        <v>RB</v>
      </c>
    </row>
    <row r="378" ht="15.75" customHeight="1">
      <c r="A378" s="1">
        <v>2019.0</v>
      </c>
      <c r="B378" s="1" t="s">
        <v>21</v>
      </c>
      <c r="C378" s="1" t="s">
        <v>22</v>
      </c>
      <c r="D378" s="8">
        <v>5.0</v>
      </c>
      <c r="E378" s="8" t="str">
        <f t="shared" si="1"/>
        <v>Playoff Team</v>
      </c>
      <c r="F378" s="8">
        <v>2.0</v>
      </c>
      <c r="G378" s="8">
        <v>19.0</v>
      </c>
      <c r="H378" s="1" t="s">
        <v>110</v>
      </c>
      <c r="I378" s="1" t="str">
        <f t="shared" si="2"/>
        <v>Patrick</v>
      </c>
      <c r="J378" s="1" t="str">
        <f t="shared" si="3"/>
        <v>Mahomes</v>
      </c>
      <c r="K378" s="1" t="str">
        <f t="shared" si="4"/>
        <v>#N/A</v>
      </c>
      <c r="L378" s="1" t="str">
        <f>IFERROR(VLOOKUP($K378,Players!$D:$E,2,FALSE),VLOOKUP($H378,Players!A:E,5,FALSE))</f>
        <v>QB</v>
      </c>
    </row>
    <row r="379" ht="15.75" customHeight="1">
      <c r="A379" s="1">
        <v>2019.0</v>
      </c>
      <c r="B379" s="1" t="s">
        <v>21</v>
      </c>
      <c r="C379" s="1" t="s">
        <v>22</v>
      </c>
      <c r="D379" s="8">
        <v>5.0</v>
      </c>
      <c r="E379" s="8" t="str">
        <f t="shared" si="1"/>
        <v>Playoff Team</v>
      </c>
      <c r="F379" s="8">
        <v>3.0</v>
      </c>
      <c r="G379" s="8">
        <v>30.0</v>
      </c>
      <c r="H379" s="1" t="s">
        <v>402</v>
      </c>
      <c r="I379" s="1" t="str">
        <f t="shared" si="2"/>
        <v>Leonard</v>
      </c>
      <c r="J379" s="1" t="str">
        <f t="shared" si="3"/>
        <v>Fournette</v>
      </c>
      <c r="K379" s="1" t="str">
        <f t="shared" si="4"/>
        <v>#N/A</v>
      </c>
      <c r="L379" s="1" t="str">
        <f>IFERROR(VLOOKUP($K379,Players!$D:$E,2,FALSE),VLOOKUP($H379,Players!A:E,5,FALSE))</f>
        <v>RB</v>
      </c>
    </row>
    <row r="380" ht="15.75" customHeight="1">
      <c r="A380" s="1">
        <v>2019.0</v>
      </c>
      <c r="B380" s="1" t="s">
        <v>21</v>
      </c>
      <c r="C380" s="1" t="s">
        <v>22</v>
      </c>
      <c r="D380" s="8">
        <v>5.0</v>
      </c>
      <c r="E380" s="8" t="str">
        <f t="shared" si="1"/>
        <v>Playoff Team</v>
      </c>
      <c r="F380" s="8">
        <v>4.0</v>
      </c>
      <c r="G380" s="8">
        <v>43.0</v>
      </c>
      <c r="H380" s="1" t="s">
        <v>173</v>
      </c>
      <c r="I380" s="1" t="str">
        <f t="shared" si="2"/>
        <v>Chris</v>
      </c>
      <c r="J380" s="1" t="str">
        <f t="shared" si="3"/>
        <v>Godwin</v>
      </c>
      <c r="K380" s="1" t="str">
        <f t="shared" si="4"/>
        <v>#N/A</v>
      </c>
      <c r="L380" s="1" t="str">
        <f>IFERROR(VLOOKUP($K380,Players!$D:$E,2,FALSE),VLOOKUP($H380,Players!A:E,5,FALSE))</f>
        <v>WR</v>
      </c>
    </row>
    <row r="381" ht="15.75" customHeight="1">
      <c r="A381" s="1">
        <v>2019.0</v>
      </c>
      <c r="B381" s="1" t="s">
        <v>21</v>
      </c>
      <c r="C381" s="1" t="s">
        <v>22</v>
      </c>
      <c r="D381" s="8">
        <v>5.0</v>
      </c>
      <c r="E381" s="8" t="str">
        <f t="shared" si="1"/>
        <v>Playoff Team</v>
      </c>
      <c r="F381" s="8">
        <v>5.0</v>
      </c>
      <c r="G381" s="8">
        <v>54.0</v>
      </c>
      <c r="H381" s="1" t="s">
        <v>130</v>
      </c>
      <c r="I381" s="1" t="str">
        <f t="shared" si="2"/>
        <v>Kenny</v>
      </c>
      <c r="J381" s="1" t="str">
        <f t="shared" si="3"/>
        <v>Golladay</v>
      </c>
      <c r="K381" s="1" t="str">
        <f t="shared" si="4"/>
        <v>#N/A</v>
      </c>
      <c r="L381" s="1" t="str">
        <f>IFERROR(VLOOKUP($K381,Players!$D:$E,2,FALSE),VLOOKUP($H381,Players!A:E,5,FALSE))</f>
        <v>WR</v>
      </c>
    </row>
    <row r="382" ht="15.75" customHeight="1">
      <c r="A382" s="1">
        <v>2019.0</v>
      </c>
      <c r="B382" s="1" t="s">
        <v>21</v>
      </c>
      <c r="C382" s="1" t="s">
        <v>22</v>
      </c>
      <c r="D382" s="8">
        <v>5.0</v>
      </c>
      <c r="E382" s="8" t="str">
        <f t="shared" si="1"/>
        <v>Playoff Team</v>
      </c>
      <c r="F382" s="8">
        <v>6.0</v>
      </c>
      <c r="G382" s="8">
        <v>67.0</v>
      </c>
      <c r="H382" s="1" t="s">
        <v>880</v>
      </c>
      <c r="I382" s="1" t="str">
        <f t="shared" si="2"/>
        <v>Derrius</v>
      </c>
      <c r="J382" s="1" t="str">
        <f t="shared" si="3"/>
        <v>Guice</v>
      </c>
      <c r="K382" s="1" t="str">
        <f t="shared" si="4"/>
        <v>#N/A</v>
      </c>
      <c r="L382" s="1" t="str">
        <f>IFERROR(VLOOKUP($K382,Players!$D:$E,2,FALSE),VLOOKUP($H382,Players!A:E,5,FALSE))</f>
        <v>RB</v>
      </c>
    </row>
    <row r="383" ht="15.75" customHeight="1">
      <c r="A383" s="1">
        <v>2019.0</v>
      </c>
      <c r="B383" s="1" t="s">
        <v>21</v>
      </c>
      <c r="C383" s="1" t="s">
        <v>22</v>
      </c>
      <c r="D383" s="8">
        <v>5.0</v>
      </c>
      <c r="E383" s="8" t="str">
        <f t="shared" si="1"/>
        <v>Playoff Team</v>
      </c>
      <c r="F383" s="8">
        <v>7.0</v>
      </c>
      <c r="G383" s="8">
        <v>78.0</v>
      </c>
      <c r="H383" s="1" t="s">
        <v>238</v>
      </c>
      <c r="I383" s="1" t="str">
        <f t="shared" si="2"/>
        <v>Devin</v>
      </c>
      <c r="J383" s="1" t="str">
        <f t="shared" si="3"/>
        <v>Singletary</v>
      </c>
      <c r="K383" s="1" t="str">
        <f t="shared" si="4"/>
        <v>#N/A</v>
      </c>
      <c r="L383" s="1" t="str">
        <f>IFERROR(VLOOKUP($K383,Players!$D:$E,2,FALSE),VLOOKUP($H383,Players!A:E,5,FALSE))</f>
        <v>RB</v>
      </c>
    </row>
    <row r="384" ht="15.75" customHeight="1">
      <c r="A384" s="1">
        <v>2019.0</v>
      </c>
      <c r="B384" s="1" t="s">
        <v>21</v>
      </c>
      <c r="C384" s="1" t="s">
        <v>22</v>
      </c>
      <c r="D384" s="8">
        <v>5.0</v>
      </c>
      <c r="E384" s="8" t="str">
        <f t="shared" si="1"/>
        <v>Playoff Team</v>
      </c>
      <c r="F384" s="8">
        <v>8.0</v>
      </c>
      <c r="G384" s="8">
        <v>91.0</v>
      </c>
      <c r="H384" s="1" t="s">
        <v>273</v>
      </c>
      <c r="I384" s="1" t="str">
        <f t="shared" si="2"/>
        <v>Corey</v>
      </c>
      <c r="J384" s="1" t="str">
        <f t="shared" si="3"/>
        <v>Davis</v>
      </c>
      <c r="K384" s="1" t="str">
        <f t="shared" si="4"/>
        <v>#N/A</v>
      </c>
      <c r="L384" s="1" t="str">
        <f>IFERROR(VLOOKUP($K384,Players!$D:$E,2,FALSE),VLOOKUP($H384,Players!A:E,5,FALSE))</f>
        <v>WR</v>
      </c>
    </row>
    <row r="385" ht="15.75" customHeight="1">
      <c r="A385" s="1">
        <v>2019.0</v>
      </c>
      <c r="B385" s="1" t="s">
        <v>21</v>
      </c>
      <c r="C385" s="1" t="s">
        <v>22</v>
      </c>
      <c r="D385" s="8">
        <v>5.0</v>
      </c>
      <c r="E385" s="8" t="str">
        <f t="shared" si="1"/>
        <v>Playoff Team</v>
      </c>
      <c r="F385" s="8">
        <v>9.0</v>
      </c>
      <c r="G385" s="8">
        <v>102.0</v>
      </c>
      <c r="H385" s="1" t="s">
        <v>196</v>
      </c>
      <c r="I385" s="1" t="str">
        <f t="shared" si="2"/>
        <v>Curtis</v>
      </c>
      <c r="J385" s="1" t="str">
        <f t="shared" si="3"/>
        <v>Samuel</v>
      </c>
      <c r="K385" s="1" t="str">
        <f t="shared" si="4"/>
        <v>#N/A</v>
      </c>
      <c r="L385" s="1" t="str">
        <f>IFERROR(VLOOKUP($K385,Players!$D:$E,2,FALSE),VLOOKUP($H385,Players!A:E,5,FALSE))</f>
        <v>WR</v>
      </c>
    </row>
    <row r="386" ht="15.75" customHeight="1">
      <c r="A386" s="1">
        <v>2019.0</v>
      </c>
      <c r="B386" s="1" t="s">
        <v>21</v>
      </c>
      <c r="C386" s="1" t="s">
        <v>22</v>
      </c>
      <c r="D386" s="8">
        <v>5.0</v>
      </c>
      <c r="E386" s="8" t="str">
        <f t="shared" si="1"/>
        <v>Playoff Team</v>
      </c>
      <c r="F386" s="8">
        <v>10.0</v>
      </c>
      <c r="G386" s="8">
        <v>115.0</v>
      </c>
      <c r="H386" s="1" t="s">
        <v>406</v>
      </c>
      <c r="I386" s="1" t="str">
        <f t="shared" si="2"/>
        <v>Austin</v>
      </c>
      <c r="J386" s="1" t="str">
        <f t="shared" si="3"/>
        <v>Hooper</v>
      </c>
      <c r="K386" s="1" t="str">
        <f t="shared" si="4"/>
        <v>#N/A</v>
      </c>
      <c r="L386" s="1" t="str">
        <f>IFERROR(VLOOKUP($K386,Players!$D:$E,2,FALSE),VLOOKUP($H386,Players!A:E,5,FALSE))</f>
        <v>TE</v>
      </c>
    </row>
    <row r="387" ht="15.75" customHeight="1">
      <c r="A387" s="1">
        <v>2019.0</v>
      </c>
      <c r="B387" s="1" t="s">
        <v>21</v>
      </c>
      <c r="C387" s="1" t="s">
        <v>22</v>
      </c>
      <c r="D387" s="8">
        <v>5.0</v>
      </c>
      <c r="E387" s="8" t="str">
        <f t="shared" si="1"/>
        <v>Playoff Team</v>
      </c>
      <c r="F387" s="8">
        <v>11.0</v>
      </c>
      <c r="G387" s="8">
        <v>126.0</v>
      </c>
      <c r="H387" s="1" t="s">
        <v>216</v>
      </c>
      <c r="I387" s="1" t="str">
        <f t="shared" si="2"/>
        <v>DK</v>
      </c>
      <c r="J387" s="1" t="str">
        <f t="shared" si="3"/>
        <v>Metcalf</v>
      </c>
      <c r="K387" s="1" t="str">
        <f t="shared" si="4"/>
        <v>#N/A</v>
      </c>
      <c r="L387" s="1" t="str">
        <f>IFERROR(VLOOKUP($K387,Players!$D:$E,2,FALSE),VLOOKUP($H387,Players!A:E,5,FALSE))</f>
        <v>#N/A</v>
      </c>
    </row>
    <row r="388" ht="15.75" customHeight="1">
      <c r="A388" s="1">
        <v>2019.0</v>
      </c>
      <c r="B388" s="1" t="s">
        <v>21</v>
      </c>
      <c r="C388" s="1" t="s">
        <v>22</v>
      </c>
      <c r="D388" s="8">
        <v>5.0</v>
      </c>
      <c r="E388" s="8" t="str">
        <f t="shared" si="1"/>
        <v>Playoff Team</v>
      </c>
      <c r="F388" s="8">
        <v>12.0</v>
      </c>
      <c r="G388" s="8">
        <v>139.0</v>
      </c>
      <c r="H388" s="1" t="s">
        <v>891</v>
      </c>
      <c r="I388" s="1" t="str">
        <f t="shared" si="2"/>
        <v>Stephen</v>
      </c>
      <c r="J388" s="1" t="str">
        <f t="shared" si="3"/>
        <v>Gostkowski</v>
      </c>
      <c r="K388" s="1" t="str">
        <f t="shared" si="4"/>
        <v>#N/A</v>
      </c>
      <c r="L388" s="1" t="str">
        <f>IFERROR(VLOOKUP($K388,Players!$D:$E,2,FALSE),VLOOKUP($H388,Players!A:E,5,FALSE))</f>
        <v>K</v>
      </c>
    </row>
    <row r="389" ht="15.75" customHeight="1">
      <c r="A389" s="1">
        <v>2019.0</v>
      </c>
      <c r="B389" s="1" t="s">
        <v>21</v>
      </c>
      <c r="C389" s="1" t="s">
        <v>22</v>
      </c>
      <c r="D389" s="8">
        <v>5.0</v>
      </c>
      <c r="E389" s="8" t="str">
        <f t="shared" si="1"/>
        <v>Playoff Team</v>
      </c>
      <c r="F389" s="8">
        <v>13.0</v>
      </c>
      <c r="G389" s="8">
        <v>150.0</v>
      </c>
      <c r="H389" s="1" t="s">
        <v>573</v>
      </c>
      <c r="I389" s="1" t="str">
        <f t="shared" si="2"/>
        <v>#VALUE!</v>
      </c>
      <c r="J389" s="1" t="str">
        <f t="shared" si="3"/>
        <v>#VALUE!</v>
      </c>
      <c r="K389" s="1" t="str">
        <f t="shared" si="4"/>
        <v>#N/A</v>
      </c>
      <c r="L389" s="1" t="str">
        <f>IFERROR(VLOOKUP($K389,Players!$D:$E,2,FALSE),VLOOKUP($H389,Players!A:E,5,FALSE))</f>
        <v>DEF</v>
      </c>
    </row>
    <row r="390" ht="15.75" customHeight="1">
      <c r="A390" s="1">
        <v>2019.0</v>
      </c>
      <c r="B390" s="1" t="s">
        <v>21</v>
      </c>
      <c r="C390" s="1" t="s">
        <v>22</v>
      </c>
      <c r="D390" s="8">
        <v>5.0</v>
      </c>
      <c r="E390" s="8" t="str">
        <f t="shared" si="1"/>
        <v>Playoff Team</v>
      </c>
      <c r="F390" s="8">
        <v>14.0</v>
      </c>
      <c r="G390" s="8">
        <v>163.0</v>
      </c>
      <c r="H390" s="1" t="s">
        <v>457</v>
      </c>
      <c r="I390" s="1" t="str">
        <f t="shared" si="2"/>
        <v>Ben</v>
      </c>
      <c r="J390" s="1" t="str">
        <f t="shared" si="3"/>
        <v>Roethlisberger</v>
      </c>
      <c r="K390" s="1" t="str">
        <f t="shared" si="4"/>
        <v>#N/A</v>
      </c>
      <c r="L390" s="1" t="str">
        <f>IFERROR(VLOOKUP($K390,Players!$D:$E,2,FALSE),VLOOKUP($H390,Players!A:E,5,FALSE))</f>
        <v>QB</v>
      </c>
    </row>
    <row r="391" ht="15.75" customHeight="1">
      <c r="A391" s="1">
        <v>2019.0</v>
      </c>
      <c r="B391" s="1" t="s">
        <v>21</v>
      </c>
      <c r="C391" s="1" t="s">
        <v>22</v>
      </c>
      <c r="D391" s="8">
        <v>5.0</v>
      </c>
      <c r="E391" s="8" t="str">
        <f t="shared" si="1"/>
        <v>Playoff Team</v>
      </c>
      <c r="F391" s="8">
        <v>15.0</v>
      </c>
      <c r="G391" s="8">
        <v>174.0</v>
      </c>
      <c r="H391" s="1" t="s">
        <v>312</v>
      </c>
      <c r="I391" s="1" t="str">
        <f t="shared" si="2"/>
        <v>Ronald</v>
      </c>
      <c r="J391" s="1" t="str">
        <f t="shared" si="3"/>
        <v>Jones II</v>
      </c>
      <c r="K391" s="1" t="str">
        <f t="shared" si="4"/>
        <v>#N/A</v>
      </c>
      <c r="L391" s="1" t="str">
        <f>IFERROR(VLOOKUP($K391,Players!$D:$E,2,FALSE),VLOOKUP($H391,Players!A:E,5,FALSE))</f>
        <v>#N/A</v>
      </c>
    </row>
    <row r="392" ht="15.75" customHeight="1">
      <c r="A392" s="1">
        <v>2019.0</v>
      </c>
      <c r="B392" s="1" t="s">
        <v>48</v>
      </c>
      <c r="C392" s="1" t="s">
        <v>19</v>
      </c>
      <c r="D392" s="8">
        <v>2.0</v>
      </c>
      <c r="E392" s="8" t="str">
        <f t="shared" si="1"/>
        <v>Playoff Team</v>
      </c>
      <c r="F392" s="8">
        <v>1.0</v>
      </c>
      <c r="G392" s="8">
        <v>3.0</v>
      </c>
      <c r="H392" s="1" t="s">
        <v>78</v>
      </c>
      <c r="I392" s="1" t="str">
        <f t="shared" si="2"/>
        <v>Christian</v>
      </c>
      <c r="J392" s="1" t="str">
        <f t="shared" si="3"/>
        <v>McCaffrey</v>
      </c>
      <c r="K392" s="1" t="str">
        <f t="shared" si="4"/>
        <v>#N/A</v>
      </c>
      <c r="L392" s="1" t="str">
        <f>IFERROR(VLOOKUP($K392,Players!$D:$E,2,FALSE),VLOOKUP($H392,Players!A:E,5,FALSE))</f>
        <v>RB</v>
      </c>
    </row>
    <row r="393" ht="15.75" customHeight="1">
      <c r="A393" s="1">
        <v>2019.0</v>
      </c>
      <c r="B393" s="1" t="s">
        <v>48</v>
      </c>
      <c r="C393" s="1" t="s">
        <v>19</v>
      </c>
      <c r="D393" s="8">
        <v>2.0</v>
      </c>
      <c r="E393" s="8" t="str">
        <f t="shared" si="1"/>
        <v>Playoff Team</v>
      </c>
      <c r="F393" s="8">
        <v>2.0</v>
      </c>
      <c r="G393" s="8">
        <v>22.0</v>
      </c>
      <c r="H393" s="1" t="s">
        <v>80</v>
      </c>
      <c r="I393" s="1" t="str">
        <f t="shared" si="2"/>
        <v>Keenan</v>
      </c>
      <c r="J393" s="1" t="str">
        <f t="shared" si="3"/>
        <v>Allen</v>
      </c>
      <c r="K393" s="1" t="str">
        <f t="shared" si="4"/>
        <v>#N/A</v>
      </c>
      <c r="L393" s="1" t="str">
        <f>IFERROR(VLOOKUP($K393,Players!$D:$E,2,FALSE),VLOOKUP($H393,Players!A:E,5,FALSE))</f>
        <v>WR</v>
      </c>
    </row>
    <row r="394" ht="15.75" customHeight="1">
      <c r="A394" s="1">
        <v>2019.0</v>
      </c>
      <c r="B394" s="1" t="s">
        <v>48</v>
      </c>
      <c r="C394" s="1" t="s">
        <v>19</v>
      </c>
      <c r="D394" s="8">
        <v>2.0</v>
      </c>
      <c r="E394" s="8" t="str">
        <f t="shared" si="1"/>
        <v>Playoff Team</v>
      </c>
      <c r="F394" s="8">
        <v>3.0</v>
      </c>
      <c r="G394" s="8">
        <v>27.0</v>
      </c>
      <c r="H394" s="1" t="s">
        <v>345</v>
      </c>
      <c r="I394" s="1" t="str">
        <f t="shared" si="2"/>
        <v>George</v>
      </c>
      <c r="J394" s="1" t="str">
        <f t="shared" si="3"/>
        <v>Kittle</v>
      </c>
      <c r="K394" s="1" t="str">
        <f t="shared" si="4"/>
        <v>#N/A</v>
      </c>
      <c r="L394" s="1" t="str">
        <f>IFERROR(VLOOKUP($K394,Players!$D:$E,2,FALSE),VLOOKUP($H394,Players!A:E,5,FALSE))</f>
        <v>TE</v>
      </c>
    </row>
    <row r="395" ht="15.75" customHeight="1">
      <c r="A395" s="1">
        <v>2019.0</v>
      </c>
      <c r="B395" s="1" t="s">
        <v>48</v>
      </c>
      <c r="C395" s="1" t="s">
        <v>19</v>
      </c>
      <c r="D395" s="8">
        <v>2.0</v>
      </c>
      <c r="E395" s="8" t="str">
        <f t="shared" si="1"/>
        <v>Playoff Team</v>
      </c>
      <c r="F395" s="8">
        <v>4.0</v>
      </c>
      <c r="G395" s="8">
        <v>46.0</v>
      </c>
      <c r="H395" s="1" t="s">
        <v>261</v>
      </c>
      <c r="I395" s="1" t="str">
        <f t="shared" si="2"/>
        <v>David</v>
      </c>
      <c r="J395" s="1" t="str">
        <f t="shared" si="3"/>
        <v>Montgomery</v>
      </c>
      <c r="K395" s="1" t="str">
        <f t="shared" si="4"/>
        <v>#N/A</v>
      </c>
      <c r="L395" s="1" t="str">
        <f>IFERROR(VLOOKUP($K395,Players!$D:$E,2,FALSE),VLOOKUP($H395,Players!A:E,5,FALSE))</f>
        <v>RB</v>
      </c>
    </row>
    <row r="396" ht="15.75" customHeight="1">
      <c r="A396" s="1">
        <v>2019.0</v>
      </c>
      <c r="B396" s="1" t="s">
        <v>48</v>
      </c>
      <c r="C396" s="1" t="s">
        <v>19</v>
      </c>
      <c r="D396" s="8">
        <v>2.0</v>
      </c>
      <c r="E396" s="8" t="str">
        <f t="shared" si="1"/>
        <v>Playoff Team</v>
      </c>
      <c r="F396" s="8">
        <v>5.0</v>
      </c>
      <c r="G396" s="8">
        <v>51.0</v>
      </c>
      <c r="H396" s="1" t="s">
        <v>440</v>
      </c>
      <c r="I396" s="1" t="str">
        <f t="shared" si="2"/>
        <v>Tyler</v>
      </c>
      <c r="J396" s="1" t="str">
        <f t="shared" si="3"/>
        <v>Boyd</v>
      </c>
      <c r="K396" s="1" t="str">
        <f t="shared" si="4"/>
        <v>#N/A</v>
      </c>
      <c r="L396" s="1" t="str">
        <f>IFERROR(VLOOKUP($K396,Players!$D:$E,2,FALSE),VLOOKUP($H396,Players!A:E,5,FALSE))</f>
        <v>WR</v>
      </c>
    </row>
    <row r="397" ht="15.75" customHeight="1">
      <c r="A397" s="1">
        <v>2019.0</v>
      </c>
      <c r="B397" s="1" t="s">
        <v>48</v>
      </c>
      <c r="C397" s="1" t="s">
        <v>19</v>
      </c>
      <c r="D397" s="8">
        <v>2.0</v>
      </c>
      <c r="E397" s="8" t="str">
        <f t="shared" si="1"/>
        <v>Playoff Team</v>
      </c>
      <c r="F397" s="8">
        <v>6.0</v>
      </c>
      <c r="G397" s="8">
        <v>70.0</v>
      </c>
      <c r="H397" s="1" t="s">
        <v>219</v>
      </c>
      <c r="I397" s="1" t="str">
        <f t="shared" si="2"/>
        <v>Miles</v>
      </c>
      <c r="J397" s="1" t="str">
        <f t="shared" si="3"/>
        <v>Sanders</v>
      </c>
      <c r="K397" s="1" t="str">
        <f t="shared" si="4"/>
        <v>#N/A</v>
      </c>
      <c r="L397" s="1" t="str">
        <f>IFERROR(VLOOKUP($K397,Players!$D:$E,2,FALSE),VLOOKUP($H397,Players!A:E,5,FALSE))</f>
        <v>RB</v>
      </c>
    </row>
    <row r="398" ht="15.75" customHeight="1">
      <c r="A398" s="1">
        <v>2019.0</v>
      </c>
      <c r="B398" s="1" t="s">
        <v>48</v>
      </c>
      <c r="C398" s="1" t="s">
        <v>19</v>
      </c>
      <c r="D398" s="8">
        <v>2.0</v>
      </c>
      <c r="E398" s="8" t="str">
        <f t="shared" si="1"/>
        <v>Playoff Team</v>
      </c>
      <c r="F398" s="8">
        <v>7.0</v>
      </c>
      <c r="G398" s="8">
        <v>75.0</v>
      </c>
      <c r="H398" s="1" t="s">
        <v>243</v>
      </c>
      <c r="I398" s="1" t="str">
        <f t="shared" si="2"/>
        <v>Marvin</v>
      </c>
      <c r="J398" s="1" t="str">
        <f t="shared" si="3"/>
        <v>Jones Jr</v>
      </c>
      <c r="K398" s="1" t="str">
        <f t="shared" si="4"/>
        <v>#N/A</v>
      </c>
      <c r="L398" s="1" t="str">
        <f>IFERROR(VLOOKUP($K398,Players!$D:$E,2,FALSE),VLOOKUP($H398,Players!A:E,5,FALSE))</f>
        <v>#N/A</v>
      </c>
    </row>
    <row r="399" ht="15.75" customHeight="1">
      <c r="A399" s="1">
        <v>2019.0</v>
      </c>
      <c r="B399" s="1" t="s">
        <v>48</v>
      </c>
      <c r="C399" s="1" t="s">
        <v>19</v>
      </c>
      <c r="D399" s="8">
        <v>2.0</v>
      </c>
      <c r="E399" s="8" t="str">
        <f t="shared" si="1"/>
        <v>Playoff Team</v>
      </c>
      <c r="F399" s="8">
        <v>8.0</v>
      </c>
      <c r="G399" s="8">
        <v>94.0</v>
      </c>
      <c r="H399" s="1" t="s">
        <v>318</v>
      </c>
      <c r="I399" s="1" t="str">
        <f t="shared" si="2"/>
        <v>Will</v>
      </c>
      <c r="J399" s="1" t="str">
        <f t="shared" si="3"/>
        <v>Fuller V</v>
      </c>
      <c r="K399" s="1" t="str">
        <f t="shared" si="4"/>
        <v>#N/A</v>
      </c>
      <c r="L399" s="1" t="str">
        <f>IFERROR(VLOOKUP($K399,Players!$D:$E,2,FALSE),VLOOKUP($H399,Players!A:E,5,FALSE))</f>
        <v>#N/A</v>
      </c>
    </row>
    <row r="400" ht="15.75" customHeight="1">
      <c r="A400" s="1">
        <v>2019.0</v>
      </c>
      <c r="B400" s="1" t="s">
        <v>48</v>
      </c>
      <c r="C400" s="1" t="s">
        <v>19</v>
      </c>
      <c r="D400" s="8">
        <v>2.0</v>
      </c>
      <c r="E400" s="8" t="str">
        <f t="shared" si="1"/>
        <v>Playoff Team</v>
      </c>
      <c r="F400" s="8">
        <v>9.0</v>
      </c>
      <c r="G400" s="8">
        <v>99.0</v>
      </c>
      <c r="H400" s="1" t="s">
        <v>910</v>
      </c>
      <c r="I400" s="1" t="str">
        <f t="shared" si="2"/>
        <v>Kalen</v>
      </c>
      <c r="J400" s="1" t="str">
        <f t="shared" si="3"/>
        <v>Ballage</v>
      </c>
      <c r="K400" s="1" t="str">
        <f t="shared" si="4"/>
        <v>#N/A</v>
      </c>
      <c r="L400" s="1" t="str">
        <f>IFERROR(VLOOKUP($K400,Players!$D:$E,2,FALSE),VLOOKUP($H400,Players!A:E,5,FALSE))</f>
        <v>RB</v>
      </c>
    </row>
    <row r="401" ht="15.75" customHeight="1">
      <c r="A401" s="1">
        <v>2019.0</v>
      </c>
      <c r="B401" s="1" t="s">
        <v>48</v>
      </c>
      <c r="C401" s="1" t="s">
        <v>19</v>
      </c>
      <c r="D401" s="8">
        <v>2.0</v>
      </c>
      <c r="E401" s="8" t="str">
        <f t="shared" si="1"/>
        <v>Playoff Team</v>
      </c>
      <c r="F401" s="8">
        <v>10.0</v>
      </c>
      <c r="G401" s="8">
        <v>118.0</v>
      </c>
      <c r="H401" s="1" t="s">
        <v>150</v>
      </c>
      <c r="I401" s="1" t="str">
        <f t="shared" si="2"/>
        <v>Michael</v>
      </c>
      <c r="J401" s="1" t="str">
        <f t="shared" si="3"/>
        <v>Gallup</v>
      </c>
      <c r="K401" s="1" t="str">
        <f t="shared" si="4"/>
        <v>#N/A</v>
      </c>
      <c r="L401" s="1" t="str">
        <f>IFERROR(VLOOKUP($K401,Players!$D:$E,2,FALSE),VLOOKUP($H401,Players!A:E,5,FALSE))</f>
        <v>WR</v>
      </c>
    </row>
    <row r="402" ht="15.75" customHeight="1">
      <c r="A402" s="1">
        <v>2019.0</v>
      </c>
      <c r="B402" s="1" t="s">
        <v>48</v>
      </c>
      <c r="C402" s="1" t="s">
        <v>19</v>
      </c>
      <c r="D402" s="8">
        <v>2.0</v>
      </c>
      <c r="E402" s="8" t="str">
        <f t="shared" si="1"/>
        <v>Playoff Team</v>
      </c>
      <c r="F402" s="8">
        <v>11.0</v>
      </c>
      <c r="G402" s="8">
        <v>123.0</v>
      </c>
      <c r="H402" s="1" t="s">
        <v>375</v>
      </c>
      <c r="I402" s="1" t="str">
        <f t="shared" si="2"/>
        <v>Rashaad</v>
      </c>
      <c r="J402" s="1" t="str">
        <f t="shared" si="3"/>
        <v>Penny</v>
      </c>
      <c r="K402" s="1" t="str">
        <f t="shared" si="4"/>
        <v>#N/A</v>
      </c>
      <c r="L402" s="1" t="str">
        <f>IFERROR(VLOOKUP($K402,Players!$D:$E,2,FALSE),VLOOKUP($H402,Players!A:E,5,FALSE))</f>
        <v>RB</v>
      </c>
    </row>
    <row r="403" ht="15.75" customHeight="1">
      <c r="A403" s="1">
        <v>2019.0</v>
      </c>
      <c r="B403" s="1" t="s">
        <v>48</v>
      </c>
      <c r="C403" s="1" t="s">
        <v>19</v>
      </c>
      <c r="D403" s="8">
        <v>2.0</v>
      </c>
      <c r="E403" s="8" t="str">
        <f t="shared" si="1"/>
        <v>Playoff Team</v>
      </c>
      <c r="F403" s="8">
        <v>12.0</v>
      </c>
      <c r="G403" s="8">
        <v>142.0</v>
      </c>
      <c r="H403" s="1" t="s">
        <v>200</v>
      </c>
      <c r="I403" s="1" t="str">
        <f t="shared" si="2"/>
        <v>Alexander</v>
      </c>
      <c r="J403" s="1" t="str">
        <f t="shared" si="3"/>
        <v>Mattison</v>
      </c>
      <c r="K403" s="1" t="str">
        <f t="shared" si="4"/>
        <v>#N/A</v>
      </c>
      <c r="L403" s="1" t="str">
        <f>IFERROR(VLOOKUP($K403,Players!$D:$E,2,FALSE),VLOOKUP($H403,Players!A:E,5,FALSE))</f>
        <v>RB</v>
      </c>
    </row>
    <row r="404" ht="15.75" customHeight="1">
      <c r="A404" s="1">
        <v>2019.0</v>
      </c>
      <c r="B404" s="1" t="s">
        <v>48</v>
      </c>
      <c r="C404" s="1" t="s">
        <v>19</v>
      </c>
      <c r="D404" s="8">
        <v>2.0</v>
      </c>
      <c r="E404" s="8" t="str">
        <f t="shared" si="1"/>
        <v>Playoff Team</v>
      </c>
      <c r="F404" s="8">
        <v>13.0</v>
      </c>
      <c r="G404" s="8">
        <v>147.0</v>
      </c>
      <c r="H404" s="1" t="s">
        <v>306</v>
      </c>
      <c r="I404" s="1" t="str">
        <f t="shared" si="2"/>
        <v>Dak</v>
      </c>
      <c r="J404" s="1" t="str">
        <f t="shared" si="3"/>
        <v>Prescott</v>
      </c>
      <c r="K404" s="1" t="str">
        <f t="shared" si="4"/>
        <v>#N/A</v>
      </c>
      <c r="L404" s="1" t="str">
        <f>IFERROR(VLOOKUP($K404,Players!$D:$E,2,FALSE),VLOOKUP($H404,Players!A:E,5,FALSE))</f>
        <v>QB</v>
      </c>
    </row>
    <row r="405" ht="15.75" customHeight="1">
      <c r="A405" s="1">
        <v>2019.0</v>
      </c>
      <c r="B405" s="1" t="s">
        <v>48</v>
      </c>
      <c r="C405" s="1" t="s">
        <v>19</v>
      </c>
      <c r="D405" s="8">
        <v>2.0</v>
      </c>
      <c r="E405" s="8" t="str">
        <f t="shared" si="1"/>
        <v>Playoff Team</v>
      </c>
      <c r="F405" s="8">
        <v>14.0</v>
      </c>
      <c r="G405" s="8">
        <v>166.0</v>
      </c>
      <c r="H405" s="1" t="s">
        <v>923</v>
      </c>
      <c r="I405" s="1" t="str">
        <f t="shared" si="2"/>
        <v>Ka'imi</v>
      </c>
      <c r="J405" s="1" t="str">
        <f t="shared" si="3"/>
        <v>Fairbairn</v>
      </c>
      <c r="K405" s="1" t="str">
        <f t="shared" si="4"/>
        <v>#N/A</v>
      </c>
      <c r="L405" s="1" t="str">
        <f>IFERROR(VLOOKUP($K405,Players!$D:$E,2,FALSE),VLOOKUP($H405,Players!A:E,5,FALSE))</f>
        <v>K</v>
      </c>
    </row>
    <row r="406" ht="15.75" customHeight="1">
      <c r="A406" s="1">
        <v>2019.0</v>
      </c>
      <c r="B406" s="1" t="s">
        <v>48</v>
      </c>
      <c r="C406" s="1" t="s">
        <v>19</v>
      </c>
      <c r="D406" s="8">
        <v>2.0</v>
      </c>
      <c r="E406" s="8" t="str">
        <f t="shared" si="1"/>
        <v>Playoff Team</v>
      </c>
      <c r="F406" s="8">
        <v>15.0</v>
      </c>
      <c r="G406" s="8">
        <v>171.0</v>
      </c>
      <c r="H406" s="1" t="s">
        <v>325</v>
      </c>
      <c r="I406" s="1" t="str">
        <f t="shared" si="2"/>
        <v>#VALUE!</v>
      </c>
      <c r="J406" s="1" t="str">
        <f t="shared" si="3"/>
        <v>#VALUE!</v>
      </c>
      <c r="K406" s="1" t="str">
        <f t="shared" si="4"/>
        <v>#N/A</v>
      </c>
      <c r="L406" s="1" t="str">
        <f>IFERROR(VLOOKUP($K406,Players!$D:$E,2,FALSE),VLOOKUP($H406,Players!A:E,5,FALSE))</f>
        <v>DEF</v>
      </c>
    </row>
    <row r="407" ht="15.75" customHeight="1">
      <c r="A407" s="1">
        <v>2019.0</v>
      </c>
      <c r="B407" s="1" t="s">
        <v>30</v>
      </c>
      <c r="C407" s="1" t="s">
        <v>31</v>
      </c>
      <c r="D407" s="8">
        <v>12.0</v>
      </c>
      <c r="E407" s="8" t="str">
        <f t="shared" si="1"/>
        <v>Non-Playoff Team</v>
      </c>
      <c r="F407" s="8">
        <v>1.0</v>
      </c>
      <c r="G407" s="8">
        <v>11.0</v>
      </c>
      <c r="H407" s="1" t="s">
        <v>788</v>
      </c>
      <c r="I407" s="1" t="str">
        <f t="shared" si="2"/>
        <v>Le'Veon</v>
      </c>
      <c r="J407" s="1" t="str">
        <f t="shared" si="3"/>
        <v>Bell</v>
      </c>
      <c r="K407" s="1" t="str">
        <f t="shared" si="4"/>
        <v>#N/A</v>
      </c>
      <c r="L407" s="1" t="str">
        <f>IFERROR(VLOOKUP($K407,Players!$D:$E,2,FALSE),VLOOKUP($H407,Players!A:E,5,FALSE))</f>
        <v>RB</v>
      </c>
    </row>
    <row r="408" ht="15.75" customHeight="1">
      <c r="A408" s="1">
        <v>2019.0</v>
      </c>
      <c r="B408" s="1" t="s">
        <v>30</v>
      </c>
      <c r="C408" s="1" t="s">
        <v>31</v>
      </c>
      <c r="D408" s="8">
        <v>12.0</v>
      </c>
      <c r="E408" s="8" t="str">
        <f t="shared" si="1"/>
        <v>Non-Playoff Team</v>
      </c>
      <c r="F408" s="8">
        <v>2.0</v>
      </c>
      <c r="G408" s="8">
        <v>14.0</v>
      </c>
      <c r="H408" s="1" t="s">
        <v>270</v>
      </c>
      <c r="I408" s="1" t="str">
        <f t="shared" si="2"/>
        <v>Michael</v>
      </c>
      <c r="J408" s="1" t="str">
        <f t="shared" si="3"/>
        <v>Thomas</v>
      </c>
      <c r="K408" s="1" t="str">
        <f t="shared" si="4"/>
        <v>#N/A</v>
      </c>
      <c r="L408" s="1" t="str">
        <f>IFERROR(VLOOKUP($K408,Players!$D:$E,2,FALSE),VLOOKUP($H408,Players!A:E,5,FALSE))</f>
        <v>WR</v>
      </c>
    </row>
    <row r="409" ht="15.75" customHeight="1">
      <c r="A409" s="1">
        <v>2019.0</v>
      </c>
      <c r="B409" s="1" t="s">
        <v>30</v>
      </c>
      <c r="C409" s="1" t="s">
        <v>31</v>
      </c>
      <c r="D409" s="8">
        <v>12.0</v>
      </c>
      <c r="E409" s="8" t="str">
        <f t="shared" si="1"/>
        <v>Non-Playoff Team</v>
      </c>
      <c r="F409" s="8">
        <v>3.0</v>
      </c>
      <c r="G409" s="8">
        <v>35.0</v>
      </c>
      <c r="H409" s="1" t="s">
        <v>389</v>
      </c>
      <c r="I409" s="1" t="str">
        <f t="shared" si="2"/>
        <v>Robert</v>
      </c>
      <c r="J409" s="1" t="str">
        <f t="shared" si="3"/>
        <v>Woods</v>
      </c>
      <c r="K409" s="1" t="str">
        <f t="shared" si="4"/>
        <v>#N/A</v>
      </c>
      <c r="L409" s="1" t="str">
        <f>IFERROR(VLOOKUP($K409,Players!$D:$E,2,FALSE),VLOOKUP($H409,Players!A:E,5,FALSE))</f>
        <v>WR</v>
      </c>
    </row>
    <row r="410" ht="15.75" customHeight="1">
      <c r="A410" s="1">
        <v>2019.0</v>
      </c>
      <c r="B410" s="1" t="s">
        <v>30</v>
      </c>
      <c r="C410" s="1" t="s">
        <v>31</v>
      </c>
      <c r="D410" s="8">
        <v>12.0</v>
      </c>
      <c r="E410" s="8" t="str">
        <f t="shared" si="1"/>
        <v>Non-Playoff Team</v>
      </c>
      <c r="F410" s="8">
        <v>4.0</v>
      </c>
      <c r="G410" s="8">
        <v>38.0</v>
      </c>
      <c r="H410" s="1" t="s">
        <v>146</v>
      </c>
      <c r="I410" s="1" t="str">
        <f t="shared" si="2"/>
        <v>Sony</v>
      </c>
      <c r="J410" s="1" t="str">
        <f t="shared" si="3"/>
        <v>Michel</v>
      </c>
      <c r="K410" s="1" t="str">
        <f t="shared" si="4"/>
        <v>#N/A</v>
      </c>
      <c r="L410" s="1" t="str">
        <f>IFERROR(VLOOKUP($K410,Players!$D:$E,2,FALSE),VLOOKUP($H410,Players!A:E,5,FALSE))</f>
        <v>RB</v>
      </c>
    </row>
    <row r="411" ht="15.75" customHeight="1">
      <c r="A411" s="1">
        <v>2019.0</v>
      </c>
      <c r="B411" s="1" t="s">
        <v>30</v>
      </c>
      <c r="C411" s="1" t="s">
        <v>31</v>
      </c>
      <c r="D411" s="8">
        <v>12.0</v>
      </c>
      <c r="E411" s="8" t="str">
        <f t="shared" si="1"/>
        <v>Non-Playoff Team</v>
      </c>
      <c r="F411" s="8">
        <v>5.0</v>
      </c>
      <c r="G411" s="8">
        <v>59.0</v>
      </c>
      <c r="H411" s="1" t="s">
        <v>932</v>
      </c>
      <c r="I411" s="1" t="str">
        <f t="shared" si="2"/>
        <v>OJ</v>
      </c>
      <c r="J411" s="1" t="str">
        <f t="shared" si="3"/>
        <v>Howard</v>
      </c>
      <c r="K411" s="1" t="str">
        <f t="shared" si="4"/>
        <v>#N/A</v>
      </c>
      <c r="L411" s="1" t="str">
        <f>IFERROR(VLOOKUP($K411,Players!$D:$E,2,FALSE),VLOOKUP($H411,Players!A:E,5,FALSE))</f>
        <v>TE</v>
      </c>
    </row>
    <row r="412" ht="15.75" customHeight="1">
      <c r="A412" s="1">
        <v>2019.0</v>
      </c>
      <c r="B412" s="1" t="s">
        <v>30</v>
      </c>
      <c r="C412" s="1" t="s">
        <v>31</v>
      </c>
      <c r="D412" s="8">
        <v>12.0</v>
      </c>
      <c r="E412" s="8" t="str">
        <f t="shared" si="1"/>
        <v>Non-Playoff Team</v>
      </c>
      <c r="F412" s="8">
        <v>6.0</v>
      </c>
      <c r="G412" s="8">
        <v>62.0</v>
      </c>
      <c r="H412" s="1" t="s">
        <v>791</v>
      </c>
      <c r="I412" s="1" t="str">
        <f t="shared" si="2"/>
        <v>Tarik</v>
      </c>
      <c r="J412" s="1" t="str">
        <f t="shared" si="3"/>
        <v>Cohen</v>
      </c>
      <c r="K412" s="1" t="str">
        <f t="shared" si="4"/>
        <v>#N/A</v>
      </c>
      <c r="L412" s="1" t="str">
        <f>IFERROR(VLOOKUP($K412,Players!$D:$E,2,FALSE),VLOOKUP($H412,Players!A:E,5,FALSE))</f>
        <v>RB</v>
      </c>
    </row>
    <row r="413" ht="15.75" customHeight="1">
      <c r="A413" s="1">
        <v>2019.0</v>
      </c>
      <c r="B413" s="1" t="s">
        <v>30</v>
      </c>
      <c r="C413" s="1" t="s">
        <v>31</v>
      </c>
      <c r="D413" s="8">
        <v>12.0</v>
      </c>
      <c r="E413" s="8" t="str">
        <f t="shared" si="1"/>
        <v>Non-Playoff Team</v>
      </c>
      <c r="F413" s="8">
        <v>7.0</v>
      </c>
      <c r="G413" s="8">
        <v>83.0</v>
      </c>
      <c r="H413" s="1" t="s">
        <v>160</v>
      </c>
      <c r="I413" s="1" t="str">
        <f t="shared" si="2"/>
        <v>Tevin</v>
      </c>
      <c r="J413" s="1" t="str">
        <f t="shared" si="3"/>
        <v>Coleman</v>
      </c>
      <c r="K413" s="1" t="str">
        <f t="shared" si="4"/>
        <v>#N/A</v>
      </c>
      <c r="L413" s="1" t="str">
        <f>IFERROR(VLOOKUP($K413,Players!$D:$E,2,FALSE),VLOOKUP($H413,Players!A:E,5,FALSE))</f>
        <v>RB</v>
      </c>
    </row>
    <row r="414" ht="15.75" customHeight="1">
      <c r="A414" s="1">
        <v>2019.0</v>
      </c>
      <c r="B414" s="1" t="s">
        <v>30</v>
      </c>
      <c r="C414" s="1" t="s">
        <v>31</v>
      </c>
      <c r="D414" s="8">
        <v>12.0</v>
      </c>
      <c r="E414" s="8" t="str">
        <f t="shared" si="1"/>
        <v>Non-Playoff Team</v>
      </c>
      <c r="F414" s="8">
        <v>8.0</v>
      </c>
      <c r="G414" s="8">
        <v>86.0</v>
      </c>
      <c r="H414" s="1" t="s">
        <v>680</v>
      </c>
      <c r="I414" s="1" t="str">
        <f t="shared" si="2"/>
        <v>Cam</v>
      </c>
      <c r="J414" s="1" t="str">
        <f t="shared" si="3"/>
        <v>Newton</v>
      </c>
      <c r="K414" s="1" t="str">
        <f t="shared" si="4"/>
        <v>#N/A</v>
      </c>
      <c r="L414" s="1" t="str">
        <f>IFERROR(VLOOKUP($K414,Players!$D:$E,2,FALSE),VLOOKUP($H414,Players!A:E,5,FALSE))</f>
        <v>QB</v>
      </c>
    </row>
    <row r="415" ht="15.75" customHeight="1">
      <c r="A415" s="1">
        <v>2019.0</v>
      </c>
      <c r="B415" s="1" t="s">
        <v>30</v>
      </c>
      <c r="C415" s="1" t="s">
        <v>31</v>
      </c>
      <c r="D415" s="8">
        <v>12.0</v>
      </c>
      <c r="E415" s="8" t="str">
        <f t="shared" si="1"/>
        <v>Non-Playoff Team</v>
      </c>
      <c r="F415" s="8">
        <v>9.0</v>
      </c>
      <c r="G415" s="8">
        <v>107.0</v>
      </c>
      <c r="H415" s="1" t="s">
        <v>940</v>
      </c>
      <c r="I415" s="1" t="str">
        <f t="shared" si="2"/>
        <v>Delanie</v>
      </c>
      <c r="J415" s="1" t="str">
        <f t="shared" si="3"/>
        <v>Walker</v>
      </c>
      <c r="K415" s="1" t="str">
        <f t="shared" si="4"/>
        <v>#N/A</v>
      </c>
      <c r="L415" s="1" t="str">
        <f>IFERROR(VLOOKUP($K415,Players!$D:$E,2,FALSE),VLOOKUP($H415,Players!A:E,5,FALSE))</f>
        <v>TE</v>
      </c>
    </row>
    <row r="416" ht="15.75" customHeight="1">
      <c r="A416" s="1">
        <v>2019.0</v>
      </c>
      <c r="B416" s="1" t="s">
        <v>30</v>
      </c>
      <c r="C416" s="1" t="s">
        <v>31</v>
      </c>
      <c r="D416" s="8">
        <v>12.0</v>
      </c>
      <c r="E416" s="8" t="str">
        <f t="shared" si="1"/>
        <v>Non-Playoff Team</v>
      </c>
      <c r="F416" s="8">
        <v>10.0</v>
      </c>
      <c r="G416" s="8">
        <v>110.0</v>
      </c>
      <c r="H416" s="1" t="s">
        <v>944</v>
      </c>
      <c r="I416" s="1" t="str">
        <f t="shared" si="2"/>
        <v>Golden</v>
      </c>
      <c r="J416" s="1" t="str">
        <f t="shared" si="3"/>
        <v>Tate</v>
      </c>
      <c r="K416" s="1" t="str">
        <f t="shared" si="4"/>
        <v>#N/A</v>
      </c>
      <c r="L416" s="1" t="str">
        <f>IFERROR(VLOOKUP($K416,Players!$D:$E,2,FALSE),VLOOKUP($H416,Players!A:E,5,FALSE))</f>
        <v>WR</v>
      </c>
    </row>
    <row r="417" ht="15.75" customHeight="1">
      <c r="A417" s="1">
        <v>2019.0</v>
      </c>
      <c r="B417" s="1" t="s">
        <v>30</v>
      </c>
      <c r="C417" s="1" t="s">
        <v>31</v>
      </c>
      <c r="D417" s="8">
        <v>12.0</v>
      </c>
      <c r="E417" s="8" t="str">
        <f t="shared" si="1"/>
        <v>Non-Playoff Team</v>
      </c>
      <c r="F417" s="8">
        <v>11.0</v>
      </c>
      <c r="G417" s="8">
        <v>131.0</v>
      </c>
      <c r="H417" s="1" t="s">
        <v>209</v>
      </c>
      <c r="I417" s="1" t="str">
        <f t="shared" si="2"/>
        <v>Carlos</v>
      </c>
      <c r="J417" s="1" t="str">
        <f t="shared" si="3"/>
        <v>Hyde</v>
      </c>
      <c r="K417" s="1" t="str">
        <f t="shared" si="4"/>
        <v>#N/A</v>
      </c>
      <c r="L417" s="1" t="str">
        <f>IFERROR(VLOOKUP($K417,Players!$D:$E,2,FALSE),VLOOKUP($H417,Players!A:E,5,FALSE))</f>
        <v>RB</v>
      </c>
    </row>
    <row r="418" ht="15.75" customHeight="1">
      <c r="A418" s="1">
        <v>2019.0</v>
      </c>
      <c r="B418" s="1" t="s">
        <v>30</v>
      </c>
      <c r="C418" s="1" t="s">
        <v>31</v>
      </c>
      <c r="D418" s="8">
        <v>12.0</v>
      </c>
      <c r="E418" s="8" t="str">
        <f t="shared" si="1"/>
        <v>Non-Playoff Team</v>
      </c>
      <c r="F418" s="8">
        <v>12.0</v>
      </c>
      <c r="G418" s="8">
        <v>134.0</v>
      </c>
      <c r="H418" s="1" t="s">
        <v>948</v>
      </c>
      <c r="I418" s="1" t="str">
        <f t="shared" si="2"/>
        <v>Jake</v>
      </c>
      <c r="J418" s="1" t="str">
        <f t="shared" si="3"/>
        <v>Elliott</v>
      </c>
      <c r="K418" s="1" t="str">
        <f t="shared" si="4"/>
        <v>#N/A</v>
      </c>
      <c r="L418" s="1" t="str">
        <f>IFERROR(VLOOKUP($K418,Players!$D:$E,2,FALSE),VLOOKUP($H418,Players!A:E,5,FALSE))</f>
        <v>K</v>
      </c>
    </row>
    <row r="419" ht="15.75" customHeight="1">
      <c r="A419" s="1">
        <v>2019.0</v>
      </c>
      <c r="B419" s="1" t="s">
        <v>30</v>
      </c>
      <c r="C419" s="1" t="s">
        <v>31</v>
      </c>
      <c r="D419" s="8">
        <v>12.0</v>
      </c>
      <c r="E419" s="8" t="str">
        <f t="shared" si="1"/>
        <v>Non-Playoff Team</v>
      </c>
      <c r="F419" s="8">
        <v>13.0</v>
      </c>
      <c r="G419" s="8">
        <v>155.0</v>
      </c>
      <c r="H419" s="1" t="s">
        <v>412</v>
      </c>
      <c r="I419" s="1" t="str">
        <f t="shared" si="2"/>
        <v>Kirk</v>
      </c>
      <c r="J419" s="1" t="str">
        <f t="shared" si="3"/>
        <v>Cousins</v>
      </c>
      <c r="K419" s="1" t="str">
        <f t="shared" si="4"/>
        <v>#N/A</v>
      </c>
      <c r="L419" s="1" t="str">
        <f>IFERROR(VLOOKUP($K419,Players!$D:$E,2,FALSE),VLOOKUP($H419,Players!A:E,5,FALSE))</f>
        <v>QB</v>
      </c>
    </row>
    <row r="420" ht="15.75" customHeight="1">
      <c r="A420" s="1">
        <v>2019.0</v>
      </c>
      <c r="B420" s="1" t="s">
        <v>30</v>
      </c>
      <c r="C420" s="1" t="s">
        <v>31</v>
      </c>
      <c r="D420" s="8">
        <v>12.0</v>
      </c>
      <c r="E420" s="8" t="str">
        <f t="shared" si="1"/>
        <v>Non-Playoff Team</v>
      </c>
      <c r="F420" s="8">
        <v>14.0</v>
      </c>
      <c r="G420" s="8">
        <v>158.0</v>
      </c>
      <c r="H420" s="1" t="s">
        <v>952</v>
      </c>
      <c r="I420" s="1" t="str">
        <f t="shared" si="2"/>
        <v>#VALUE!</v>
      </c>
      <c r="J420" s="1" t="str">
        <f t="shared" si="3"/>
        <v>#VALUE!</v>
      </c>
      <c r="K420" s="1" t="str">
        <f t="shared" si="4"/>
        <v>#N/A</v>
      </c>
      <c r="L420" s="1" t="str">
        <f>IFERROR(VLOOKUP($K420,Players!$D:$E,2,FALSE),VLOOKUP($H420,Players!A:E,5,FALSE))</f>
        <v>DEF</v>
      </c>
    </row>
    <row r="421" ht="15.75" customHeight="1">
      <c r="A421" s="1">
        <v>2019.0</v>
      </c>
      <c r="B421" s="1" t="s">
        <v>30</v>
      </c>
      <c r="C421" s="1" t="s">
        <v>31</v>
      </c>
      <c r="D421" s="8">
        <v>12.0</v>
      </c>
      <c r="E421" s="8" t="str">
        <f t="shared" si="1"/>
        <v>Non-Playoff Team</v>
      </c>
      <c r="F421" s="8">
        <v>15.0</v>
      </c>
      <c r="G421" s="8">
        <v>179.0</v>
      </c>
      <c r="H421" s="1" t="s">
        <v>955</v>
      </c>
      <c r="I421" s="1" t="str">
        <f t="shared" si="2"/>
        <v>Eric</v>
      </c>
      <c r="J421" s="1" t="str">
        <f t="shared" si="3"/>
        <v>Ebron</v>
      </c>
      <c r="K421" s="1" t="str">
        <f t="shared" si="4"/>
        <v>#N/A</v>
      </c>
      <c r="L421" s="1" t="str">
        <f>IFERROR(VLOOKUP($K421,Players!$D:$E,2,FALSE),VLOOKUP($H421,Players!A:E,5,FALSE))</f>
        <v>#N/A</v>
      </c>
    </row>
    <row r="422" ht="15.75" customHeight="1">
      <c r="A422" s="1">
        <v>2019.0</v>
      </c>
      <c r="B422" s="1" t="s">
        <v>46</v>
      </c>
      <c r="C422" s="1" t="s">
        <v>13</v>
      </c>
      <c r="D422" s="8">
        <v>11.0</v>
      </c>
      <c r="E422" s="8" t="str">
        <f t="shared" si="1"/>
        <v>Non-Playoff Team</v>
      </c>
      <c r="F422" s="8">
        <v>1.0</v>
      </c>
      <c r="G422" s="8">
        <v>8.0</v>
      </c>
      <c r="H422" s="1" t="s">
        <v>213</v>
      </c>
      <c r="I422" s="1" t="str">
        <f t="shared" si="2"/>
        <v>Davante</v>
      </c>
      <c r="J422" s="1" t="str">
        <f t="shared" si="3"/>
        <v>Adams</v>
      </c>
      <c r="K422" s="1" t="str">
        <f t="shared" si="4"/>
        <v>#N/A</v>
      </c>
      <c r="L422" s="1" t="str">
        <f>IFERROR(VLOOKUP($K422,Players!$D:$E,2,FALSE),VLOOKUP($H422,Players!A:E,5,FALSE))</f>
        <v>WR</v>
      </c>
    </row>
    <row r="423" ht="15.75" customHeight="1">
      <c r="A423" s="1">
        <v>2019.0</v>
      </c>
      <c r="B423" s="1" t="s">
        <v>46</v>
      </c>
      <c r="C423" s="1" t="s">
        <v>13</v>
      </c>
      <c r="D423" s="8">
        <v>11.0</v>
      </c>
      <c r="E423" s="8" t="str">
        <f t="shared" si="1"/>
        <v>Non-Playoff Team</v>
      </c>
      <c r="F423" s="8">
        <v>2.0</v>
      </c>
      <c r="G423" s="8">
        <v>17.0</v>
      </c>
      <c r="H423" s="1" t="s">
        <v>181</v>
      </c>
      <c r="I423" s="1" t="str">
        <f t="shared" si="2"/>
        <v>Odell</v>
      </c>
      <c r="J423" s="1" t="str">
        <f t="shared" si="3"/>
        <v>Beckham Jr</v>
      </c>
      <c r="K423" s="1" t="str">
        <f t="shared" si="4"/>
        <v>#N/A</v>
      </c>
      <c r="L423" s="1" t="str">
        <f>IFERROR(VLOOKUP($K423,Players!$D:$E,2,FALSE),VLOOKUP($H423,Players!A:E,5,FALSE))</f>
        <v>#N/A</v>
      </c>
    </row>
    <row r="424" ht="15.75" customHeight="1">
      <c r="A424" s="1">
        <v>2019.0</v>
      </c>
      <c r="B424" s="1" t="s">
        <v>46</v>
      </c>
      <c r="C424" s="1" t="s">
        <v>13</v>
      </c>
      <c r="D424" s="8">
        <v>11.0</v>
      </c>
      <c r="E424" s="8" t="str">
        <f t="shared" si="1"/>
        <v>Non-Playoff Team</v>
      </c>
      <c r="F424" s="8">
        <v>3.0</v>
      </c>
      <c r="G424" s="8">
        <v>32.0</v>
      </c>
      <c r="H424" s="1" t="s">
        <v>97</v>
      </c>
      <c r="I424" s="1" t="str">
        <f t="shared" si="2"/>
        <v>Josh</v>
      </c>
      <c r="J424" s="1" t="str">
        <f t="shared" si="3"/>
        <v>Jacobs</v>
      </c>
      <c r="K424" s="1" t="str">
        <f t="shared" si="4"/>
        <v>#N/A</v>
      </c>
      <c r="L424" s="1" t="str">
        <f>IFERROR(VLOOKUP($K424,Players!$D:$E,2,FALSE),VLOOKUP($H424,Players!A:E,5,FALSE))</f>
        <v>RB</v>
      </c>
    </row>
    <row r="425" ht="15.75" customHeight="1">
      <c r="A425" s="1">
        <v>2019.0</v>
      </c>
      <c r="B425" s="1" t="s">
        <v>46</v>
      </c>
      <c r="C425" s="1" t="s">
        <v>13</v>
      </c>
      <c r="D425" s="8">
        <v>11.0</v>
      </c>
      <c r="E425" s="8" t="str">
        <f t="shared" si="1"/>
        <v>Non-Playoff Team</v>
      </c>
      <c r="F425" s="8">
        <v>4.0</v>
      </c>
      <c r="G425" s="8">
        <v>41.0</v>
      </c>
      <c r="H425" s="1" t="s">
        <v>360</v>
      </c>
      <c r="I425" s="1" t="str">
        <f t="shared" si="2"/>
        <v>Melvin</v>
      </c>
      <c r="J425" s="1" t="str">
        <f t="shared" si="3"/>
        <v>Gordon III</v>
      </c>
      <c r="K425" s="1" t="str">
        <f t="shared" si="4"/>
        <v>#N/A</v>
      </c>
      <c r="L425" s="1" t="str">
        <f>IFERROR(VLOOKUP($K425,Players!$D:$E,2,FALSE),VLOOKUP($H425,Players!A:E,5,FALSE))</f>
        <v>#N/A</v>
      </c>
    </row>
    <row r="426" ht="15.75" customHeight="1">
      <c r="A426" s="1">
        <v>2019.0</v>
      </c>
      <c r="B426" s="1" t="s">
        <v>46</v>
      </c>
      <c r="C426" s="1" t="s">
        <v>13</v>
      </c>
      <c r="D426" s="8">
        <v>11.0</v>
      </c>
      <c r="E426" s="8" t="str">
        <f t="shared" si="1"/>
        <v>Non-Playoff Team</v>
      </c>
      <c r="F426" s="8">
        <v>5.0</v>
      </c>
      <c r="G426" s="8">
        <v>56.0</v>
      </c>
      <c r="H426" s="1" t="s">
        <v>965</v>
      </c>
      <c r="I426" s="1" t="str">
        <f t="shared" si="2"/>
        <v>Josh</v>
      </c>
      <c r="J426" s="1" t="str">
        <f t="shared" si="3"/>
        <v>Gordon</v>
      </c>
      <c r="K426" s="1" t="str">
        <f t="shared" si="4"/>
        <v>#N/A</v>
      </c>
      <c r="L426" s="1" t="str">
        <f>IFERROR(VLOOKUP($K426,Players!$D:$E,2,FALSE),VLOOKUP($H426,Players!A:E,5,FALSE))</f>
        <v>WR</v>
      </c>
    </row>
    <row r="427" ht="15.75" customHeight="1">
      <c r="A427" s="1">
        <v>2019.0</v>
      </c>
      <c r="B427" s="1" t="s">
        <v>46</v>
      </c>
      <c r="C427" s="1" t="s">
        <v>13</v>
      </c>
      <c r="D427" s="8">
        <v>11.0</v>
      </c>
      <c r="E427" s="8" t="str">
        <f t="shared" si="1"/>
        <v>Non-Playoff Team</v>
      </c>
      <c r="F427" s="8">
        <v>6.0</v>
      </c>
      <c r="G427" s="8">
        <v>65.0</v>
      </c>
      <c r="H427" s="1" t="s">
        <v>527</v>
      </c>
      <c r="I427" s="1" t="str">
        <f t="shared" si="2"/>
        <v>Hunter</v>
      </c>
      <c r="J427" s="1" t="str">
        <f t="shared" si="3"/>
        <v>Henry</v>
      </c>
      <c r="K427" s="1" t="str">
        <f t="shared" si="4"/>
        <v>#N/A</v>
      </c>
      <c r="L427" s="1" t="str">
        <f>IFERROR(VLOOKUP($K427,Players!$D:$E,2,FALSE),VLOOKUP($H427,Players!A:E,5,FALSE))</f>
        <v>TE</v>
      </c>
    </row>
    <row r="428" ht="15.75" customHeight="1">
      <c r="A428" s="1">
        <v>2019.0</v>
      </c>
      <c r="B428" s="1" t="s">
        <v>46</v>
      </c>
      <c r="C428" s="1" t="s">
        <v>13</v>
      </c>
      <c r="D428" s="8">
        <v>11.0</v>
      </c>
      <c r="E428" s="8" t="str">
        <f t="shared" si="1"/>
        <v>Non-Playoff Team</v>
      </c>
      <c r="F428" s="8">
        <v>7.0</v>
      </c>
      <c r="G428" s="8">
        <v>80.0</v>
      </c>
      <c r="H428" s="1" t="s">
        <v>969</v>
      </c>
      <c r="I428" s="1" t="str">
        <f t="shared" si="2"/>
        <v>Jared</v>
      </c>
      <c r="J428" s="1" t="str">
        <f t="shared" si="3"/>
        <v>Goff</v>
      </c>
      <c r="K428" s="1" t="str">
        <f t="shared" si="4"/>
        <v>#N/A</v>
      </c>
      <c r="L428" s="1" t="str">
        <f>IFERROR(VLOOKUP($K428,Players!$D:$E,2,FALSE),VLOOKUP($H428,Players!A:E,5,FALSE))</f>
        <v>QB</v>
      </c>
    </row>
    <row r="429" ht="15.75" customHeight="1">
      <c r="A429" s="1">
        <v>2019.0</v>
      </c>
      <c r="B429" s="1" t="s">
        <v>46</v>
      </c>
      <c r="C429" s="1" t="s">
        <v>13</v>
      </c>
      <c r="D429" s="8">
        <v>11.0</v>
      </c>
      <c r="E429" s="8" t="str">
        <f t="shared" si="1"/>
        <v>Non-Playoff Team</v>
      </c>
      <c r="F429" s="8">
        <v>8.0</v>
      </c>
      <c r="G429" s="8">
        <v>89.0</v>
      </c>
      <c r="H429" s="1" t="s">
        <v>699</v>
      </c>
      <c r="I429" s="1" t="str">
        <f t="shared" si="2"/>
        <v>Jordan</v>
      </c>
      <c r="J429" s="1" t="str">
        <f t="shared" si="3"/>
        <v>Howard</v>
      </c>
      <c r="K429" s="1" t="str">
        <f t="shared" si="4"/>
        <v>#N/A</v>
      </c>
      <c r="L429" s="1" t="str">
        <f>IFERROR(VLOOKUP($K429,Players!$D:$E,2,FALSE),VLOOKUP($H429,Players!A:E,5,FALSE))</f>
        <v>RB</v>
      </c>
    </row>
    <row r="430" ht="15.75" customHeight="1">
      <c r="A430" s="1">
        <v>2019.0</v>
      </c>
      <c r="B430" s="1" t="s">
        <v>46</v>
      </c>
      <c r="C430" s="1" t="s">
        <v>13</v>
      </c>
      <c r="D430" s="8">
        <v>11.0</v>
      </c>
      <c r="E430" s="8" t="str">
        <f t="shared" si="1"/>
        <v>Non-Playoff Team</v>
      </c>
      <c r="F430" s="8">
        <v>9.0</v>
      </c>
      <c r="G430" s="8">
        <v>104.0</v>
      </c>
      <c r="H430" s="1" t="s">
        <v>972</v>
      </c>
      <c r="I430" s="1" t="str">
        <f t="shared" si="2"/>
        <v>Donte</v>
      </c>
      <c r="J430" s="1" t="str">
        <f t="shared" si="3"/>
        <v>Moncrief</v>
      </c>
      <c r="K430" s="1" t="str">
        <f t="shared" si="4"/>
        <v>#N/A</v>
      </c>
      <c r="L430" s="1" t="str">
        <f>IFERROR(VLOOKUP($K430,Players!$D:$E,2,FALSE),VLOOKUP($H430,Players!A:E,5,FALSE))</f>
        <v>WR</v>
      </c>
    </row>
    <row r="431" ht="15.75" customHeight="1">
      <c r="A431" s="1">
        <v>2019.0</v>
      </c>
      <c r="B431" s="1" t="s">
        <v>46</v>
      </c>
      <c r="C431" s="1" t="s">
        <v>13</v>
      </c>
      <c r="D431" s="8">
        <v>11.0</v>
      </c>
      <c r="E431" s="8" t="str">
        <f t="shared" si="1"/>
        <v>Non-Playoff Team</v>
      </c>
      <c r="F431" s="8">
        <v>10.0</v>
      </c>
      <c r="G431" s="8">
        <v>113.0</v>
      </c>
      <c r="H431" s="1" t="s">
        <v>775</v>
      </c>
      <c r="I431" s="1" t="str">
        <f t="shared" si="2"/>
        <v>Larry</v>
      </c>
      <c r="J431" s="1" t="str">
        <f t="shared" si="3"/>
        <v>Fitzgerald</v>
      </c>
      <c r="K431" s="1" t="str">
        <f t="shared" si="4"/>
        <v>#N/A</v>
      </c>
      <c r="L431" s="1" t="str">
        <f>IFERROR(VLOOKUP($K431,Players!$D:$E,2,FALSE),VLOOKUP($H431,Players!A:E,5,FALSE))</f>
        <v>WR</v>
      </c>
    </row>
    <row r="432" ht="15.75" customHeight="1">
      <c r="A432" s="1">
        <v>2019.0</v>
      </c>
      <c r="B432" s="1" t="s">
        <v>46</v>
      </c>
      <c r="C432" s="1" t="s">
        <v>13</v>
      </c>
      <c r="D432" s="8">
        <v>11.0</v>
      </c>
      <c r="E432" s="8" t="str">
        <f t="shared" si="1"/>
        <v>Non-Playoff Team</v>
      </c>
      <c r="F432" s="8">
        <v>11.0</v>
      </c>
      <c r="G432" s="8">
        <v>128.0</v>
      </c>
      <c r="H432" s="1" t="s">
        <v>190</v>
      </c>
      <c r="I432" s="1" t="str">
        <f t="shared" si="2"/>
        <v>Justin</v>
      </c>
      <c r="J432" s="1" t="str">
        <f t="shared" si="3"/>
        <v>Tucker</v>
      </c>
      <c r="K432" s="1" t="str">
        <f t="shared" si="4"/>
        <v>#N/A</v>
      </c>
      <c r="L432" s="1" t="str">
        <f>IFERROR(VLOOKUP($K432,Players!$D:$E,2,FALSE),VLOOKUP($H432,Players!A:E,5,FALSE))</f>
        <v>K</v>
      </c>
    </row>
    <row r="433" ht="15.75" customHeight="1">
      <c r="A433" s="1">
        <v>2019.0</v>
      </c>
      <c r="B433" s="1" t="s">
        <v>46</v>
      </c>
      <c r="C433" s="1" t="s">
        <v>13</v>
      </c>
      <c r="D433" s="8">
        <v>11.0</v>
      </c>
      <c r="E433" s="8" t="str">
        <f t="shared" si="1"/>
        <v>Non-Playoff Team</v>
      </c>
      <c r="F433" s="8">
        <v>12.0</v>
      </c>
      <c r="G433" s="8">
        <v>137.0</v>
      </c>
      <c r="H433" s="1" t="s">
        <v>502</v>
      </c>
      <c r="I433" s="1" t="str">
        <f t="shared" si="2"/>
        <v>#VALUE!</v>
      </c>
      <c r="J433" s="1" t="str">
        <f t="shared" si="3"/>
        <v>#VALUE!</v>
      </c>
      <c r="K433" s="1" t="str">
        <f t="shared" si="4"/>
        <v>#N/A</v>
      </c>
      <c r="L433" s="1" t="str">
        <f>IFERROR(VLOOKUP($K433,Players!$D:$E,2,FALSE),VLOOKUP($H433,Players!A:E,5,FALSE))</f>
        <v>DEF</v>
      </c>
    </row>
    <row r="434" ht="15.75" customHeight="1">
      <c r="A434" s="1">
        <v>2019.0</v>
      </c>
      <c r="B434" s="1" t="s">
        <v>46</v>
      </c>
      <c r="C434" s="1" t="s">
        <v>13</v>
      </c>
      <c r="D434" s="8">
        <v>11.0</v>
      </c>
      <c r="E434" s="8" t="str">
        <f t="shared" si="1"/>
        <v>Non-Playoff Team</v>
      </c>
      <c r="F434" s="8">
        <v>13.0</v>
      </c>
      <c r="G434" s="8">
        <v>152.0</v>
      </c>
      <c r="H434" s="1" t="s">
        <v>197</v>
      </c>
      <c r="I434" s="1" t="str">
        <f t="shared" si="2"/>
        <v>Adrian</v>
      </c>
      <c r="J434" s="1" t="str">
        <f t="shared" si="3"/>
        <v>Peterson</v>
      </c>
      <c r="K434" s="1" t="str">
        <f t="shared" si="4"/>
        <v>#N/A</v>
      </c>
      <c r="L434" s="1" t="str">
        <f>IFERROR(VLOOKUP($K434,Players!$D:$E,2,FALSE),VLOOKUP($H434,Players!A:E,5,FALSE))</f>
        <v>RB</v>
      </c>
    </row>
    <row r="435" ht="15.75" customHeight="1">
      <c r="A435" s="1">
        <v>2019.0</v>
      </c>
      <c r="B435" s="1" t="s">
        <v>46</v>
      </c>
      <c r="C435" s="1" t="s">
        <v>13</v>
      </c>
      <c r="D435" s="8">
        <v>11.0</v>
      </c>
      <c r="E435" s="8" t="str">
        <f t="shared" si="1"/>
        <v>Non-Playoff Team</v>
      </c>
      <c r="F435" s="8">
        <v>14.0</v>
      </c>
      <c r="G435" s="8">
        <v>161.0</v>
      </c>
      <c r="H435" s="1" t="s">
        <v>982</v>
      </c>
      <c r="I435" s="1" t="str">
        <f t="shared" si="2"/>
        <v>Keke</v>
      </c>
      <c r="J435" s="1" t="str">
        <f t="shared" si="3"/>
        <v>Coutee</v>
      </c>
      <c r="K435" s="1" t="str">
        <f t="shared" si="4"/>
        <v>#N/A</v>
      </c>
      <c r="L435" s="1" t="str">
        <f>IFERROR(VLOOKUP($K435,Players!$D:$E,2,FALSE),VLOOKUP($H435,Players!A:E,5,FALSE))</f>
        <v>WR</v>
      </c>
    </row>
    <row r="436" ht="15.75" customHeight="1">
      <c r="A436" s="1">
        <v>2019.0</v>
      </c>
      <c r="B436" s="1" t="s">
        <v>46</v>
      </c>
      <c r="C436" s="1" t="s">
        <v>13</v>
      </c>
      <c r="D436" s="8">
        <v>11.0</v>
      </c>
      <c r="E436" s="8" t="str">
        <f t="shared" si="1"/>
        <v>Non-Playoff Team</v>
      </c>
      <c r="F436" s="8">
        <v>15.0</v>
      </c>
      <c r="G436" s="8">
        <v>176.0</v>
      </c>
      <c r="H436" s="1" t="s">
        <v>985</v>
      </c>
      <c r="I436" s="1" t="str">
        <f t="shared" si="2"/>
        <v>Albert</v>
      </c>
      <c r="J436" s="1" t="str">
        <f t="shared" si="3"/>
        <v>Wilson</v>
      </c>
      <c r="K436" s="1" t="str">
        <f t="shared" si="4"/>
        <v>#N/A</v>
      </c>
      <c r="L436" s="1" t="str">
        <f>IFERROR(VLOOKUP($K436,Players!$D:$E,2,FALSE),VLOOKUP($H436,Players!A:E,5,FALSE))</f>
        <v>#N/A</v>
      </c>
    </row>
    <row r="437" ht="15.75" customHeight="1">
      <c r="A437" s="1">
        <v>2019.0</v>
      </c>
      <c r="B437" s="1" t="s">
        <v>50</v>
      </c>
      <c r="C437" s="1" t="s">
        <v>8</v>
      </c>
      <c r="D437" s="8">
        <v>10.0</v>
      </c>
      <c r="E437" s="8" t="str">
        <f t="shared" si="1"/>
        <v>Non-Playoff Team</v>
      </c>
      <c r="F437" s="8">
        <v>1.0</v>
      </c>
      <c r="G437" s="8">
        <v>9.0</v>
      </c>
      <c r="H437" s="1" t="s">
        <v>96</v>
      </c>
      <c r="I437" s="1" t="str">
        <f t="shared" si="2"/>
        <v>Julio</v>
      </c>
      <c r="J437" s="1" t="str">
        <f t="shared" si="3"/>
        <v>Jones</v>
      </c>
      <c r="K437" s="1" t="str">
        <f t="shared" si="4"/>
        <v>#N/A</v>
      </c>
      <c r="L437" s="1" t="str">
        <f>IFERROR(VLOOKUP($K437,Players!$D:$E,2,FALSE),VLOOKUP($H437,Players!A:E,5,FALSE))</f>
        <v>WR</v>
      </c>
    </row>
    <row r="438" ht="15.75" customHeight="1">
      <c r="A438" s="1">
        <v>2019.0</v>
      </c>
      <c r="B438" s="1" t="s">
        <v>50</v>
      </c>
      <c r="C438" s="1" t="s">
        <v>8</v>
      </c>
      <c r="D438" s="8">
        <v>10.0</v>
      </c>
      <c r="E438" s="8" t="str">
        <f t="shared" si="1"/>
        <v>Non-Playoff Team</v>
      </c>
      <c r="F438" s="8">
        <v>2.0</v>
      </c>
      <c r="G438" s="8">
        <v>16.0</v>
      </c>
      <c r="H438" s="1" t="s">
        <v>93</v>
      </c>
      <c r="I438" s="1" t="str">
        <f t="shared" si="2"/>
        <v>Dalvin</v>
      </c>
      <c r="J438" s="1" t="str">
        <f t="shared" si="3"/>
        <v>Cook</v>
      </c>
      <c r="K438" s="1" t="str">
        <f t="shared" si="4"/>
        <v>#N/A</v>
      </c>
      <c r="L438" s="1" t="str">
        <f>IFERROR(VLOOKUP($K438,Players!$D:$E,2,FALSE),VLOOKUP($H438,Players!A:E,5,FALSE))</f>
        <v>RB</v>
      </c>
    </row>
    <row r="439" ht="15.75" customHeight="1">
      <c r="A439" s="1">
        <v>2019.0</v>
      </c>
      <c r="B439" s="1" t="s">
        <v>50</v>
      </c>
      <c r="C439" s="1" t="s">
        <v>8</v>
      </c>
      <c r="D439" s="8">
        <v>10.0</v>
      </c>
      <c r="E439" s="8" t="str">
        <f t="shared" si="1"/>
        <v>Non-Playoff Team</v>
      </c>
      <c r="F439" s="8">
        <v>3.0</v>
      </c>
      <c r="G439" s="8">
        <v>33.0</v>
      </c>
      <c r="H439" s="1" t="s">
        <v>263</v>
      </c>
      <c r="I439" s="1" t="str">
        <f t="shared" si="2"/>
        <v>Amari</v>
      </c>
      <c r="J439" s="1" t="str">
        <f t="shared" si="3"/>
        <v>Cooper</v>
      </c>
      <c r="K439" s="1" t="str">
        <f t="shared" si="4"/>
        <v>#N/A</v>
      </c>
      <c r="L439" s="1" t="str">
        <f>IFERROR(VLOOKUP($K439,Players!$D:$E,2,FALSE),VLOOKUP($H439,Players!A:E,5,FALSE))</f>
        <v>WR</v>
      </c>
    </row>
    <row r="440" ht="15.75" customHeight="1">
      <c r="A440" s="1">
        <v>2019.0</v>
      </c>
      <c r="B440" s="1" t="s">
        <v>50</v>
      </c>
      <c r="C440" s="1" t="s">
        <v>8</v>
      </c>
      <c r="D440" s="8">
        <v>10.0</v>
      </c>
      <c r="E440" s="8" t="str">
        <f t="shared" si="1"/>
        <v>Non-Playoff Team</v>
      </c>
      <c r="F440" s="8">
        <v>4.0</v>
      </c>
      <c r="G440" s="8">
        <v>40.0</v>
      </c>
      <c r="H440" s="1" t="s">
        <v>491</v>
      </c>
      <c r="I440" s="1" t="str">
        <f t="shared" si="2"/>
        <v>Kerryon</v>
      </c>
      <c r="J440" s="1" t="str">
        <f t="shared" si="3"/>
        <v>Johnson</v>
      </c>
      <c r="K440" s="1" t="str">
        <f t="shared" si="4"/>
        <v>#N/A</v>
      </c>
      <c r="L440" s="1" t="str">
        <f>IFERROR(VLOOKUP($K440,Players!$D:$E,2,FALSE),VLOOKUP($H440,Players!A:E,5,FALSE))</f>
        <v>RB</v>
      </c>
    </row>
    <row r="441" ht="15.75" customHeight="1">
      <c r="A441" s="1">
        <v>2019.0</v>
      </c>
      <c r="B441" s="1" t="s">
        <v>50</v>
      </c>
      <c r="C441" s="1" t="s">
        <v>8</v>
      </c>
      <c r="D441" s="8">
        <v>10.0</v>
      </c>
      <c r="E441" s="8" t="str">
        <f t="shared" si="1"/>
        <v>Non-Playoff Team</v>
      </c>
      <c r="F441" s="8">
        <v>5.0</v>
      </c>
      <c r="G441" s="8">
        <v>57.0</v>
      </c>
      <c r="H441" s="1" t="s">
        <v>620</v>
      </c>
      <c r="I441" s="1" t="str">
        <f t="shared" si="2"/>
        <v>Phillip</v>
      </c>
      <c r="J441" s="1" t="str">
        <f t="shared" si="3"/>
        <v>Lindsay</v>
      </c>
      <c r="K441" s="1" t="str">
        <f t="shared" si="4"/>
        <v>#N/A</v>
      </c>
      <c r="L441" s="1" t="str">
        <f>IFERROR(VLOOKUP($K441,Players!$D:$E,2,FALSE),VLOOKUP($H441,Players!A:E,5,FALSE))</f>
        <v>RB</v>
      </c>
    </row>
    <row r="442" ht="15.75" customHeight="1">
      <c r="A442" s="1">
        <v>2019.0</v>
      </c>
      <c r="B442" s="1" t="s">
        <v>50</v>
      </c>
      <c r="C442" s="1" t="s">
        <v>8</v>
      </c>
      <c r="D442" s="8">
        <v>10.0</v>
      </c>
      <c r="E442" s="8" t="str">
        <f t="shared" si="1"/>
        <v>Non-Playoff Team</v>
      </c>
      <c r="F442" s="8">
        <v>6.0</v>
      </c>
      <c r="G442" s="8">
        <v>64.0</v>
      </c>
      <c r="H442" s="1" t="s">
        <v>481</v>
      </c>
      <c r="I442" s="1" t="str">
        <f t="shared" si="2"/>
        <v>Carson</v>
      </c>
      <c r="J442" s="1" t="str">
        <f t="shared" si="3"/>
        <v>Wentz</v>
      </c>
      <c r="K442" s="1" t="str">
        <f t="shared" si="4"/>
        <v>#N/A</v>
      </c>
      <c r="L442" s="1" t="str">
        <f>IFERROR(VLOOKUP($K442,Players!$D:$E,2,FALSE),VLOOKUP($H442,Players!A:E,5,FALSE))</f>
        <v>QB</v>
      </c>
    </row>
    <row r="443" ht="15.75" customHeight="1">
      <c r="A443" s="1">
        <v>2019.0</v>
      </c>
      <c r="B443" s="1" t="s">
        <v>50</v>
      </c>
      <c r="C443" s="1" t="s">
        <v>8</v>
      </c>
      <c r="D443" s="8">
        <v>10.0</v>
      </c>
      <c r="E443" s="8" t="str">
        <f t="shared" si="1"/>
        <v>Non-Playoff Team</v>
      </c>
      <c r="F443" s="8">
        <v>7.0</v>
      </c>
      <c r="G443" s="8">
        <v>81.0</v>
      </c>
      <c r="H443" s="1" t="s">
        <v>818</v>
      </c>
      <c r="I443" s="1" t="str">
        <f t="shared" si="2"/>
        <v>Christian</v>
      </c>
      <c r="J443" s="1" t="str">
        <f t="shared" si="3"/>
        <v>Kirk</v>
      </c>
      <c r="K443" s="1" t="str">
        <f t="shared" si="4"/>
        <v>#N/A</v>
      </c>
      <c r="L443" s="1" t="str">
        <f>IFERROR(VLOOKUP($K443,Players!$D:$E,2,FALSE),VLOOKUP($H443,Players!A:E,5,FALSE))</f>
        <v>WR</v>
      </c>
    </row>
    <row r="444" ht="15.75" customHeight="1">
      <c r="A444" s="1">
        <v>2019.0</v>
      </c>
      <c r="B444" s="1" t="s">
        <v>50</v>
      </c>
      <c r="C444" s="1" t="s">
        <v>8</v>
      </c>
      <c r="D444" s="8">
        <v>10.0</v>
      </c>
      <c r="E444" s="8" t="str">
        <f t="shared" si="1"/>
        <v>Non-Playoff Team</v>
      </c>
      <c r="F444" s="8">
        <v>8.0</v>
      </c>
      <c r="G444" s="8">
        <v>88.0</v>
      </c>
      <c r="H444" s="1" t="s">
        <v>1000</v>
      </c>
      <c r="I444" s="1" t="str">
        <f t="shared" si="2"/>
        <v>David</v>
      </c>
      <c r="J444" s="1" t="str">
        <f t="shared" si="3"/>
        <v>Njoku</v>
      </c>
      <c r="K444" s="1" t="str">
        <f t="shared" si="4"/>
        <v>#N/A</v>
      </c>
      <c r="L444" s="1" t="str">
        <f>IFERROR(VLOOKUP($K444,Players!$D:$E,2,FALSE),VLOOKUP($H444,Players!A:E,5,FALSE))</f>
        <v>TE</v>
      </c>
    </row>
    <row r="445" ht="15.75" customHeight="1">
      <c r="A445" s="1">
        <v>2019.0</v>
      </c>
      <c r="B445" s="1" t="s">
        <v>50</v>
      </c>
      <c r="C445" s="1" t="s">
        <v>8</v>
      </c>
      <c r="D445" s="8">
        <v>10.0</v>
      </c>
      <c r="E445" s="8" t="str">
        <f t="shared" si="1"/>
        <v>Non-Playoff Team</v>
      </c>
      <c r="F445" s="8">
        <v>9.0</v>
      </c>
      <c r="G445" s="8">
        <v>105.0</v>
      </c>
      <c r="H445" s="1" t="s">
        <v>984</v>
      </c>
      <c r="I445" s="1" t="str">
        <f t="shared" si="2"/>
        <v>Dante</v>
      </c>
      <c r="J445" s="1" t="str">
        <f t="shared" si="3"/>
        <v>Pettis</v>
      </c>
      <c r="K445" s="1" t="str">
        <f t="shared" si="4"/>
        <v>#N/A</v>
      </c>
      <c r="L445" s="1" t="str">
        <f>IFERROR(VLOOKUP($K445,Players!$D:$E,2,FALSE),VLOOKUP($H445,Players!A:E,5,FALSE))</f>
        <v>WR</v>
      </c>
    </row>
    <row r="446" ht="15.75" customHeight="1">
      <c r="A446" s="1">
        <v>2019.0</v>
      </c>
      <c r="B446" s="1" t="s">
        <v>50</v>
      </c>
      <c r="C446" s="1" t="s">
        <v>8</v>
      </c>
      <c r="D446" s="8">
        <v>10.0</v>
      </c>
      <c r="E446" s="8" t="str">
        <f t="shared" si="1"/>
        <v>Non-Playoff Team</v>
      </c>
      <c r="F446" s="8">
        <v>10.0</v>
      </c>
      <c r="G446" s="8">
        <v>112.0</v>
      </c>
      <c r="H446" s="1" t="s">
        <v>701</v>
      </c>
      <c r="I446" s="1" t="str">
        <f t="shared" si="2"/>
        <v>DeSean</v>
      </c>
      <c r="J446" s="1" t="str">
        <f t="shared" si="3"/>
        <v>Jackson</v>
      </c>
      <c r="K446" s="1" t="str">
        <f t="shared" si="4"/>
        <v>#N/A</v>
      </c>
      <c r="L446" s="1" t="str">
        <f>IFERROR(VLOOKUP($K446,Players!$D:$E,2,FALSE),VLOOKUP($H446,Players!A:E,5,FALSE))</f>
        <v>WR</v>
      </c>
    </row>
    <row r="447" ht="15.75" customHeight="1">
      <c r="A447" s="1">
        <v>2019.0</v>
      </c>
      <c r="B447" s="1" t="s">
        <v>50</v>
      </c>
      <c r="C447" s="1" t="s">
        <v>8</v>
      </c>
      <c r="D447" s="8">
        <v>10.0</v>
      </c>
      <c r="E447" s="8" t="str">
        <f t="shared" si="1"/>
        <v>Non-Playoff Team</v>
      </c>
      <c r="F447" s="8">
        <v>11.0</v>
      </c>
      <c r="G447" s="8">
        <v>129.0</v>
      </c>
      <c r="H447" s="1" t="s">
        <v>485</v>
      </c>
      <c r="I447" s="1" t="str">
        <f t="shared" si="2"/>
        <v>John</v>
      </c>
      <c r="J447" s="1" t="str">
        <f t="shared" si="3"/>
        <v>Brown</v>
      </c>
      <c r="K447" s="1" t="str">
        <f t="shared" si="4"/>
        <v>#N/A</v>
      </c>
      <c r="L447" s="1" t="str">
        <f>IFERROR(VLOOKUP($K447,Players!$D:$E,2,FALSE),VLOOKUP($H447,Players!A:E,5,FALSE))</f>
        <v>WR</v>
      </c>
    </row>
    <row r="448" ht="15.75" customHeight="1">
      <c r="A448" s="1">
        <v>2019.0</v>
      </c>
      <c r="B448" s="1" t="s">
        <v>50</v>
      </c>
      <c r="C448" s="1" t="s">
        <v>8</v>
      </c>
      <c r="D448" s="8">
        <v>10.0</v>
      </c>
      <c r="E448" s="8" t="str">
        <f t="shared" si="1"/>
        <v>Non-Playoff Team</v>
      </c>
      <c r="F448" s="8">
        <v>12.0</v>
      </c>
      <c r="G448" s="8">
        <v>136.0</v>
      </c>
      <c r="H448" s="1" t="s">
        <v>1007</v>
      </c>
      <c r="I448" s="1" t="str">
        <f t="shared" si="2"/>
        <v>Peyton</v>
      </c>
      <c r="J448" s="1" t="str">
        <f t="shared" si="3"/>
        <v>Barber</v>
      </c>
      <c r="K448" s="1" t="str">
        <f t="shared" si="4"/>
        <v>#N/A</v>
      </c>
      <c r="L448" s="1" t="str">
        <f>IFERROR(VLOOKUP($K448,Players!$D:$E,2,FALSE),VLOOKUP($H448,Players!A:E,5,FALSE))</f>
        <v>RB</v>
      </c>
    </row>
    <row r="449" ht="15.75" customHeight="1">
      <c r="A449" s="1">
        <v>2019.0</v>
      </c>
      <c r="B449" s="1" t="s">
        <v>50</v>
      </c>
      <c r="C449" s="1" t="s">
        <v>8</v>
      </c>
      <c r="D449" s="8">
        <v>10.0</v>
      </c>
      <c r="E449" s="8" t="str">
        <f t="shared" si="1"/>
        <v>Non-Playoff Team</v>
      </c>
      <c r="F449" s="8">
        <v>13.0</v>
      </c>
      <c r="G449" s="8">
        <v>153.0</v>
      </c>
      <c r="H449" s="1" t="s">
        <v>267</v>
      </c>
      <c r="I449" s="1" t="str">
        <f t="shared" si="2"/>
        <v>Tom</v>
      </c>
      <c r="J449" s="1" t="str">
        <f t="shared" si="3"/>
        <v>Brady</v>
      </c>
      <c r="K449" s="1" t="str">
        <f t="shared" si="4"/>
        <v>#N/A</v>
      </c>
      <c r="L449" s="1" t="str">
        <f>IFERROR(VLOOKUP($K449,Players!$D:$E,2,FALSE),VLOOKUP($H449,Players!A:E,5,FALSE))</f>
        <v>QB</v>
      </c>
    </row>
    <row r="450" ht="15.75" customHeight="1">
      <c r="A450" s="1">
        <v>2019.0</v>
      </c>
      <c r="B450" s="1" t="s">
        <v>50</v>
      </c>
      <c r="C450" s="1" t="s">
        <v>8</v>
      </c>
      <c r="D450" s="8">
        <v>10.0</v>
      </c>
      <c r="E450" s="8" t="str">
        <f t="shared" si="1"/>
        <v>Non-Playoff Team</v>
      </c>
      <c r="F450" s="8">
        <v>14.0</v>
      </c>
      <c r="G450" s="8">
        <v>160.0</v>
      </c>
      <c r="H450" s="1" t="s">
        <v>231</v>
      </c>
      <c r="I450" s="1" t="str">
        <f t="shared" si="2"/>
        <v>Los</v>
      </c>
      <c r="J450" s="1" t="str">
        <f t="shared" si="3"/>
        <v>Angeles</v>
      </c>
      <c r="K450" s="1" t="str">
        <f t="shared" si="4"/>
        <v>#N/A</v>
      </c>
      <c r="L450" s="1" t="str">
        <f>IFERROR(VLOOKUP($K450,Players!$D:$E,2,FALSE),VLOOKUP($H450,Players!A:E,5,FALSE))</f>
        <v>DEF</v>
      </c>
    </row>
    <row r="451" ht="15.75" customHeight="1">
      <c r="A451" s="1">
        <v>2019.0</v>
      </c>
      <c r="B451" s="1" t="s">
        <v>50</v>
      </c>
      <c r="C451" s="1" t="s">
        <v>8</v>
      </c>
      <c r="D451" s="8">
        <v>10.0</v>
      </c>
      <c r="E451" s="8" t="str">
        <f t="shared" si="1"/>
        <v>Non-Playoff Team</v>
      </c>
      <c r="F451" s="8">
        <v>15.0</v>
      </c>
      <c r="G451" s="8">
        <v>177.0</v>
      </c>
      <c r="H451" s="1" t="s">
        <v>188</v>
      </c>
      <c r="I451" s="1" t="str">
        <f t="shared" si="2"/>
        <v>Adam</v>
      </c>
      <c r="J451" s="1" t="str">
        <f t="shared" si="3"/>
        <v>Vinatieri</v>
      </c>
      <c r="K451" s="1" t="str">
        <f t="shared" si="4"/>
        <v>#N/A</v>
      </c>
      <c r="L451" s="1" t="str">
        <f>IFERROR(VLOOKUP($K451,Players!$D:$E,2,FALSE),VLOOKUP($H451,Players!A:E,5,FALSE))</f>
        <v>K</v>
      </c>
    </row>
    <row r="452" ht="15.75" customHeight="1">
      <c r="A452" s="1">
        <v>2019.0</v>
      </c>
      <c r="B452" s="1" t="s">
        <v>16</v>
      </c>
      <c r="C452" s="1" t="s">
        <v>15</v>
      </c>
      <c r="D452" s="8">
        <v>4.0</v>
      </c>
      <c r="E452" s="8" t="str">
        <f t="shared" si="1"/>
        <v>Playoff Team</v>
      </c>
      <c r="F452" s="8">
        <v>1.0</v>
      </c>
      <c r="G452" s="8">
        <v>1.0</v>
      </c>
      <c r="H452" s="1" t="s">
        <v>108</v>
      </c>
      <c r="I452" s="1" t="str">
        <f t="shared" si="2"/>
        <v>Alvin</v>
      </c>
      <c r="J452" s="1" t="str">
        <f t="shared" si="3"/>
        <v>Kamara</v>
      </c>
      <c r="K452" s="1" t="str">
        <f t="shared" si="4"/>
        <v>#N/A</v>
      </c>
      <c r="L452" s="1" t="str">
        <f>IFERROR(VLOOKUP($K452,Players!$D:$E,2,FALSE),VLOOKUP($H452,Players!A:E,5,FALSE))</f>
        <v>RB</v>
      </c>
    </row>
    <row r="453" ht="15.75" customHeight="1">
      <c r="A453" s="1">
        <v>2019.0</v>
      </c>
      <c r="B453" s="1" t="s">
        <v>16</v>
      </c>
      <c r="C453" s="1" t="s">
        <v>15</v>
      </c>
      <c r="D453" s="8">
        <v>4.0</v>
      </c>
      <c r="E453" s="8" t="str">
        <f t="shared" si="1"/>
        <v>Playoff Team</v>
      </c>
      <c r="F453" s="8">
        <v>2.0</v>
      </c>
      <c r="G453" s="8">
        <v>24.0</v>
      </c>
      <c r="H453" s="1" t="s">
        <v>112</v>
      </c>
      <c r="I453" s="1" t="str">
        <f t="shared" si="2"/>
        <v>Adam</v>
      </c>
      <c r="J453" s="1" t="str">
        <f t="shared" si="3"/>
        <v>Thielen</v>
      </c>
      <c r="K453" s="1" t="str">
        <f t="shared" si="4"/>
        <v>#N/A</v>
      </c>
      <c r="L453" s="1" t="str">
        <f>IFERROR(VLOOKUP($K453,Players!$D:$E,2,FALSE),VLOOKUP($H453,Players!A:E,5,FALSE))</f>
        <v>WR</v>
      </c>
    </row>
    <row r="454" ht="15.75" customHeight="1">
      <c r="A454" s="1">
        <v>2019.0</v>
      </c>
      <c r="B454" s="1" t="s">
        <v>16</v>
      </c>
      <c r="C454" s="1" t="s">
        <v>15</v>
      </c>
      <c r="D454" s="8">
        <v>4.0</v>
      </c>
      <c r="E454" s="8" t="str">
        <f t="shared" si="1"/>
        <v>Playoff Team</v>
      </c>
      <c r="F454" s="8">
        <v>3.0</v>
      </c>
      <c r="G454" s="8">
        <v>25.0</v>
      </c>
      <c r="H454" s="1" t="s">
        <v>943</v>
      </c>
      <c r="I454" s="1" t="str">
        <f t="shared" si="2"/>
        <v>Damien</v>
      </c>
      <c r="J454" s="1" t="str">
        <f t="shared" si="3"/>
        <v>Williams</v>
      </c>
      <c r="K454" s="1" t="str">
        <f t="shared" si="4"/>
        <v>#N/A</v>
      </c>
      <c r="L454" s="1" t="str">
        <f>IFERROR(VLOOKUP($K454,Players!$D:$E,2,FALSE),VLOOKUP($H454,Players!A:E,5,FALSE))</f>
        <v>RB</v>
      </c>
    </row>
    <row r="455" ht="15.75" customHeight="1">
      <c r="A455" s="1">
        <v>2019.0</v>
      </c>
      <c r="B455" s="1" t="s">
        <v>16</v>
      </c>
      <c r="C455" s="1" t="s">
        <v>15</v>
      </c>
      <c r="D455" s="8">
        <v>4.0</v>
      </c>
      <c r="E455" s="8" t="str">
        <f t="shared" si="1"/>
        <v>Playoff Team</v>
      </c>
      <c r="F455" s="8">
        <v>4.0</v>
      </c>
      <c r="G455" s="8">
        <v>48.0</v>
      </c>
      <c r="H455" s="1" t="s">
        <v>117</v>
      </c>
      <c r="I455" s="1" t="str">
        <f t="shared" si="2"/>
        <v>Jarvis</v>
      </c>
      <c r="J455" s="1" t="str">
        <f t="shared" si="3"/>
        <v>Landry</v>
      </c>
      <c r="K455" s="1" t="str">
        <f t="shared" si="4"/>
        <v>#N/A</v>
      </c>
      <c r="L455" s="1" t="str">
        <f>IFERROR(VLOOKUP($K455,Players!$D:$E,2,FALSE),VLOOKUP($H455,Players!A:E,5,FALSE))</f>
        <v>WR</v>
      </c>
    </row>
    <row r="456" ht="15.75" customHeight="1">
      <c r="A456" s="1">
        <v>2019.0</v>
      </c>
      <c r="B456" s="1" t="s">
        <v>16</v>
      </c>
      <c r="C456" s="1" t="s">
        <v>15</v>
      </c>
      <c r="D456" s="8">
        <v>4.0</v>
      </c>
      <c r="E456" s="8" t="str">
        <f t="shared" si="1"/>
        <v>Playoff Team</v>
      </c>
      <c r="F456" s="8">
        <v>5.0</v>
      </c>
      <c r="G456" s="8">
        <v>49.0</v>
      </c>
      <c r="H456" s="1" t="s">
        <v>170</v>
      </c>
      <c r="I456" s="1" t="str">
        <f t="shared" si="2"/>
        <v>Calvin</v>
      </c>
      <c r="J456" s="1" t="str">
        <f t="shared" si="3"/>
        <v>Ridley</v>
      </c>
      <c r="K456" s="1" t="str">
        <f t="shared" si="4"/>
        <v>#N/A</v>
      </c>
      <c r="L456" s="1" t="str">
        <f>IFERROR(VLOOKUP($K456,Players!$D:$E,2,FALSE),VLOOKUP($H456,Players!A:E,5,FALSE))</f>
        <v>WR</v>
      </c>
    </row>
    <row r="457" ht="15.75" customHeight="1">
      <c r="A457" s="1">
        <v>2019.0</v>
      </c>
      <c r="B457" s="1" t="s">
        <v>16</v>
      </c>
      <c r="C457" s="1" t="s">
        <v>15</v>
      </c>
      <c r="D457" s="8">
        <v>4.0</v>
      </c>
      <c r="E457" s="8" t="str">
        <f t="shared" si="1"/>
        <v>Playoff Team</v>
      </c>
      <c r="F457" s="8">
        <v>6.0</v>
      </c>
      <c r="G457" s="8">
        <v>72.0</v>
      </c>
      <c r="H457" s="1" t="s">
        <v>320</v>
      </c>
      <c r="I457" s="1" t="str">
        <f t="shared" si="2"/>
        <v>Mike</v>
      </c>
      <c r="J457" s="1" t="str">
        <f t="shared" si="3"/>
        <v>Williams</v>
      </c>
      <c r="K457" s="1" t="str">
        <f t="shared" si="4"/>
        <v>#N/A</v>
      </c>
      <c r="L457" s="1" t="str">
        <f>IFERROR(VLOOKUP($K457,Players!$D:$E,2,FALSE),VLOOKUP($H457,Players!A:E,5,FALSE))</f>
        <v>WR</v>
      </c>
    </row>
    <row r="458" ht="15.75" customHeight="1">
      <c r="A458" s="1">
        <v>2019.0</v>
      </c>
      <c r="B458" s="1" t="s">
        <v>16</v>
      </c>
      <c r="C458" s="1" t="s">
        <v>15</v>
      </c>
      <c r="D458" s="8">
        <v>4.0</v>
      </c>
      <c r="E458" s="8" t="str">
        <f t="shared" si="1"/>
        <v>Playoff Team</v>
      </c>
      <c r="F458" s="8">
        <v>7.0</v>
      </c>
      <c r="G458" s="8">
        <v>73.0</v>
      </c>
      <c r="H458" s="1" t="s">
        <v>524</v>
      </c>
      <c r="I458" s="1" t="str">
        <f t="shared" si="2"/>
        <v>Matt</v>
      </c>
      <c r="J458" s="1" t="str">
        <f t="shared" si="3"/>
        <v>Ryan</v>
      </c>
      <c r="K458" s="1" t="str">
        <f t="shared" si="4"/>
        <v>#N/A</v>
      </c>
      <c r="L458" s="1" t="str">
        <f>IFERROR(VLOOKUP($K458,Players!$D:$E,2,FALSE),VLOOKUP($H458,Players!A:E,5,FALSE))</f>
        <v>QB</v>
      </c>
    </row>
    <row r="459" ht="15.75" customHeight="1">
      <c r="A459" s="1">
        <v>2019.0</v>
      </c>
      <c r="B459" s="1" t="s">
        <v>16</v>
      </c>
      <c r="C459" s="1" t="s">
        <v>15</v>
      </c>
      <c r="D459" s="8">
        <v>4.0</v>
      </c>
      <c r="E459" s="8" t="str">
        <f t="shared" si="1"/>
        <v>Playoff Team</v>
      </c>
      <c r="F459" s="8">
        <v>8.0</v>
      </c>
      <c r="G459" s="8">
        <v>96.0</v>
      </c>
      <c r="H459" s="1" t="s">
        <v>488</v>
      </c>
      <c r="I459" s="1" t="str">
        <f t="shared" si="2"/>
        <v>Jamison</v>
      </c>
      <c r="J459" s="1" t="str">
        <f t="shared" si="3"/>
        <v>Crowder</v>
      </c>
      <c r="K459" s="1" t="str">
        <f t="shared" si="4"/>
        <v>#N/A</v>
      </c>
      <c r="L459" s="1" t="str">
        <f>IFERROR(VLOOKUP($K459,Players!$D:$E,2,FALSE),VLOOKUP($H459,Players!A:E,5,FALSE))</f>
        <v>WR</v>
      </c>
    </row>
    <row r="460" ht="15.75" customHeight="1">
      <c r="A460" s="1">
        <v>2019.0</v>
      </c>
      <c r="B460" s="1" t="s">
        <v>16</v>
      </c>
      <c r="C460" s="1" t="s">
        <v>15</v>
      </c>
      <c r="D460" s="8">
        <v>4.0</v>
      </c>
      <c r="E460" s="8" t="str">
        <f t="shared" si="1"/>
        <v>Playoff Team</v>
      </c>
      <c r="F460" s="8">
        <v>9.0</v>
      </c>
      <c r="G460" s="8">
        <v>97.0</v>
      </c>
      <c r="H460" s="1" t="s">
        <v>1025</v>
      </c>
      <c r="I460" s="1" t="str">
        <f t="shared" si="2"/>
        <v>Royce</v>
      </c>
      <c r="J460" s="1" t="str">
        <f t="shared" si="3"/>
        <v>Freeman</v>
      </c>
      <c r="K460" s="1" t="str">
        <f t="shared" si="4"/>
        <v>#N/A</v>
      </c>
      <c r="L460" s="1" t="str">
        <f>IFERROR(VLOOKUP($K460,Players!$D:$E,2,FALSE),VLOOKUP($H460,Players!A:E,5,FALSE))</f>
        <v>RB</v>
      </c>
    </row>
    <row r="461" ht="15.75" customHeight="1">
      <c r="A461" s="1">
        <v>2019.0</v>
      </c>
      <c r="B461" s="1" t="s">
        <v>16</v>
      </c>
      <c r="C461" s="1" t="s">
        <v>15</v>
      </c>
      <c r="D461" s="8">
        <v>4.0</v>
      </c>
      <c r="E461" s="8" t="str">
        <f t="shared" si="1"/>
        <v>Playoff Team</v>
      </c>
      <c r="F461" s="8">
        <v>10.0</v>
      </c>
      <c r="G461" s="8">
        <v>120.0</v>
      </c>
      <c r="H461" s="1" t="s">
        <v>1028</v>
      </c>
      <c r="I461" s="1" t="str">
        <f t="shared" si="2"/>
        <v>Greg</v>
      </c>
      <c r="J461" s="1" t="str">
        <f t="shared" si="3"/>
        <v>Olsen</v>
      </c>
      <c r="K461" s="1" t="str">
        <f t="shared" si="4"/>
        <v>#N/A</v>
      </c>
      <c r="L461" s="1" t="str">
        <f>IFERROR(VLOOKUP($K461,Players!$D:$E,2,FALSE),VLOOKUP($H461,Players!A:E,5,FALSE))</f>
        <v>TE</v>
      </c>
    </row>
    <row r="462" ht="15.75" customHeight="1">
      <c r="A462" s="1">
        <v>2019.0</v>
      </c>
      <c r="B462" s="1" t="s">
        <v>16</v>
      </c>
      <c r="C462" s="1" t="s">
        <v>15</v>
      </c>
      <c r="D462" s="8">
        <v>4.0</v>
      </c>
      <c r="E462" s="8" t="str">
        <f t="shared" si="1"/>
        <v>Playoff Team</v>
      </c>
      <c r="F462" s="8">
        <v>11.0</v>
      </c>
      <c r="G462" s="8">
        <v>121.0</v>
      </c>
      <c r="H462" s="1" t="s">
        <v>1030</v>
      </c>
      <c r="I462" s="1" t="str">
        <f t="shared" si="2"/>
        <v>Jaylen</v>
      </c>
      <c r="J462" s="1" t="str">
        <f t="shared" si="3"/>
        <v>Samuels</v>
      </c>
      <c r="K462" s="1" t="str">
        <f t="shared" si="4"/>
        <v>#N/A</v>
      </c>
      <c r="L462" s="1" t="str">
        <f>IFERROR(VLOOKUP($K462,Players!$D:$E,2,FALSE),VLOOKUP($H462,Players!A:E,5,FALSE))</f>
        <v>RB</v>
      </c>
    </row>
    <row r="463" ht="15.75" customHeight="1">
      <c r="A463" s="1">
        <v>2019.0</v>
      </c>
      <c r="B463" s="1" t="s">
        <v>16</v>
      </c>
      <c r="C463" s="1" t="s">
        <v>15</v>
      </c>
      <c r="D463" s="8">
        <v>4.0</v>
      </c>
      <c r="E463" s="8" t="str">
        <f t="shared" si="1"/>
        <v>Playoff Team</v>
      </c>
      <c r="F463" s="8">
        <v>12.0</v>
      </c>
      <c r="G463" s="8">
        <v>144.0</v>
      </c>
      <c r="H463" s="1" t="s">
        <v>105</v>
      </c>
      <c r="I463" s="1" t="str">
        <f t="shared" si="2"/>
        <v>#VALUE!</v>
      </c>
      <c r="J463" s="1" t="str">
        <f t="shared" si="3"/>
        <v>#VALUE!</v>
      </c>
      <c r="K463" s="1" t="str">
        <f t="shared" si="4"/>
        <v>#N/A</v>
      </c>
      <c r="L463" s="1" t="str">
        <f>IFERROR(VLOOKUP($K463,Players!$D:$E,2,FALSE),VLOOKUP($H463,Players!A:E,5,FALSE))</f>
        <v>DEF</v>
      </c>
    </row>
    <row r="464" ht="15.75" customHeight="1">
      <c r="A464" s="1">
        <v>2019.0</v>
      </c>
      <c r="B464" s="1" t="s">
        <v>16</v>
      </c>
      <c r="C464" s="1" t="s">
        <v>15</v>
      </c>
      <c r="D464" s="8">
        <v>4.0</v>
      </c>
      <c r="E464" s="8" t="str">
        <f t="shared" si="1"/>
        <v>Playoff Team</v>
      </c>
      <c r="F464" s="8">
        <v>13.0</v>
      </c>
      <c r="G464" s="8">
        <v>145.0</v>
      </c>
      <c r="H464" s="1" t="s">
        <v>323</v>
      </c>
      <c r="I464" s="1" t="str">
        <f t="shared" si="2"/>
        <v>Harrison</v>
      </c>
      <c r="J464" s="1" t="str">
        <f t="shared" si="3"/>
        <v>Butker</v>
      </c>
      <c r="K464" s="1" t="str">
        <f t="shared" si="4"/>
        <v>#N/A</v>
      </c>
      <c r="L464" s="1" t="str">
        <f>IFERROR(VLOOKUP($K464,Players!$D:$E,2,FALSE),VLOOKUP($H464,Players!A:E,5,FALSE))</f>
        <v>K</v>
      </c>
    </row>
    <row r="465" ht="15.75" customHeight="1">
      <c r="A465" s="1">
        <v>2019.0</v>
      </c>
      <c r="B465" s="1" t="s">
        <v>16</v>
      </c>
      <c r="C465" s="1" t="s">
        <v>15</v>
      </c>
      <c r="D465" s="8">
        <v>4.0</v>
      </c>
      <c r="E465" s="8" t="str">
        <f t="shared" si="1"/>
        <v>Playoff Team</v>
      </c>
      <c r="F465" s="8">
        <v>14.0</v>
      </c>
      <c r="G465" s="8">
        <v>168.0</v>
      </c>
      <c r="H465" s="1" t="s">
        <v>113</v>
      </c>
      <c r="I465" s="1" t="str">
        <f t="shared" si="2"/>
        <v>Kareem</v>
      </c>
      <c r="J465" s="1" t="str">
        <f t="shared" si="3"/>
        <v>Hunt</v>
      </c>
      <c r="K465" s="1" t="str">
        <f t="shared" si="4"/>
        <v>#N/A</v>
      </c>
      <c r="L465" s="1" t="str">
        <f>IFERROR(VLOOKUP($K465,Players!$D:$E,2,FALSE),VLOOKUP($H465,Players!A:E,5,FALSE))</f>
        <v>RB</v>
      </c>
    </row>
    <row r="466" ht="15.75" customHeight="1">
      <c r="A466" s="1">
        <v>2019.0</v>
      </c>
      <c r="B466" s="1" t="s">
        <v>16</v>
      </c>
      <c r="C466" s="1" t="s">
        <v>15</v>
      </c>
      <c r="D466" s="8">
        <v>4.0</v>
      </c>
      <c r="E466" s="8" t="str">
        <f t="shared" si="1"/>
        <v>Playoff Team</v>
      </c>
      <c r="F466" s="8">
        <v>15.0</v>
      </c>
      <c r="G466" s="8">
        <v>169.0</v>
      </c>
      <c r="H466" s="1" t="s">
        <v>1035</v>
      </c>
      <c r="I466" s="1" t="str">
        <f t="shared" si="2"/>
        <v>Mitch</v>
      </c>
      <c r="J466" s="1" t="str">
        <f t="shared" si="3"/>
        <v>Trubisky</v>
      </c>
      <c r="K466" s="1" t="str">
        <f t="shared" si="4"/>
        <v>#N/A</v>
      </c>
      <c r="L466" s="1" t="str">
        <f>IFERROR(VLOOKUP($K466,Players!$D:$E,2,FALSE),VLOOKUP($H466,Players!A:E,5,FALSE))</f>
        <v>#N/A</v>
      </c>
    </row>
    <row r="467" ht="15.75" customHeight="1">
      <c r="A467" s="1">
        <v>2019.0</v>
      </c>
      <c r="B467" s="1" t="s">
        <v>58</v>
      </c>
      <c r="C467" s="1" t="s">
        <v>23</v>
      </c>
      <c r="D467" s="8">
        <v>7.0</v>
      </c>
      <c r="E467" s="8" t="str">
        <f t="shared" si="1"/>
        <v>Non-Playoff Team</v>
      </c>
      <c r="F467" s="8">
        <v>1.0</v>
      </c>
      <c r="G467" s="8">
        <v>12.0</v>
      </c>
      <c r="H467" s="1" t="s">
        <v>760</v>
      </c>
      <c r="I467" s="1" t="str">
        <f t="shared" si="2"/>
        <v>Todd</v>
      </c>
      <c r="J467" s="1" t="str">
        <f t="shared" si="3"/>
        <v>Gurley II</v>
      </c>
      <c r="K467" s="1" t="str">
        <f t="shared" si="4"/>
        <v>#N/A</v>
      </c>
      <c r="L467" s="1" t="str">
        <f>IFERROR(VLOOKUP($K467,Players!$D:$E,2,FALSE),VLOOKUP($H467,Players!A:E,5,FALSE))</f>
        <v>#N/A</v>
      </c>
    </row>
    <row r="468" ht="15.75" customHeight="1">
      <c r="A468" s="1">
        <v>2019.0</v>
      </c>
      <c r="B468" s="1" t="s">
        <v>58</v>
      </c>
      <c r="C468" s="1" t="s">
        <v>23</v>
      </c>
      <c r="D468" s="8">
        <v>7.0</v>
      </c>
      <c r="E468" s="8" t="str">
        <f t="shared" si="1"/>
        <v>Non-Playoff Team</v>
      </c>
      <c r="F468" s="8">
        <v>2.0</v>
      </c>
      <c r="G468" s="8">
        <v>13.0</v>
      </c>
      <c r="H468" s="1" t="s">
        <v>139</v>
      </c>
      <c r="I468" s="1" t="str">
        <f t="shared" si="2"/>
        <v>Travis</v>
      </c>
      <c r="J468" s="1" t="str">
        <f t="shared" si="3"/>
        <v>Kelce</v>
      </c>
      <c r="K468" s="1" t="str">
        <f t="shared" si="4"/>
        <v>#N/A</v>
      </c>
      <c r="L468" s="1" t="str">
        <f>IFERROR(VLOOKUP($K468,Players!$D:$E,2,FALSE),VLOOKUP($H468,Players!A:E,5,FALSE))</f>
        <v>TE</v>
      </c>
    </row>
    <row r="469" ht="15.75" customHeight="1">
      <c r="A469" s="1">
        <v>2019.0</v>
      </c>
      <c r="B469" s="1" t="s">
        <v>58</v>
      </c>
      <c r="C469" s="1" t="s">
        <v>23</v>
      </c>
      <c r="D469" s="8">
        <v>7.0</v>
      </c>
      <c r="E469" s="8" t="str">
        <f t="shared" si="1"/>
        <v>Non-Playoff Team</v>
      </c>
      <c r="F469" s="8">
        <v>3.0</v>
      </c>
      <c r="G469" s="8">
        <v>36.0</v>
      </c>
      <c r="H469" s="1" t="s">
        <v>452</v>
      </c>
      <c r="I469" s="1" t="str">
        <f t="shared" si="2"/>
        <v>James</v>
      </c>
      <c r="J469" s="1" t="str">
        <f t="shared" si="3"/>
        <v>White</v>
      </c>
      <c r="K469" s="1" t="str">
        <f t="shared" si="4"/>
        <v>#N/A</v>
      </c>
      <c r="L469" s="1" t="str">
        <f>IFERROR(VLOOKUP($K469,Players!$D:$E,2,FALSE),VLOOKUP($H469,Players!A:E,5,FALSE))</f>
        <v>RB</v>
      </c>
    </row>
    <row r="470" ht="15.75" customHeight="1">
      <c r="A470" s="1">
        <v>2019.0</v>
      </c>
      <c r="B470" s="1" t="s">
        <v>58</v>
      </c>
      <c r="C470" s="1" t="s">
        <v>23</v>
      </c>
      <c r="D470" s="8">
        <v>7.0</v>
      </c>
      <c r="E470" s="8" t="str">
        <f t="shared" si="1"/>
        <v>Non-Playoff Team</v>
      </c>
      <c r="F470" s="8">
        <v>4.0</v>
      </c>
      <c r="G470" s="8">
        <v>37.0</v>
      </c>
      <c r="H470" s="1" t="s">
        <v>142</v>
      </c>
      <c r="I470" s="1" t="str">
        <f t="shared" si="2"/>
        <v>Tyler</v>
      </c>
      <c r="J470" s="1" t="str">
        <f t="shared" si="3"/>
        <v>Lockett</v>
      </c>
      <c r="K470" s="1" t="str">
        <f t="shared" si="4"/>
        <v>#N/A</v>
      </c>
      <c r="L470" s="1" t="str">
        <f>IFERROR(VLOOKUP($K470,Players!$D:$E,2,FALSE),VLOOKUP($H470,Players!A:E,5,FALSE))</f>
        <v>WR</v>
      </c>
    </row>
    <row r="471" ht="15.75" customHeight="1">
      <c r="A471" s="1">
        <v>2019.0</v>
      </c>
      <c r="B471" s="1" t="s">
        <v>58</v>
      </c>
      <c r="C471" s="1" t="s">
        <v>23</v>
      </c>
      <c r="D471" s="8">
        <v>7.0</v>
      </c>
      <c r="E471" s="8" t="str">
        <f t="shared" si="1"/>
        <v>Non-Playoff Team</v>
      </c>
      <c r="F471" s="8">
        <v>5.0</v>
      </c>
      <c r="G471" s="8">
        <v>60.0</v>
      </c>
      <c r="H471" s="1" t="s">
        <v>256</v>
      </c>
      <c r="I471" s="1" t="str">
        <f t="shared" si="2"/>
        <v>Austin</v>
      </c>
      <c r="J471" s="1" t="str">
        <f t="shared" si="3"/>
        <v>Ekeler</v>
      </c>
      <c r="K471" s="1" t="str">
        <f t="shared" si="4"/>
        <v>#N/A</v>
      </c>
      <c r="L471" s="1" t="str">
        <f>IFERROR(VLOOKUP($K471,Players!$D:$E,2,FALSE),VLOOKUP($H471,Players!A:E,5,FALSE))</f>
        <v>RB</v>
      </c>
    </row>
    <row r="472" ht="15.75" customHeight="1">
      <c r="A472" s="1">
        <v>2019.0</v>
      </c>
      <c r="B472" s="1" t="s">
        <v>58</v>
      </c>
      <c r="C472" s="1" t="s">
        <v>23</v>
      </c>
      <c r="D472" s="8">
        <v>7.0</v>
      </c>
      <c r="E472" s="8" t="str">
        <f t="shared" si="1"/>
        <v>Non-Playoff Team</v>
      </c>
      <c r="F472" s="8">
        <v>6.0</v>
      </c>
      <c r="G472" s="8">
        <v>61.0</v>
      </c>
      <c r="H472" s="1" t="s">
        <v>1045</v>
      </c>
      <c r="I472" s="1" t="str">
        <f t="shared" si="2"/>
        <v>Dede</v>
      </c>
      <c r="J472" s="1" t="str">
        <f t="shared" si="3"/>
        <v>Westbrook</v>
      </c>
      <c r="K472" s="1" t="str">
        <f t="shared" si="4"/>
        <v>#N/A</v>
      </c>
      <c r="L472" s="1" t="str">
        <f>IFERROR(VLOOKUP($K472,Players!$D:$E,2,FALSE),VLOOKUP($H472,Players!A:E,5,FALSE))</f>
        <v>WR</v>
      </c>
    </row>
    <row r="473" ht="15.75" customHeight="1">
      <c r="A473" s="1">
        <v>2019.0</v>
      </c>
      <c r="B473" s="1" t="s">
        <v>58</v>
      </c>
      <c r="C473" s="1" t="s">
        <v>23</v>
      </c>
      <c r="D473" s="8">
        <v>7.0</v>
      </c>
      <c r="E473" s="8" t="str">
        <f t="shared" si="1"/>
        <v>Non-Playoff Team</v>
      </c>
      <c r="F473" s="8">
        <v>7.0</v>
      </c>
      <c r="G473" s="8">
        <v>84.0</v>
      </c>
      <c r="H473" s="1" t="s">
        <v>328</v>
      </c>
      <c r="I473" s="1" t="str">
        <f t="shared" si="2"/>
        <v>Sterling</v>
      </c>
      <c r="J473" s="1" t="str">
        <f t="shared" si="3"/>
        <v>Shepard</v>
      </c>
      <c r="K473" s="1" t="str">
        <f t="shared" si="4"/>
        <v>#N/A</v>
      </c>
      <c r="L473" s="1" t="str">
        <f>IFERROR(VLOOKUP($K473,Players!$D:$E,2,FALSE),VLOOKUP($H473,Players!A:E,5,FALSE))</f>
        <v>WR</v>
      </c>
    </row>
    <row r="474" ht="15.75" customHeight="1">
      <c r="A474" s="1">
        <v>2019.0</v>
      </c>
      <c r="B474" s="1" t="s">
        <v>58</v>
      </c>
      <c r="C474" s="1" t="s">
        <v>23</v>
      </c>
      <c r="D474" s="8">
        <v>7.0</v>
      </c>
      <c r="E474" s="8" t="str">
        <f t="shared" si="1"/>
        <v>Non-Playoff Team</v>
      </c>
      <c r="F474" s="8">
        <v>8.0</v>
      </c>
      <c r="G474" s="8">
        <v>85.0</v>
      </c>
      <c r="H474" s="1" t="s">
        <v>434</v>
      </c>
      <c r="I474" s="1" t="str">
        <f t="shared" si="2"/>
        <v>Baker</v>
      </c>
      <c r="J474" s="1" t="str">
        <f t="shared" si="3"/>
        <v>Mayfield</v>
      </c>
      <c r="K474" s="1" t="str">
        <f t="shared" si="4"/>
        <v>#N/A</v>
      </c>
      <c r="L474" s="1" t="str">
        <f>IFERROR(VLOOKUP($K474,Players!$D:$E,2,FALSE),VLOOKUP($H474,Players!A:E,5,FALSE))</f>
        <v>QB</v>
      </c>
    </row>
    <row r="475" ht="15.75" customHeight="1">
      <c r="A475" s="1">
        <v>2019.0</v>
      </c>
      <c r="B475" s="1" t="s">
        <v>58</v>
      </c>
      <c r="C475" s="1" t="s">
        <v>23</v>
      </c>
      <c r="D475" s="8">
        <v>7.0</v>
      </c>
      <c r="E475" s="8" t="str">
        <f t="shared" si="1"/>
        <v>Non-Playoff Team</v>
      </c>
      <c r="F475" s="8">
        <v>9.0</v>
      </c>
      <c r="G475" s="8">
        <v>108.0</v>
      </c>
      <c r="H475" s="1" t="s">
        <v>265</v>
      </c>
      <c r="I475" s="1" t="str">
        <f t="shared" si="2"/>
        <v>Darrell</v>
      </c>
      <c r="J475" s="1" t="str">
        <f t="shared" si="3"/>
        <v>Henderson Jr</v>
      </c>
      <c r="K475" s="1" t="str">
        <f t="shared" si="4"/>
        <v>#N/A</v>
      </c>
      <c r="L475" s="1" t="str">
        <f>IFERROR(VLOOKUP($K475,Players!$D:$E,2,FALSE),VLOOKUP($H475,Players!A:E,5,FALSE))</f>
        <v>#N/A</v>
      </c>
    </row>
    <row r="476" ht="15.75" customHeight="1">
      <c r="A476" s="1">
        <v>2019.0</v>
      </c>
      <c r="B476" s="1" t="s">
        <v>58</v>
      </c>
      <c r="C476" s="1" t="s">
        <v>23</v>
      </c>
      <c r="D476" s="8">
        <v>7.0</v>
      </c>
      <c r="E476" s="8" t="str">
        <f t="shared" si="1"/>
        <v>Non-Playoff Team</v>
      </c>
      <c r="F476" s="8">
        <v>10.0</v>
      </c>
      <c r="G476" s="8">
        <v>109.0</v>
      </c>
      <c r="H476" s="1" t="s">
        <v>91</v>
      </c>
      <c r="I476" s="1" t="str">
        <f t="shared" si="2"/>
        <v>Tyrell</v>
      </c>
      <c r="J476" s="1" t="str">
        <f t="shared" si="3"/>
        <v>Williams</v>
      </c>
      <c r="K476" s="1" t="str">
        <f t="shared" si="4"/>
        <v>#N/A</v>
      </c>
      <c r="L476" s="1" t="str">
        <f>IFERROR(VLOOKUP($K476,Players!$D:$E,2,FALSE),VLOOKUP($H476,Players!A:E,5,FALSE))</f>
        <v>WR</v>
      </c>
    </row>
    <row r="477" ht="15.75" customHeight="1">
      <c r="A477" s="1">
        <v>2019.0</v>
      </c>
      <c r="B477" s="1" t="s">
        <v>58</v>
      </c>
      <c r="C477" s="1" t="s">
        <v>23</v>
      </c>
      <c r="D477" s="8">
        <v>7.0</v>
      </c>
      <c r="E477" s="8" t="str">
        <f t="shared" si="1"/>
        <v>Non-Playoff Team</v>
      </c>
      <c r="F477" s="8">
        <v>11.0</v>
      </c>
      <c r="G477" s="8">
        <v>132.0</v>
      </c>
      <c r="H477" s="1" t="s">
        <v>182</v>
      </c>
      <c r="I477" s="1" t="str">
        <f t="shared" si="2"/>
        <v>Adam</v>
      </c>
      <c r="J477" s="1" t="str">
        <f t="shared" si="3"/>
        <v>Humphries</v>
      </c>
      <c r="K477" s="1" t="str">
        <f t="shared" si="4"/>
        <v>#N/A</v>
      </c>
      <c r="L477" s="1" t="str">
        <f>IFERROR(VLOOKUP($K477,Players!$D:$E,2,FALSE),VLOOKUP($H477,Players!A:E,5,FALSE))</f>
        <v>WR</v>
      </c>
    </row>
    <row r="478" ht="15.75" customHeight="1">
      <c r="A478" s="1">
        <v>2019.0</v>
      </c>
      <c r="B478" s="1" t="s">
        <v>58</v>
      </c>
      <c r="C478" s="1" t="s">
        <v>23</v>
      </c>
      <c r="D478" s="8">
        <v>7.0</v>
      </c>
      <c r="E478" s="8" t="str">
        <f t="shared" si="1"/>
        <v>Non-Playoff Team</v>
      </c>
      <c r="F478" s="8">
        <v>12.0</v>
      </c>
      <c r="G478" s="8">
        <v>133.0</v>
      </c>
      <c r="H478" s="1" t="s">
        <v>670</v>
      </c>
      <c r="I478" s="1" t="str">
        <f t="shared" si="2"/>
        <v>Chris</v>
      </c>
      <c r="J478" s="1" t="str">
        <f t="shared" si="3"/>
        <v>Thompson</v>
      </c>
      <c r="K478" s="1" t="str">
        <f t="shared" si="4"/>
        <v>#N/A</v>
      </c>
      <c r="L478" s="1" t="str">
        <f>IFERROR(VLOOKUP($K478,Players!$D:$E,2,FALSE),VLOOKUP($H478,Players!A:E,5,FALSE))</f>
        <v>WR</v>
      </c>
    </row>
    <row r="479" ht="15.75" customHeight="1">
      <c r="A479" s="1">
        <v>2019.0</v>
      </c>
      <c r="B479" s="1" t="s">
        <v>58</v>
      </c>
      <c r="C479" s="1" t="s">
        <v>23</v>
      </c>
      <c r="D479" s="8">
        <v>7.0</v>
      </c>
      <c r="E479" s="8" t="str">
        <f t="shared" si="1"/>
        <v>Non-Playoff Team</v>
      </c>
      <c r="F479" s="8">
        <v>13.0</v>
      </c>
      <c r="G479" s="8">
        <v>156.0</v>
      </c>
      <c r="H479" s="1" t="s">
        <v>178</v>
      </c>
      <c r="I479" s="1" t="str">
        <f t="shared" si="2"/>
        <v>Kyler</v>
      </c>
      <c r="J479" s="1" t="str">
        <f t="shared" si="3"/>
        <v>Murray</v>
      </c>
      <c r="K479" s="1" t="str">
        <f t="shared" si="4"/>
        <v>#N/A</v>
      </c>
      <c r="L479" s="1" t="str">
        <f>IFERROR(VLOOKUP($K479,Players!$D:$E,2,FALSE),VLOOKUP($H479,Players!A:E,5,FALSE))</f>
        <v>QB</v>
      </c>
    </row>
    <row r="480" ht="15.75" customHeight="1">
      <c r="A480" s="1">
        <v>2019.0</v>
      </c>
      <c r="B480" s="1" t="s">
        <v>58</v>
      </c>
      <c r="C480" s="1" t="s">
        <v>23</v>
      </c>
      <c r="D480" s="8">
        <v>7.0</v>
      </c>
      <c r="E480" s="8" t="str">
        <f t="shared" si="1"/>
        <v>Non-Playoff Team</v>
      </c>
      <c r="F480" s="8">
        <v>14.0</v>
      </c>
      <c r="G480" s="8">
        <v>157.0</v>
      </c>
      <c r="H480" s="1" t="s">
        <v>575</v>
      </c>
      <c r="I480" s="1" t="str">
        <f t="shared" si="2"/>
        <v>Robbie</v>
      </c>
      <c r="J480" s="1" t="str">
        <f t="shared" si="3"/>
        <v>Gould</v>
      </c>
      <c r="K480" s="1" t="str">
        <f t="shared" si="4"/>
        <v>#N/A</v>
      </c>
      <c r="L480" s="1" t="str">
        <f>IFERROR(VLOOKUP($K480,Players!$D:$E,2,FALSE),VLOOKUP($H480,Players!A:E,5,FALSE))</f>
        <v>K</v>
      </c>
    </row>
    <row r="481" ht="15.75" customHeight="1">
      <c r="A481" s="1">
        <v>2019.0</v>
      </c>
      <c r="B481" s="1" t="s">
        <v>58</v>
      </c>
      <c r="C481" s="1" t="s">
        <v>23</v>
      </c>
      <c r="D481" s="8">
        <v>7.0</v>
      </c>
      <c r="E481" s="8" t="str">
        <f t="shared" si="1"/>
        <v>Non-Playoff Team</v>
      </c>
      <c r="F481" s="8">
        <v>15.0</v>
      </c>
      <c r="G481" s="8">
        <v>180.0</v>
      </c>
      <c r="H481" s="1" t="s">
        <v>282</v>
      </c>
      <c r="I481" s="1" t="str">
        <f t="shared" si="2"/>
        <v>San</v>
      </c>
      <c r="J481" s="1" t="str">
        <f t="shared" si="3"/>
        <v>Francisco</v>
      </c>
      <c r="K481" s="1" t="str">
        <f t="shared" si="4"/>
        <v>#N/A</v>
      </c>
      <c r="L481" s="1" t="str">
        <f>IFERROR(VLOOKUP($K481,Players!$D:$E,2,FALSE),VLOOKUP($H481,Players!A:E,5,FALSE))</f>
        <v>DEF</v>
      </c>
    </row>
    <row r="482" ht="15.75" customHeight="1">
      <c r="A482" s="1">
        <v>2019.0</v>
      </c>
      <c r="B482" s="1" t="s">
        <v>41</v>
      </c>
      <c r="C482" s="1" t="s">
        <v>26</v>
      </c>
      <c r="D482" s="8">
        <v>8.0</v>
      </c>
      <c r="E482" s="8" t="str">
        <f t="shared" si="1"/>
        <v>Non-Playoff Team</v>
      </c>
      <c r="F482" s="8">
        <v>1.0</v>
      </c>
      <c r="G482" s="8">
        <v>4.0</v>
      </c>
      <c r="H482" s="1" t="s">
        <v>298</v>
      </c>
      <c r="I482" s="1" t="str">
        <f t="shared" si="2"/>
        <v>DeAndre</v>
      </c>
      <c r="J482" s="1" t="str">
        <f t="shared" si="3"/>
        <v>Hopkins</v>
      </c>
      <c r="K482" s="1" t="str">
        <f t="shared" si="4"/>
        <v>#N/A</v>
      </c>
      <c r="L482" s="1" t="str">
        <f>IFERROR(VLOOKUP($K482,Players!$D:$E,2,FALSE),VLOOKUP($H482,Players!A:E,5,FALSE))</f>
        <v>WR</v>
      </c>
    </row>
    <row r="483" ht="15.75" customHeight="1">
      <c r="A483" s="1">
        <v>2019.0</v>
      </c>
      <c r="B483" s="1" t="s">
        <v>41</v>
      </c>
      <c r="C483" s="1" t="s">
        <v>26</v>
      </c>
      <c r="D483" s="8">
        <v>8.0</v>
      </c>
      <c r="E483" s="8" t="str">
        <f t="shared" si="1"/>
        <v>Non-Playoff Team</v>
      </c>
      <c r="F483" s="8">
        <v>2.0</v>
      </c>
      <c r="G483" s="8">
        <v>21.0</v>
      </c>
      <c r="H483" s="1" t="s">
        <v>391</v>
      </c>
      <c r="I483" s="1" t="str">
        <f t="shared" si="2"/>
        <v>Mike</v>
      </c>
      <c r="J483" s="1" t="str">
        <f t="shared" si="3"/>
        <v>Evans</v>
      </c>
      <c r="K483" s="1" t="str">
        <f t="shared" si="4"/>
        <v>#N/A</v>
      </c>
      <c r="L483" s="1" t="str">
        <f>IFERROR(VLOOKUP($K483,Players!$D:$E,2,FALSE),VLOOKUP($H483,Players!A:E,5,FALSE))</f>
        <v>WR</v>
      </c>
    </row>
    <row r="484" ht="15.75" customHeight="1">
      <c r="A484" s="1">
        <v>2019.0</v>
      </c>
      <c r="B484" s="1" t="s">
        <v>41</v>
      </c>
      <c r="C484" s="1" t="s">
        <v>26</v>
      </c>
      <c r="D484" s="8">
        <v>8.0</v>
      </c>
      <c r="E484" s="8" t="str">
        <f t="shared" si="1"/>
        <v>Non-Playoff Team</v>
      </c>
      <c r="F484" s="8">
        <v>3.0</v>
      </c>
      <c r="G484" s="8">
        <v>28.0</v>
      </c>
      <c r="H484" s="1" t="s">
        <v>347</v>
      </c>
      <c r="I484" s="1" t="str">
        <f t="shared" si="2"/>
        <v>Chris</v>
      </c>
      <c r="J484" s="1" t="str">
        <f t="shared" si="3"/>
        <v>Carson</v>
      </c>
      <c r="K484" s="1" t="str">
        <f t="shared" si="4"/>
        <v>#N/A</v>
      </c>
      <c r="L484" s="1" t="str">
        <f>IFERROR(VLOOKUP($K484,Players!$D:$E,2,FALSE),VLOOKUP($H484,Players!A:E,5,FALSE))</f>
        <v>RB</v>
      </c>
    </row>
    <row r="485" ht="15.75" customHeight="1">
      <c r="A485" s="1">
        <v>2019.0</v>
      </c>
      <c r="B485" s="1" t="s">
        <v>41</v>
      </c>
      <c r="C485" s="1" t="s">
        <v>26</v>
      </c>
      <c r="D485" s="8">
        <v>8.0</v>
      </c>
      <c r="E485" s="8" t="str">
        <f t="shared" si="1"/>
        <v>Non-Playoff Team</v>
      </c>
      <c r="F485" s="8">
        <v>4.0</v>
      </c>
      <c r="G485" s="8">
        <v>45.0</v>
      </c>
      <c r="H485" s="1" t="s">
        <v>168</v>
      </c>
      <c r="I485" s="1" t="str">
        <f t="shared" si="2"/>
        <v>Derrick</v>
      </c>
      <c r="J485" s="1" t="str">
        <f t="shared" si="3"/>
        <v>Henry</v>
      </c>
      <c r="K485" s="1" t="str">
        <f t="shared" si="4"/>
        <v>#N/A</v>
      </c>
      <c r="L485" s="1" t="str">
        <f>IFERROR(VLOOKUP($K485,Players!$D:$E,2,FALSE),VLOOKUP($H485,Players!A:E,5,FALSE))</f>
        <v>RB</v>
      </c>
    </row>
    <row r="486" ht="15.75" customHeight="1">
      <c r="A486" s="1">
        <v>2019.0</v>
      </c>
      <c r="B486" s="1" t="s">
        <v>41</v>
      </c>
      <c r="C486" s="1" t="s">
        <v>26</v>
      </c>
      <c r="D486" s="8">
        <v>8.0</v>
      </c>
      <c r="E486" s="8" t="str">
        <f t="shared" si="1"/>
        <v>Non-Playoff Team</v>
      </c>
      <c r="F486" s="8">
        <v>5.0</v>
      </c>
      <c r="G486" s="8">
        <v>52.0</v>
      </c>
      <c r="H486" s="1" t="s">
        <v>176</v>
      </c>
      <c r="I486" s="1" t="str">
        <f t="shared" si="2"/>
        <v>Aaron</v>
      </c>
      <c r="J486" s="1" t="str">
        <f t="shared" si="3"/>
        <v>Rodgers</v>
      </c>
      <c r="K486" s="1" t="str">
        <f t="shared" si="4"/>
        <v>#N/A</v>
      </c>
      <c r="L486" s="1" t="str">
        <f>IFERROR(VLOOKUP($K486,Players!$D:$E,2,FALSE),VLOOKUP($H486,Players!A:E,5,FALSE))</f>
        <v>QB</v>
      </c>
    </row>
    <row r="487" ht="15.75" customHeight="1">
      <c r="A487" s="1">
        <v>2019.0</v>
      </c>
      <c r="B487" s="1" t="s">
        <v>41</v>
      </c>
      <c r="C487" s="1" t="s">
        <v>26</v>
      </c>
      <c r="D487" s="8">
        <v>8.0</v>
      </c>
      <c r="E487" s="8" t="str">
        <f t="shared" si="1"/>
        <v>Non-Playoff Team</v>
      </c>
      <c r="F487" s="8">
        <v>6.0</v>
      </c>
      <c r="G487" s="8">
        <v>69.0</v>
      </c>
      <c r="H487" s="1" t="s">
        <v>694</v>
      </c>
      <c r="I487" s="1" t="str">
        <f t="shared" si="2"/>
        <v>Jared</v>
      </c>
      <c r="J487" s="1" t="str">
        <f t="shared" si="3"/>
        <v>Cook</v>
      </c>
      <c r="K487" s="1" t="str">
        <f t="shared" si="4"/>
        <v>#N/A</v>
      </c>
      <c r="L487" s="1" t="str">
        <f>IFERROR(VLOOKUP($K487,Players!$D:$E,2,FALSE),VLOOKUP($H487,Players!A:E,5,FALSE))</f>
        <v>TE</v>
      </c>
    </row>
    <row r="488" ht="15.75" customHeight="1">
      <c r="A488" s="1">
        <v>2019.0</v>
      </c>
      <c r="B488" s="1" t="s">
        <v>41</v>
      </c>
      <c r="C488" s="1" t="s">
        <v>26</v>
      </c>
      <c r="D488" s="8">
        <v>8.0</v>
      </c>
      <c r="E488" s="8" t="str">
        <f t="shared" si="1"/>
        <v>Non-Playoff Team</v>
      </c>
      <c r="F488" s="8">
        <v>7.0</v>
      </c>
      <c r="G488" s="8">
        <v>76.0</v>
      </c>
      <c r="H488" s="1" t="s">
        <v>152</v>
      </c>
      <c r="I488" s="1" t="str">
        <f t="shared" si="2"/>
        <v>AJ</v>
      </c>
      <c r="J488" s="1" t="str">
        <f t="shared" si="3"/>
        <v>Green</v>
      </c>
      <c r="K488" s="1" t="str">
        <f t="shared" si="4"/>
        <v>#N/A</v>
      </c>
      <c r="L488" s="1" t="str">
        <f>IFERROR(VLOOKUP($K488,Players!$D:$E,2,FALSE),VLOOKUP($H488,Players!A:E,5,FALSE))</f>
        <v>WR</v>
      </c>
    </row>
    <row r="489" ht="15.75" customHeight="1">
      <c r="A489" s="1">
        <v>2019.0</v>
      </c>
      <c r="B489" s="1" t="s">
        <v>41</v>
      </c>
      <c r="C489" s="1" t="s">
        <v>26</v>
      </c>
      <c r="D489" s="8">
        <v>8.0</v>
      </c>
      <c r="E489" s="8" t="str">
        <f t="shared" si="1"/>
        <v>Non-Playoff Team</v>
      </c>
      <c r="F489" s="8">
        <v>8.0</v>
      </c>
      <c r="G489" s="8">
        <v>93.0</v>
      </c>
      <c r="H489" s="1" t="s">
        <v>362</v>
      </c>
      <c r="I489" s="1" t="str">
        <f t="shared" si="2"/>
        <v>Kenyan</v>
      </c>
      <c r="J489" s="1" t="str">
        <f t="shared" si="3"/>
        <v>Drake</v>
      </c>
      <c r="K489" s="1" t="str">
        <f t="shared" si="4"/>
        <v>#N/A</v>
      </c>
      <c r="L489" s="1" t="str">
        <f>IFERROR(VLOOKUP($K489,Players!$D:$E,2,FALSE),VLOOKUP($H489,Players!A:E,5,FALSE))</f>
        <v>RB</v>
      </c>
    </row>
    <row r="490" ht="15.75" customHeight="1">
      <c r="A490" s="1">
        <v>2019.0</v>
      </c>
      <c r="B490" s="1" t="s">
        <v>41</v>
      </c>
      <c r="C490" s="1" t="s">
        <v>26</v>
      </c>
      <c r="D490" s="8">
        <v>8.0</v>
      </c>
      <c r="E490" s="8" t="str">
        <f t="shared" si="1"/>
        <v>Non-Playoff Team</v>
      </c>
      <c r="F490" s="8">
        <v>9.0</v>
      </c>
      <c r="G490" s="8">
        <v>100.0</v>
      </c>
      <c r="H490" s="1" t="s">
        <v>1074</v>
      </c>
      <c r="I490" s="1" t="str">
        <f t="shared" si="2"/>
        <v>Marquez</v>
      </c>
      <c r="J490" s="1" t="str">
        <f t="shared" si="3"/>
        <v>Valdes-Scantling</v>
      </c>
      <c r="K490" s="1" t="str">
        <f t="shared" si="4"/>
        <v>#N/A</v>
      </c>
      <c r="L490" s="1" t="str">
        <f>IFERROR(VLOOKUP($K490,Players!$D:$E,2,FALSE),VLOOKUP($H490,Players!A:E,5,FALSE))</f>
        <v>WR</v>
      </c>
    </row>
    <row r="491" ht="15.75" customHeight="1">
      <c r="A491" s="1">
        <v>2019.0</v>
      </c>
      <c r="B491" s="1" t="s">
        <v>41</v>
      </c>
      <c r="C491" s="1" t="s">
        <v>26</v>
      </c>
      <c r="D491" s="8">
        <v>8.0</v>
      </c>
      <c r="E491" s="8" t="str">
        <f t="shared" si="1"/>
        <v>Non-Playoff Team</v>
      </c>
      <c r="F491" s="8">
        <v>10.0</v>
      </c>
      <c r="G491" s="8">
        <v>117.0</v>
      </c>
      <c r="H491" s="1" t="s">
        <v>1076</v>
      </c>
      <c r="I491" s="1" t="str">
        <f t="shared" si="2"/>
        <v>#VALUE!</v>
      </c>
      <c r="J491" s="1" t="str">
        <f t="shared" si="3"/>
        <v>#VALUE!</v>
      </c>
      <c r="K491" s="1" t="str">
        <f t="shared" si="4"/>
        <v>#N/A</v>
      </c>
      <c r="L491" s="1" t="str">
        <f>IFERROR(VLOOKUP($K491,Players!$D:$E,2,FALSE),VLOOKUP($H491,Players!A:E,5,FALSE))</f>
        <v>DEF</v>
      </c>
    </row>
    <row r="492" ht="15.75" customHeight="1">
      <c r="A492" s="1">
        <v>2019.0</v>
      </c>
      <c r="B492" s="1" t="s">
        <v>41</v>
      </c>
      <c r="C492" s="1" t="s">
        <v>26</v>
      </c>
      <c r="D492" s="8">
        <v>8.0</v>
      </c>
      <c r="E492" s="8" t="str">
        <f t="shared" si="1"/>
        <v>Non-Playoff Team</v>
      </c>
      <c r="F492" s="8">
        <v>11.0</v>
      </c>
      <c r="G492" s="8">
        <v>124.0</v>
      </c>
      <c r="H492" s="1" t="s">
        <v>438</v>
      </c>
      <c r="I492" s="1" t="str">
        <f t="shared" si="2"/>
        <v>Dallas</v>
      </c>
      <c r="J492" s="1" t="str">
        <f t="shared" si="3"/>
        <v>Goedert</v>
      </c>
      <c r="K492" s="1" t="str">
        <f t="shared" si="4"/>
        <v>#N/A</v>
      </c>
      <c r="L492" s="1" t="str">
        <f>IFERROR(VLOOKUP($K492,Players!$D:$E,2,FALSE),VLOOKUP($H492,Players!A:E,5,FALSE))</f>
        <v>TE</v>
      </c>
    </row>
    <row r="493" ht="15.75" customHeight="1">
      <c r="A493" s="1">
        <v>2019.0</v>
      </c>
      <c r="B493" s="1" t="s">
        <v>41</v>
      </c>
      <c r="C493" s="1" t="s">
        <v>26</v>
      </c>
      <c r="D493" s="8">
        <v>8.0</v>
      </c>
      <c r="E493" s="8" t="str">
        <f t="shared" si="1"/>
        <v>Non-Playoff Team</v>
      </c>
      <c r="F493" s="8">
        <v>12.0</v>
      </c>
      <c r="G493" s="8">
        <v>141.0</v>
      </c>
      <c r="H493" s="1" t="s">
        <v>665</v>
      </c>
      <c r="I493" s="1" t="str">
        <f t="shared" si="2"/>
        <v>Wil</v>
      </c>
      <c r="J493" s="1" t="str">
        <f t="shared" si="3"/>
        <v>Lutz</v>
      </c>
      <c r="K493" s="1" t="str">
        <f t="shared" si="4"/>
        <v>#N/A</v>
      </c>
      <c r="L493" s="1" t="str">
        <f>IFERROR(VLOOKUP($K493,Players!$D:$E,2,FALSE),VLOOKUP($H493,Players!A:E,5,FALSE))</f>
        <v>K</v>
      </c>
    </row>
    <row r="494" ht="15.75" customHeight="1">
      <c r="A494" s="1">
        <v>2019.0</v>
      </c>
      <c r="B494" s="1" t="s">
        <v>41</v>
      </c>
      <c r="C494" s="1" t="s">
        <v>26</v>
      </c>
      <c r="D494" s="8">
        <v>8.0</v>
      </c>
      <c r="E494" s="8" t="str">
        <f t="shared" si="1"/>
        <v>Non-Playoff Team</v>
      </c>
      <c r="F494" s="8">
        <v>13.0</v>
      </c>
      <c r="G494" s="8">
        <v>148.0</v>
      </c>
      <c r="H494" s="1" t="s">
        <v>1082</v>
      </c>
      <c r="I494" s="1" t="str">
        <f t="shared" si="2"/>
        <v>Derek</v>
      </c>
      <c r="J494" s="1" t="str">
        <f t="shared" si="3"/>
        <v>Carr</v>
      </c>
      <c r="K494" s="1" t="str">
        <f t="shared" si="4"/>
        <v>#N/A</v>
      </c>
      <c r="L494" s="1" t="str">
        <f>IFERROR(VLOOKUP($K494,Players!$D:$E,2,FALSE),VLOOKUP($H494,Players!A:E,5,FALSE))</f>
        <v>QB</v>
      </c>
    </row>
    <row r="495" ht="15.75" customHeight="1">
      <c r="A495" s="1">
        <v>2019.0</v>
      </c>
      <c r="B495" s="1" t="s">
        <v>41</v>
      </c>
      <c r="C495" s="1" t="s">
        <v>26</v>
      </c>
      <c r="D495" s="8">
        <v>8.0</v>
      </c>
      <c r="E495" s="8" t="str">
        <f t="shared" si="1"/>
        <v>Non-Playoff Team</v>
      </c>
      <c r="F495" s="8">
        <v>14.0</v>
      </c>
      <c r="G495" s="8">
        <v>165.0</v>
      </c>
      <c r="H495" s="1" t="s">
        <v>127</v>
      </c>
      <c r="I495" s="1" t="str">
        <f t="shared" si="2"/>
        <v>Damien</v>
      </c>
      <c r="J495" s="1" t="str">
        <f t="shared" si="3"/>
        <v>Harris</v>
      </c>
      <c r="K495" s="1" t="str">
        <f t="shared" si="4"/>
        <v>#N/A</v>
      </c>
      <c r="L495" s="1" t="str">
        <f>IFERROR(VLOOKUP($K495,Players!$D:$E,2,FALSE),VLOOKUP($H495,Players!A:E,5,FALSE))</f>
        <v>RB</v>
      </c>
    </row>
    <row r="496" ht="15.75" customHeight="1">
      <c r="A496" s="1">
        <v>2019.0</v>
      </c>
      <c r="B496" s="1" t="s">
        <v>41</v>
      </c>
      <c r="C496" s="1" t="s">
        <v>26</v>
      </c>
      <c r="D496" s="8">
        <v>8.0</v>
      </c>
      <c r="E496" s="8" t="str">
        <f t="shared" si="1"/>
        <v>Non-Playoff Team</v>
      </c>
      <c r="F496" s="8">
        <v>15.0</v>
      </c>
      <c r="G496" s="8">
        <v>172.0</v>
      </c>
      <c r="H496" s="1" t="s">
        <v>1086</v>
      </c>
      <c r="I496" s="1" t="str">
        <f t="shared" si="2"/>
        <v>Demaryius</v>
      </c>
      <c r="J496" s="1" t="str">
        <f t="shared" si="3"/>
        <v>Thomas</v>
      </c>
      <c r="K496" s="1" t="str">
        <f t="shared" si="4"/>
        <v>#N/A</v>
      </c>
      <c r="L496" s="1" t="str">
        <f>IFERROR(VLOOKUP($K496,Players!$D:$E,2,FALSE),VLOOKUP($H496,Players!A:E,5,FALSE))</f>
        <v>#N/A</v>
      </c>
    </row>
    <row r="497" ht="15.75" customHeight="1">
      <c r="A497" s="1">
        <v>2019.0</v>
      </c>
      <c r="B497" s="1" t="s">
        <v>24</v>
      </c>
      <c r="C497" s="1" t="s">
        <v>12</v>
      </c>
      <c r="D497" s="8">
        <v>6.0</v>
      </c>
      <c r="E497" s="8" t="str">
        <f t="shared" si="1"/>
        <v>Playoff Team</v>
      </c>
      <c r="F497" s="8">
        <v>1.0</v>
      </c>
      <c r="G497" s="8">
        <v>10.0</v>
      </c>
      <c r="H497" s="1" t="s">
        <v>425</v>
      </c>
      <c r="I497" s="1" t="str">
        <f t="shared" si="2"/>
        <v>Nick</v>
      </c>
      <c r="J497" s="1" t="str">
        <f t="shared" si="3"/>
        <v>Chubb</v>
      </c>
      <c r="K497" s="1" t="str">
        <f t="shared" si="4"/>
        <v>#N/A</v>
      </c>
      <c r="L497" s="1" t="str">
        <f>IFERROR(VLOOKUP($K497,Players!$D:$E,2,FALSE),VLOOKUP($H497,Players!A:E,5,FALSE))</f>
        <v>RB</v>
      </c>
    </row>
    <row r="498" ht="15.75" customHeight="1">
      <c r="A498" s="1">
        <v>2019.0</v>
      </c>
      <c r="B498" s="1" t="s">
        <v>24</v>
      </c>
      <c r="C498" s="1" t="s">
        <v>12</v>
      </c>
      <c r="D498" s="8">
        <v>6.0</v>
      </c>
      <c r="E498" s="8" t="str">
        <f t="shared" si="1"/>
        <v>Playoff Team</v>
      </c>
      <c r="F498" s="8">
        <v>2.0</v>
      </c>
      <c r="G498" s="8">
        <v>15.0</v>
      </c>
      <c r="H498" s="1" t="s">
        <v>435</v>
      </c>
      <c r="I498" s="1" t="str">
        <f t="shared" si="2"/>
        <v>JuJu</v>
      </c>
      <c r="J498" s="1" t="str">
        <f t="shared" si="3"/>
        <v>Smith-Schuster</v>
      </c>
      <c r="K498" s="1" t="str">
        <f t="shared" si="4"/>
        <v>#N/A</v>
      </c>
      <c r="L498" s="1" t="str">
        <f>IFERROR(VLOOKUP($K498,Players!$D:$E,2,FALSE),VLOOKUP($H498,Players!A:E,5,FALSE))</f>
        <v>WR</v>
      </c>
    </row>
    <row r="499" ht="15.75" customHeight="1">
      <c r="A499" s="1">
        <v>2019.0</v>
      </c>
      <c r="B499" s="1" t="s">
        <v>24</v>
      </c>
      <c r="C499" s="1" t="s">
        <v>12</v>
      </c>
      <c r="D499" s="8">
        <v>6.0</v>
      </c>
      <c r="E499" s="8" t="str">
        <f t="shared" si="1"/>
        <v>Playoff Team</v>
      </c>
      <c r="F499" s="8">
        <v>3.0</v>
      </c>
      <c r="G499" s="8">
        <v>34.0</v>
      </c>
      <c r="H499" s="1" t="s">
        <v>422</v>
      </c>
      <c r="I499" s="1" t="str">
        <f t="shared" si="2"/>
        <v>Stefon</v>
      </c>
      <c r="J499" s="1" t="str">
        <f t="shared" si="3"/>
        <v>Diggs</v>
      </c>
      <c r="K499" s="1" t="str">
        <f t="shared" si="4"/>
        <v>#N/A</v>
      </c>
      <c r="L499" s="1" t="str">
        <f>IFERROR(VLOOKUP($K499,Players!$D:$E,2,FALSE),VLOOKUP($H499,Players!A:E,5,FALSE))</f>
        <v>WR</v>
      </c>
    </row>
    <row r="500" ht="15.75" customHeight="1">
      <c r="A500" s="1">
        <v>2019.0</v>
      </c>
      <c r="B500" s="1" t="s">
        <v>24</v>
      </c>
      <c r="C500" s="1" t="s">
        <v>12</v>
      </c>
      <c r="D500" s="8">
        <v>6.0</v>
      </c>
      <c r="E500" s="8" t="str">
        <f t="shared" si="1"/>
        <v>Playoff Team</v>
      </c>
      <c r="F500" s="8">
        <v>4.0</v>
      </c>
      <c r="G500" s="8">
        <v>39.0</v>
      </c>
      <c r="H500" s="1" t="s">
        <v>147</v>
      </c>
      <c r="I500" s="1" t="str">
        <f t="shared" si="2"/>
        <v>Brandin</v>
      </c>
      <c r="J500" s="1" t="str">
        <f t="shared" si="3"/>
        <v>Cooks</v>
      </c>
      <c r="K500" s="1" t="str">
        <f t="shared" si="4"/>
        <v>#N/A</v>
      </c>
      <c r="L500" s="1" t="str">
        <f>IFERROR(VLOOKUP($K500,Players!$D:$E,2,FALSE),VLOOKUP($H500,Players!A:E,5,FALSE))</f>
        <v>WR</v>
      </c>
    </row>
    <row r="501" ht="15.75" customHeight="1">
      <c r="A501" s="1">
        <v>2019.0</v>
      </c>
      <c r="B501" s="1" t="s">
        <v>24</v>
      </c>
      <c r="C501" s="1" t="s">
        <v>12</v>
      </c>
      <c r="D501" s="8">
        <v>6.0</v>
      </c>
      <c r="E501" s="8" t="str">
        <f t="shared" si="1"/>
        <v>Playoff Team</v>
      </c>
      <c r="F501" s="8">
        <v>5.0</v>
      </c>
      <c r="G501" s="8">
        <v>58.0</v>
      </c>
      <c r="H501" s="1" t="s">
        <v>625</v>
      </c>
      <c r="I501" s="1" t="str">
        <f t="shared" si="2"/>
        <v>Marlon</v>
      </c>
      <c r="J501" s="1" t="str">
        <f t="shared" si="3"/>
        <v>Mack</v>
      </c>
      <c r="K501" s="1" t="str">
        <f t="shared" si="4"/>
        <v>#N/A</v>
      </c>
      <c r="L501" s="1" t="str">
        <f>IFERROR(VLOOKUP($K501,Players!$D:$E,2,FALSE),VLOOKUP($H501,Players!A:E,5,FALSE))</f>
        <v>RB</v>
      </c>
    </row>
    <row r="502" ht="15.75" customHeight="1">
      <c r="A502" s="1">
        <v>2019.0</v>
      </c>
      <c r="B502" s="1" t="s">
        <v>24</v>
      </c>
      <c r="C502" s="1" t="s">
        <v>12</v>
      </c>
      <c r="D502" s="8">
        <v>6.0</v>
      </c>
      <c r="E502" s="8" t="str">
        <f t="shared" si="1"/>
        <v>Playoff Team</v>
      </c>
      <c r="F502" s="8">
        <v>6.0</v>
      </c>
      <c r="G502" s="8">
        <v>63.0</v>
      </c>
      <c r="H502" s="1" t="s">
        <v>203</v>
      </c>
      <c r="I502" s="1" t="str">
        <f t="shared" si="2"/>
        <v>Evan</v>
      </c>
      <c r="J502" s="1" t="str">
        <f t="shared" si="3"/>
        <v>Engram</v>
      </c>
      <c r="K502" s="1" t="str">
        <f t="shared" si="4"/>
        <v>#N/A</v>
      </c>
      <c r="L502" s="1" t="str">
        <f>IFERROR(VLOOKUP($K502,Players!$D:$E,2,FALSE),VLOOKUP($H502,Players!A:E,5,FALSE))</f>
        <v>TE</v>
      </c>
    </row>
    <row r="503" ht="15.75" customHeight="1">
      <c r="A503" s="1">
        <v>2019.0</v>
      </c>
      <c r="B503" s="1" t="s">
        <v>24</v>
      </c>
      <c r="C503" s="1" t="s">
        <v>12</v>
      </c>
      <c r="D503" s="8">
        <v>6.0</v>
      </c>
      <c r="E503" s="8" t="str">
        <f t="shared" si="1"/>
        <v>Playoff Team</v>
      </c>
      <c r="F503" s="8">
        <v>7.0</v>
      </c>
      <c r="G503" s="8">
        <v>82.0</v>
      </c>
      <c r="H503" s="1" t="s">
        <v>749</v>
      </c>
      <c r="I503" s="1" t="str">
        <f t="shared" si="2"/>
        <v>Latavius</v>
      </c>
      <c r="J503" s="1" t="str">
        <f t="shared" si="3"/>
        <v>Murray</v>
      </c>
      <c r="K503" s="1" t="str">
        <f t="shared" si="4"/>
        <v>#N/A</v>
      </c>
      <c r="L503" s="1" t="str">
        <f>IFERROR(VLOOKUP($K503,Players!$D:$E,2,FALSE),VLOOKUP($H503,Players!A:E,5,FALSE))</f>
        <v>RB</v>
      </c>
    </row>
    <row r="504" ht="15.75" customHeight="1">
      <c r="A504" s="1">
        <v>2019.0</v>
      </c>
      <c r="B504" s="1" t="s">
        <v>24</v>
      </c>
      <c r="C504" s="1" t="s">
        <v>12</v>
      </c>
      <c r="D504" s="8">
        <v>6.0</v>
      </c>
      <c r="E504" s="8" t="str">
        <f t="shared" si="1"/>
        <v>Playoff Team</v>
      </c>
      <c r="F504" s="8">
        <v>8.0</v>
      </c>
      <c r="G504" s="8">
        <v>87.0</v>
      </c>
      <c r="H504" s="1" t="s">
        <v>494</v>
      </c>
      <c r="I504" s="1" t="str">
        <f t="shared" si="2"/>
        <v>Matt</v>
      </c>
      <c r="J504" s="1" t="str">
        <f t="shared" si="3"/>
        <v>Breida</v>
      </c>
      <c r="K504" s="1" t="str">
        <f t="shared" si="4"/>
        <v>#N/A</v>
      </c>
      <c r="L504" s="1" t="str">
        <f>IFERROR(VLOOKUP($K504,Players!$D:$E,2,FALSE),VLOOKUP($H504,Players!A:E,5,FALSE))</f>
        <v>RB</v>
      </c>
    </row>
    <row r="505" ht="15.75" customHeight="1">
      <c r="A505" s="1">
        <v>2019.0</v>
      </c>
      <c r="B505" s="1" t="s">
        <v>24</v>
      </c>
      <c r="C505" s="1" t="s">
        <v>12</v>
      </c>
      <c r="D505" s="8">
        <v>6.0</v>
      </c>
      <c r="E505" s="8" t="str">
        <f t="shared" si="1"/>
        <v>Playoff Team</v>
      </c>
      <c r="F505" s="8">
        <v>9.0</v>
      </c>
      <c r="G505" s="8">
        <v>106.0</v>
      </c>
      <c r="H505" s="1" t="s">
        <v>1103</v>
      </c>
      <c r="I505" s="1" t="str">
        <f t="shared" si="2"/>
        <v>Geronimo</v>
      </c>
      <c r="J505" s="1" t="str">
        <f t="shared" si="3"/>
        <v>Allison</v>
      </c>
      <c r="K505" s="1" t="str">
        <f t="shared" si="4"/>
        <v>#N/A</v>
      </c>
      <c r="L505" s="1" t="str">
        <f>IFERROR(VLOOKUP($K505,Players!$D:$E,2,FALSE),VLOOKUP($H505,Players!A:E,5,FALSE))</f>
        <v>WR</v>
      </c>
    </row>
    <row r="506" ht="15.75" customHeight="1">
      <c r="A506" s="1">
        <v>2019.0</v>
      </c>
      <c r="B506" s="1" t="s">
        <v>24</v>
      </c>
      <c r="C506" s="1" t="s">
        <v>12</v>
      </c>
      <c r="D506" s="8">
        <v>6.0</v>
      </c>
      <c r="E506" s="8" t="str">
        <f t="shared" si="1"/>
        <v>Playoff Team</v>
      </c>
      <c r="F506" s="8">
        <v>10.0</v>
      </c>
      <c r="G506" s="8">
        <v>111.0</v>
      </c>
      <c r="H506" s="1" t="s">
        <v>1105</v>
      </c>
      <c r="I506" s="1" t="str">
        <f t="shared" si="2"/>
        <v>Jameis</v>
      </c>
      <c r="J506" s="1" t="str">
        <f t="shared" si="3"/>
        <v>Winston</v>
      </c>
      <c r="K506" s="1" t="str">
        <f t="shared" si="4"/>
        <v>#N/A</v>
      </c>
      <c r="L506" s="1" t="str">
        <f>IFERROR(VLOOKUP($K506,Players!$D:$E,2,FALSE),VLOOKUP($H506,Players!A:E,5,FALSE))</f>
        <v>QB</v>
      </c>
    </row>
    <row r="507" ht="15.75" customHeight="1">
      <c r="A507" s="1">
        <v>2019.0</v>
      </c>
      <c r="B507" s="1" t="s">
        <v>24</v>
      </c>
      <c r="C507" s="1" t="s">
        <v>12</v>
      </c>
      <c r="D507" s="8">
        <v>6.0</v>
      </c>
      <c r="E507" s="8" t="str">
        <f t="shared" si="1"/>
        <v>Playoff Team</v>
      </c>
      <c r="F507" s="8">
        <v>11.0</v>
      </c>
      <c r="G507" s="8">
        <v>130.0</v>
      </c>
      <c r="H507" s="1" t="s">
        <v>332</v>
      </c>
      <c r="I507" s="1" t="str">
        <f t="shared" si="2"/>
        <v>Anthony</v>
      </c>
      <c r="J507" s="1" t="str">
        <f t="shared" si="3"/>
        <v>Miller</v>
      </c>
      <c r="K507" s="1" t="str">
        <f t="shared" si="4"/>
        <v>#N/A</v>
      </c>
      <c r="L507" s="1" t="str">
        <f>IFERROR(VLOOKUP($K507,Players!$D:$E,2,FALSE),VLOOKUP($H507,Players!A:E,5,FALSE))</f>
        <v>WR</v>
      </c>
    </row>
    <row r="508" ht="15.75" customHeight="1">
      <c r="A508" s="1">
        <v>2019.0</v>
      </c>
      <c r="B508" s="1" t="s">
        <v>24</v>
      </c>
      <c r="C508" s="1" t="s">
        <v>12</v>
      </c>
      <c r="D508" s="8">
        <v>6.0</v>
      </c>
      <c r="E508" s="8" t="str">
        <f t="shared" si="1"/>
        <v>Playoff Team</v>
      </c>
      <c r="F508" s="8">
        <v>12.0</v>
      </c>
      <c r="G508" s="8">
        <v>135.0</v>
      </c>
      <c r="H508" s="1" t="s">
        <v>1110</v>
      </c>
      <c r="I508" s="1" t="str">
        <f t="shared" si="2"/>
        <v>Justin</v>
      </c>
      <c r="J508" s="1" t="str">
        <f t="shared" si="3"/>
        <v>Jackson</v>
      </c>
      <c r="K508" s="1" t="str">
        <f t="shared" si="4"/>
        <v>#N/A</v>
      </c>
      <c r="L508" s="1" t="str">
        <f>IFERROR(VLOOKUP($K508,Players!$D:$E,2,FALSE),VLOOKUP($H508,Players!A:E,5,FALSE))</f>
        <v>RB</v>
      </c>
    </row>
    <row r="509" ht="15.75" customHeight="1">
      <c r="A509" s="1">
        <v>2019.0</v>
      </c>
      <c r="B509" s="1" t="s">
        <v>24</v>
      </c>
      <c r="C509" s="1" t="s">
        <v>12</v>
      </c>
      <c r="D509" s="8">
        <v>6.0</v>
      </c>
      <c r="E509" s="8" t="str">
        <f t="shared" si="1"/>
        <v>Playoff Team</v>
      </c>
      <c r="F509" s="8">
        <v>13.0</v>
      </c>
      <c r="G509" s="8">
        <v>154.0</v>
      </c>
      <c r="H509" s="1" t="s">
        <v>1026</v>
      </c>
      <c r="I509" s="1" t="str">
        <f t="shared" si="2"/>
        <v>Darwin</v>
      </c>
      <c r="J509" s="1" t="str">
        <f t="shared" si="3"/>
        <v>Thompson</v>
      </c>
      <c r="K509" s="1" t="str">
        <f t="shared" si="4"/>
        <v>#N/A</v>
      </c>
      <c r="L509" s="1" t="str">
        <f>IFERROR(VLOOKUP($K509,Players!$D:$E,2,FALSE),VLOOKUP($H509,Players!A:E,5,FALSE))</f>
        <v>RB</v>
      </c>
    </row>
    <row r="510" ht="15.75" customHeight="1">
      <c r="A510" s="1">
        <v>2019.0</v>
      </c>
      <c r="B510" s="1" t="s">
        <v>24</v>
      </c>
      <c r="C510" s="1" t="s">
        <v>12</v>
      </c>
      <c r="D510" s="8">
        <v>6.0</v>
      </c>
      <c r="E510" s="8" t="str">
        <f t="shared" si="1"/>
        <v>Playoff Team</v>
      </c>
      <c r="F510" s="8">
        <v>14.0</v>
      </c>
      <c r="G510" s="8">
        <v>159.0</v>
      </c>
      <c r="H510" s="1" t="s">
        <v>756</v>
      </c>
      <c r="I510" s="1" t="str">
        <f t="shared" si="2"/>
        <v>#VALUE!</v>
      </c>
      <c r="J510" s="1" t="str">
        <f t="shared" si="3"/>
        <v>#VALUE!</v>
      </c>
      <c r="K510" s="1" t="str">
        <f t="shared" si="4"/>
        <v>#N/A</v>
      </c>
      <c r="L510" s="1" t="str">
        <f>IFERROR(VLOOKUP($K510,Players!$D:$E,2,FALSE),VLOOKUP($H510,Players!A:E,5,FALSE))</f>
        <v>DEF</v>
      </c>
    </row>
    <row r="511" ht="15.75" customHeight="1">
      <c r="A511" s="1">
        <v>2019.0</v>
      </c>
      <c r="B511" s="1" t="s">
        <v>24</v>
      </c>
      <c r="C511" s="1" t="s">
        <v>12</v>
      </c>
      <c r="D511" s="8">
        <v>6.0</v>
      </c>
      <c r="E511" s="8" t="str">
        <f t="shared" si="1"/>
        <v>Playoff Team</v>
      </c>
      <c r="F511" s="8">
        <v>15.0</v>
      </c>
      <c r="G511" s="8">
        <v>178.0</v>
      </c>
      <c r="H511" s="1" t="s">
        <v>580</v>
      </c>
      <c r="I511" s="1" t="str">
        <f t="shared" si="2"/>
        <v>Brett</v>
      </c>
      <c r="J511" s="1" t="str">
        <f t="shared" si="3"/>
        <v>Maher</v>
      </c>
      <c r="K511" s="1" t="str">
        <f t="shared" si="4"/>
        <v>#N/A</v>
      </c>
      <c r="L511" s="1" t="str">
        <f>IFERROR(VLOOKUP($K511,Players!$D:$E,2,FALSE),VLOOKUP($H511,Players!A:E,5,FALSE))</f>
        <v>K</v>
      </c>
    </row>
    <row r="512" ht="15.75" customHeight="1">
      <c r="A512" s="1">
        <v>2019.0</v>
      </c>
      <c r="B512" s="1" t="s">
        <v>36</v>
      </c>
      <c r="C512" s="1" t="s">
        <v>17</v>
      </c>
      <c r="D512" s="8">
        <v>9.0</v>
      </c>
      <c r="E512" s="8" t="str">
        <f t="shared" si="1"/>
        <v>Non-Playoff Team</v>
      </c>
      <c r="F512" s="8">
        <v>1.0</v>
      </c>
      <c r="G512" s="8">
        <v>2.0</v>
      </c>
      <c r="H512" s="1" t="s">
        <v>342</v>
      </c>
      <c r="I512" s="1" t="str">
        <f t="shared" si="2"/>
        <v>Saquon</v>
      </c>
      <c r="J512" s="1" t="str">
        <f t="shared" si="3"/>
        <v>Barkley</v>
      </c>
      <c r="K512" s="1" t="str">
        <f t="shared" si="4"/>
        <v>#N/A</v>
      </c>
      <c r="L512" s="1" t="str">
        <f>IFERROR(VLOOKUP($K512,Players!$D:$E,2,FALSE),VLOOKUP($H512,Players!A:E,5,FALSE))</f>
        <v>RB</v>
      </c>
    </row>
    <row r="513" ht="15.75" customHeight="1">
      <c r="A513" s="1">
        <v>2019.0</v>
      </c>
      <c r="B513" s="1" t="s">
        <v>36</v>
      </c>
      <c r="C513" s="1" t="s">
        <v>17</v>
      </c>
      <c r="D513" s="8">
        <v>9.0</v>
      </c>
      <c r="E513" s="8" t="str">
        <f t="shared" si="1"/>
        <v>Non-Playoff Team</v>
      </c>
      <c r="F513" s="8">
        <v>2.0</v>
      </c>
      <c r="G513" s="8">
        <v>23.0</v>
      </c>
      <c r="H513" s="1" t="s">
        <v>94</v>
      </c>
      <c r="I513" s="1" t="str">
        <f t="shared" si="2"/>
        <v>Joe</v>
      </c>
      <c r="J513" s="1" t="str">
        <f t="shared" si="3"/>
        <v>Mixon</v>
      </c>
      <c r="K513" s="1" t="str">
        <f t="shared" si="4"/>
        <v>#N/A</v>
      </c>
      <c r="L513" s="1" t="str">
        <f>IFERROR(VLOOKUP($K513,Players!$D:$E,2,FALSE),VLOOKUP($H513,Players!A:E,5,FALSE))</f>
        <v>RB</v>
      </c>
    </row>
    <row r="514" ht="15.75" customHeight="1">
      <c r="A514" s="1">
        <v>2019.0</v>
      </c>
      <c r="B514" s="1" t="s">
        <v>36</v>
      </c>
      <c r="C514" s="1" t="s">
        <v>17</v>
      </c>
      <c r="D514" s="8">
        <v>9.0</v>
      </c>
      <c r="E514" s="8" t="str">
        <f t="shared" si="1"/>
        <v>Non-Playoff Team</v>
      </c>
      <c r="F514" s="8">
        <v>3.0</v>
      </c>
      <c r="G514" s="8">
        <v>26.0</v>
      </c>
      <c r="H514" s="1" t="s">
        <v>819</v>
      </c>
      <c r="I514" s="1" t="str">
        <f t="shared" si="2"/>
        <v>Zach</v>
      </c>
      <c r="J514" s="1" t="str">
        <f t="shared" si="3"/>
        <v>Ertz</v>
      </c>
      <c r="K514" s="1" t="str">
        <f t="shared" si="4"/>
        <v>#N/A</v>
      </c>
      <c r="L514" s="1" t="str">
        <f>IFERROR(VLOOKUP($K514,Players!$D:$E,2,FALSE),VLOOKUP($H514,Players!A:E,5,FALSE))</f>
        <v>TE</v>
      </c>
    </row>
    <row r="515" ht="15.75" customHeight="1">
      <c r="A515" s="1">
        <v>2019.0</v>
      </c>
      <c r="B515" s="1" t="s">
        <v>36</v>
      </c>
      <c r="C515" s="1" t="s">
        <v>17</v>
      </c>
      <c r="D515" s="8">
        <v>9.0</v>
      </c>
      <c r="E515" s="8" t="str">
        <f t="shared" si="1"/>
        <v>Non-Playoff Team</v>
      </c>
      <c r="F515" s="8">
        <v>4.0</v>
      </c>
      <c r="G515" s="8">
        <v>47.0</v>
      </c>
      <c r="H515" s="1" t="s">
        <v>822</v>
      </c>
      <c r="I515" s="1" t="str">
        <f t="shared" si="2"/>
        <v>TY</v>
      </c>
      <c r="J515" s="1" t="str">
        <f t="shared" si="3"/>
        <v>Hilton</v>
      </c>
      <c r="K515" s="1" t="str">
        <f t="shared" si="4"/>
        <v>#N/A</v>
      </c>
      <c r="L515" s="1" t="str">
        <f>IFERROR(VLOOKUP($K515,Players!$D:$E,2,FALSE),VLOOKUP($H515,Players!A:E,5,FALSE))</f>
        <v>WR</v>
      </c>
    </row>
    <row r="516" ht="15.75" customHeight="1">
      <c r="A516" s="1">
        <v>2019.0</v>
      </c>
      <c r="B516" s="1" t="s">
        <v>36</v>
      </c>
      <c r="C516" s="1" t="s">
        <v>17</v>
      </c>
      <c r="D516" s="8">
        <v>9.0</v>
      </c>
      <c r="E516" s="8" t="str">
        <f t="shared" si="1"/>
        <v>Non-Playoff Team</v>
      </c>
      <c r="F516" s="8">
        <v>5.0</v>
      </c>
      <c r="G516" s="8">
        <v>50.0</v>
      </c>
      <c r="H516" s="1" t="s">
        <v>730</v>
      </c>
      <c r="I516" s="1" t="str">
        <f t="shared" si="2"/>
        <v>Deshaun</v>
      </c>
      <c r="J516" s="1" t="str">
        <f t="shared" si="3"/>
        <v>Watson</v>
      </c>
      <c r="K516" s="1" t="str">
        <f t="shared" si="4"/>
        <v>#N/A</v>
      </c>
      <c r="L516" s="1" t="str">
        <f>IFERROR(VLOOKUP($K516,Players!$D:$E,2,FALSE),VLOOKUP($H516,Players!A:E,5,FALSE))</f>
        <v>QB</v>
      </c>
    </row>
    <row r="517" ht="15.75" customHeight="1">
      <c r="A517" s="1">
        <v>2019.0</v>
      </c>
      <c r="B517" s="1" t="s">
        <v>36</v>
      </c>
      <c r="C517" s="1" t="s">
        <v>17</v>
      </c>
      <c r="D517" s="8">
        <v>9.0</v>
      </c>
      <c r="E517" s="8" t="str">
        <f t="shared" si="1"/>
        <v>Non-Playoff Team</v>
      </c>
      <c r="F517" s="8">
        <v>6.0</v>
      </c>
      <c r="G517" s="8">
        <v>71.0</v>
      </c>
      <c r="H517" s="1" t="s">
        <v>99</v>
      </c>
      <c r="I517" s="1" t="str">
        <f t="shared" si="2"/>
        <v>Robbie</v>
      </c>
      <c r="J517" s="1" t="str">
        <f t="shared" si="3"/>
        <v>Anderson</v>
      </c>
      <c r="K517" s="1" t="str">
        <f t="shared" si="4"/>
        <v>#N/A</v>
      </c>
      <c r="L517" s="1" t="str">
        <f>IFERROR(VLOOKUP($K517,Players!$D:$E,2,FALSE),VLOOKUP($H517,Players!A:E,5,FALSE))</f>
        <v>WR</v>
      </c>
    </row>
    <row r="518" ht="15.75" customHeight="1">
      <c r="A518" s="1">
        <v>2019.0</v>
      </c>
      <c r="B518" s="1" t="s">
        <v>36</v>
      </c>
      <c r="C518" s="1" t="s">
        <v>17</v>
      </c>
      <c r="D518" s="8">
        <v>9.0</v>
      </c>
      <c r="E518" s="8" t="str">
        <f t="shared" si="1"/>
        <v>Non-Playoff Team</v>
      </c>
      <c r="F518" s="8">
        <v>7.0</v>
      </c>
      <c r="G518" s="8">
        <v>74.0</v>
      </c>
      <c r="H518" s="1" t="s">
        <v>95</v>
      </c>
      <c r="I518" s="1" t="str">
        <f t="shared" si="2"/>
        <v>Allen</v>
      </c>
      <c r="J518" s="1" t="str">
        <f t="shared" si="3"/>
        <v>Robinson II</v>
      </c>
      <c r="K518" s="1" t="str">
        <f t="shared" si="4"/>
        <v>#N/A</v>
      </c>
      <c r="L518" s="1" t="str">
        <f>IFERROR(VLOOKUP($K518,Players!$D:$E,2,FALSE),VLOOKUP($H518,Players!A:E,5,FALSE))</f>
        <v>#N/A</v>
      </c>
    </row>
    <row r="519" ht="15.75" customHeight="1">
      <c r="A519" s="1">
        <v>2019.0</v>
      </c>
      <c r="B519" s="1" t="s">
        <v>36</v>
      </c>
      <c r="C519" s="1" t="s">
        <v>17</v>
      </c>
      <c r="D519" s="8">
        <v>9.0</v>
      </c>
      <c r="E519" s="8" t="str">
        <f t="shared" si="1"/>
        <v>Non-Playoff Team</v>
      </c>
      <c r="F519" s="8">
        <v>8.0</v>
      </c>
      <c r="G519" s="8">
        <v>95.0</v>
      </c>
      <c r="H519" s="1" t="s">
        <v>751</v>
      </c>
      <c r="I519" s="1" t="str">
        <f t="shared" si="2"/>
        <v>LeSean</v>
      </c>
      <c r="J519" s="1" t="str">
        <f t="shared" si="3"/>
        <v>McCoy</v>
      </c>
      <c r="K519" s="1" t="str">
        <f t="shared" si="4"/>
        <v>#N/A</v>
      </c>
      <c r="L519" s="1" t="str">
        <f>IFERROR(VLOOKUP($K519,Players!$D:$E,2,FALSE),VLOOKUP($H519,Players!A:E,5,FALSE))</f>
        <v>RB</v>
      </c>
    </row>
    <row r="520" ht="15.75" customHeight="1">
      <c r="A520" s="1">
        <v>2019.0</v>
      </c>
      <c r="B520" s="1" t="s">
        <v>36</v>
      </c>
      <c r="C520" s="1" t="s">
        <v>17</v>
      </c>
      <c r="D520" s="8">
        <v>9.0</v>
      </c>
      <c r="E520" s="8" t="str">
        <f t="shared" si="1"/>
        <v>Non-Playoff Team</v>
      </c>
      <c r="F520" s="8">
        <v>9.0</v>
      </c>
      <c r="G520" s="8">
        <v>98.0</v>
      </c>
      <c r="H520" s="1" t="s">
        <v>835</v>
      </c>
      <c r="I520" s="1" t="str">
        <f t="shared" si="2"/>
        <v>Sammy</v>
      </c>
      <c r="J520" s="1" t="str">
        <f t="shared" si="3"/>
        <v>Watkins</v>
      </c>
      <c r="K520" s="1" t="str">
        <f t="shared" si="4"/>
        <v>#N/A</v>
      </c>
      <c r="L520" s="1" t="str">
        <f>IFERROR(VLOOKUP($K520,Players!$D:$E,2,FALSE),VLOOKUP($H520,Players!A:E,5,FALSE))</f>
        <v>WR</v>
      </c>
    </row>
    <row r="521" ht="15.75" customHeight="1">
      <c r="A521" s="1">
        <v>2019.0</v>
      </c>
      <c r="B521" s="1" t="s">
        <v>36</v>
      </c>
      <c r="C521" s="1" t="s">
        <v>17</v>
      </c>
      <c r="D521" s="8">
        <v>9.0</v>
      </c>
      <c r="E521" s="8" t="str">
        <f t="shared" si="1"/>
        <v>Non-Playoff Team</v>
      </c>
      <c r="F521" s="8">
        <v>10.0</v>
      </c>
      <c r="G521" s="8">
        <v>119.0</v>
      </c>
      <c r="H521" s="1" t="s">
        <v>231</v>
      </c>
      <c r="I521" s="1" t="str">
        <f t="shared" si="2"/>
        <v>Los</v>
      </c>
      <c r="J521" s="1" t="str">
        <f t="shared" si="3"/>
        <v>Angeles</v>
      </c>
      <c r="K521" s="1" t="str">
        <f t="shared" si="4"/>
        <v>#N/A</v>
      </c>
      <c r="L521" s="1" t="str">
        <f>IFERROR(VLOOKUP($K521,Players!$D:$E,2,FALSE),VLOOKUP($H521,Players!A:E,5,FALSE))</f>
        <v>DEF</v>
      </c>
    </row>
    <row r="522" ht="15.75" customHeight="1">
      <c r="A522" s="1">
        <v>2019.0</v>
      </c>
      <c r="B522" s="1" t="s">
        <v>36</v>
      </c>
      <c r="C522" s="1" t="s">
        <v>17</v>
      </c>
      <c r="D522" s="8">
        <v>9.0</v>
      </c>
      <c r="E522" s="8" t="str">
        <f t="shared" si="1"/>
        <v>Non-Playoff Team</v>
      </c>
      <c r="F522" s="8">
        <v>11.0</v>
      </c>
      <c r="G522" s="8">
        <v>122.0</v>
      </c>
      <c r="H522" s="1" t="s">
        <v>1131</v>
      </c>
      <c r="I522" s="1" t="str">
        <f t="shared" si="2"/>
        <v>Kenny</v>
      </c>
      <c r="J522" s="1" t="str">
        <f t="shared" si="3"/>
        <v>Stills</v>
      </c>
      <c r="K522" s="1" t="str">
        <f t="shared" si="4"/>
        <v>#N/A</v>
      </c>
      <c r="L522" s="1" t="str">
        <f>IFERROR(VLOOKUP($K522,Players!$D:$E,2,FALSE),VLOOKUP($H522,Players!A:E,5,FALSE))</f>
        <v>WR</v>
      </c>
    </row>
    <row r="523" ht="15.75" customHeight="1">
      <c r="A523" s="1">
        <v>2019.0</v>
      </c>
      <c r="B523" s="1" t="s">
        <v>36</v>
      </c>
      <c r="C523" s="1" t="s">
        <v>17</v>
      </c>
      <c r="D523" s="8">
        <v>9.0</v>
      </c>
      <c r="E523" s="8" t="str">
        <f t="shared" si="1"/>
        <v>Non-Playoff Team</v>
      </c>
      <c r="F523" s="8">
        <v>12.0</v>
      </c>
      <c r="G523" s="8">
        <v>143.0</v>
      </c>
      <c r="H523" s="1" t="s">
        <v>1135</v>
      </c>
      <c r="I523" s="1" t="str">
        <f t="shared" si="2"/>
        <v>Dion</v>
      </c>
      <c r="J523" s="1" t="str">
        <f t="shared" si="3"/>
        <v>Lewis</v>
      </c>
      <c r="K523" s="1" t="str">
        <f t="shared" si="4"/>
        <v>#N/A</v>
      </c>
      <c r="L523" s="1" t="str">
        <f>IFERROR(VLOOKUP($K523,Players!$D:$E,2,FALSE),VLOOKUP($H523,Players!A:E,5,FALSE))</f>
        <v>RB</v>
      </c>
    </row>
    <row r="524" ht="15.75" customHeight="1">
      <c r="A524" s="1">
        <v>2019.0</v>
      </c>
      <c r="B524" s="1" t="s">
        <v>36</v>
      </c>
      <c r="C524" s="1" t="s">
        <v>17</v>
      </c>
      <c r="D524" s="8">
        <v>9.0</v>
      </c>
      <c r="E524" s="8" t="str">
        <f t="shared" si="1"/>
        <v>Non-Playoff Team</v>
      </c>
      <c r="F524" s="8">
        <v>13.0</v>
      </c>
      <c r="G524" s="8">
        <v>146.0</v>
      </c>
      <c r="H524" s="1" t="s">
        <v>1137</v>
      </c>
      <c r="I524" s="1" t="str">
        <f t="shared" si="2"/>
        <v>Giovani</v>
      </c>
      <c r="J524" s="1" t="str">
        <f t="shared" si="3"/>
        <v>Bernard</v>
      </c>
      <c r="K524" s="1" t="str">
        <f t="shared" si="4"/>
        <v>#N/A</v>
      </c>
      <c r="L524" s="1" t="str">
        <f>IFERROR(VLOOKUP($K524,Players!$D:$E,2,FALSE),VLOOKUP($H524,Players!A:E,5,FALSE))</f>
        <v>RB</v>
      </c>
    </row>
    <row r="525" ht="15.75" customHeight="1">
      <c r="A525" s="1">
        <v>2019.0</v>
      </c>
      <c r="B525" s="1" t="s">
        <v>36</v>
      </c>
      <c r="C525" s="1" t="s">
        <v>17</v>
      </c>
      <c r="D525" s="8">
        <v>9.0</v>
      </c>
      <c r="E525" s="8" t="str">
        <f t="shared" si="1"/>
        <v>Non-Playoff Team</v>
      </c>
      <c r="F525" s="8">
        <v>14.0</v>
      </c>
      <c r="G525" s="8">
        <v>167.0</v>
      </c>
      <c r="H525" s="1" t="s">
        <v>478</v>
      </c>
      <c r="I525" s="1" t="str">
        <f t="shared" si="2"/>
        <v>DeVante</v>
      </c>
      <c r="J525" s="1" t="str">
        <f t="shared" si="3"/>
        <v>Parker</v>
      </c>
      <c r="K525" s="1" t="str">
        <f t="shared" si="4"/>
        <v>#N/A</v>
      </c>
      <c r="L525" s="1" t="str">
        <f>IFERROR(VLOOKUP($K525,Players!$D:$E,2,FALSE),VLOOKUP($H525,Players!A:E,5,FALSE))</f>
        <v>WR</v>
      </c>
    </row>
    <row r="526" ht="15.75" customHeight="1">
      <c r="A526" s="1">
        <v>2019.0</v>
      </c>
      <c r="B526" s="1" t="s">
        <v>36</v>
      </c>
      <c r="C526" s="1" t="s">
        <v>17</v>
      </c>
      <c r="D526" s="8">
        <v>9.0</v>
      </c>
      <c r="E526" s="8" t="str">
        <f t="shared" si="1"/>
        <v>Non-Playoff Team</v>
      </c>
      <c r="F526" s="8">
        <v>15.0</v>
      </c>
      <c r="G526" s="8">
        <v>170.0</v>
      </c>
      <c r="H526" s="1" t="s">
        <v>1140</v>
      </c>
      <c r="I526" s="1" t="str">
        <f t="shared" si="2"/>
        <v>Mason</v>
      </c>
      <c r="J526" s="1" t="str">
        <f t="shared" si="3"/>
        <v>Crosby</v>
      </c>
      <c r="K526" s="1" t="str">
        <f t="shared" si="4"/>
        <v>#N/A</v>
      </c>
      <c r="L526" s="1" t="str">
        <f>IFERROR(VLOOKUP($K526,Players!$D:$E,2,FALSE),VLOOKUP($H526,Players!A:E,5,FALSE))</f>
        <v>K</v>
      </c>
    </row>
    <row r="527" ht="15.75" customHeight="1">
      <c r="A527" s="1">
        <v>2019.0</v>
      </c>
      <c r="B527" s="1" t="s">
        <v>51</v>
      </c>
      <c r="C527" s="1" t="s">
        <v>10</v>
      </c>
      <c r="D527" s="8">
        <v>1.0</v>
      </c>
      <c r="E527" s="8" t="str">
        <f t="shared" si="1"/>
        <v>Playoff Team</v>
      </c>
      <c r="F527" s="8">
        <v>1.0</v>
      </c>
      <c r="G527" s="8">
        <v>5.0</v>
      </c>
      <c r="H527" s="1" t="s">
        <v>123</v>
      </c>
      <c r="I527" s="1" t="str">
        <f t="shared" si="2"/>
        <v>Ezekiel</v>
      </c>
      <c r="J527" s="1" t="str">
        <f t="shared" si="3"/>
        <v>Elliott</v>
      </c>
      <c r="K527" s="1" t="str">
        <f t="shared" si="4"/>
        <v>#N/A</v>
      </c>
      <c r="L527" s="1" t="str">
        <f>IFERROR(VLOOKUP($K527,Players!$D:$E,2,FALSE),VLOOKUP($H527,Players!A:E,5,FALSE))</f>
        <v>RB</v>
      </c>
    </row>
    <row r="528" ht="15.75" customHeight="1">
      <c r="A528" s="1">
        <v>2019.0</v>
      </c>
      <c r="B528" s="1" t="s">
        <v>51</v>
      </c>
      <c r="C528" s="1" t="s">
        <v>10</v>
      </c>
      <c r="D528" s="8">
        <v>1.0</v>
      </c>
      <c r="E528" s="8" t="str">
        <f t="shared" si="1"/>
        <v>Playoff Team</v>
      </c>
      <c r="F528" s="8">
        <v>2.0</v>
      </c>
      <c r="G528" s="8">
        <v>20.0</v>
      </c>
      <c r="H528" s="1" t="s">
        <v>229</v>
      </c>
      <c r="I528" s="1" t="str">
        <f t="shared" si="2"/>
        <v>Antonio</v>
      </c>
      <c r="J528" s="1" t="str">
        <f t="shared" si="3"/>
        <v>Brown</v>
      </c>
      <c r="K528" s="1" t="str">
        <f t="shared" si="4"/>
        <v>#N/A</v>
      </c>
      <c r="L528" s="1" t="str">
        <f>IFERROR(VLOOKUP($K528,Players!$D:$E,2,FALSE),VLOOKUP($H528,Players!A:E,5,FALSE))</f>
        <v>WR</v>
      </c>
    </row>
    <row r="529" ht="15.75" customHeight="1">
      <c r="A529" s="1">
        <v>2019.0</v>
      </c>
      <c r="B529" s="1" t="s">
        <v>51</v>
      </c>
      <c r="C529" s="1" t="s">
        <v>10</v>
      </c>
      <c r="D529" s="8">
        <v>1.0</v>
      </c>
      <c r="E529" s="8" t="str">
        <f t="shared" si="1"/>
        <v>Playoff Team</v>
      </c>
      <c r="F529" s="8">
        <v>3.0</v>
      </c>
      <c r="G529" s="8">
        <v>29.0</v>
      </c>
      <c r="H529" s="1" t="s">
        <v>167</v>
      </c>
      <c r="I529" s="1" t="str">
        <f t="shared" si="2"/>
        <v>Aaron</v>
      </c>
      <c r="J529" s="1" t="str">
        <f t="shared" si="3"/>
        <v>Jones</v>
      </c>
      <c r="K529" s="1" t="str">
        <f t="shared" si="4"/>
        <v>#N/A</v>
      </c>
      <c r="L529" s="1" t="str">
        <f>IFERROR(VLOOKUP($K529,Players!$D:$E,2,FALSE),VLOOKUP($H529,Players!A:E,5,FALSE))</f>
        <v>RB</v>
      </c>
    </row>
    <row r="530" ht="15.75" customHeight="1">
      <c r="A530" s="1">
        <v>2019.0</v>
      </c>
      <c r="B530" s="1" t="s">
        <v>51</v>
      </c>
      <c r="C530" s="1" t="s">
        <v>10</v>
      </c>
      <c r="D530" s="8">
        <v>1.0</v>
      </c>
      <c r="E530" s="8" t="str">
        <f t="shared" si="1"/>
        <v>Playoff Team</v>
      </c>
      <c r="F530" s="8">
        <v>4.0</v>
      </c>
      <c r="G530" s="8">
        <v>44.0</v>
      </c>
      <c r="H530" s="1" t="s">
        <v>430</v>
      </c>
      <c r="I530" s="1" t="str">
        <f t="shared" si="2"/>
        <v>Cooper</v>
      </c>
      <c r="J530" s="1" t="str">
        <f t="shared" si="3"/>
        <v>Kupp</v>
      </c>
      <c r="K530" s="1" t="str">
        <f t="shared" si="4"/>
        <v>#N/A</v>
      </c>
      <c r="L530" s="1" t="str">
        <f>IFERROR(VLOOKUP($K530,Players!$D:$E,2,FALSE),VLOOKUP($H530,Players!A:E,5,FALSE))</f>
        <v>WR</v>
      </c>
    </row>
    <row r="531" ht="15.75" customHeight="1">
      <c r="A531" s="1">
        <v>2019.0</v>
      </c>
      <c r="B531" s="1" t="s">
        <v>51</v>
      </c>
      <c r="C531" s="1" t="s">
        <v>10</v>
      </c>
      <c r="D531" s="8">
        <v>1.0</v>
      </c>
      <c r="E531" s="8" t="str">
        <f t="shared" si="1"/>
        <v>Playoff Team</v>
      </c>
      <c r="F531" s="8">
        <v>5.0</v>
      </c>
      <c r="G531" s="8">
        <v>53.0</v>
      </c>
      <c r="H531" s="1" t="s">
        <v>260</v>
      </c>
      <c r="I531" s="1" t="str">
        <f t="shared" si="2"/>
        <v>Alshon</v>
      </c>
      <c r="J531" s="1" t="str">
        <f t="shared" si="3"/>
        <v>Jeffery</v>
      </c>
      <c r="K531" s="1" t="str">
        <f t="shared" si="4"/>
        <v>#N/A</v>
      </c>
      <c r="L531" s="1" t="str">
        <f>IFERROR(VLOOKUP($K531,Players!$D:$E,2,FALSE),VLOOKUP($H531,Players!A:E,5,FALSE))</f>
        <v>WR</v>
      </c>
    </row>
    <row r="532" ht="15.75" customHeight="1">
      <c r="A532" s="1">
        <v>2019.0</v>
      </c>
      <c r="B532" s="1" t="s">
        <v>51</v>
      </c>
      <c r="C532" s="1" t="s">
        <v>10</v>
      </c>
      <c r="D532" s="8">
        <v>1.0</v>
      </c>
      <c r="E532" s="8" t="str">
        <f t="shared" si="1"/>
        <v>Playoff Team</v>
      </c>
      <c r="F532" s="8">
        <v>6.0</v>
      </c>
      <c r="G532" s="8">
        <v>68.0</v>
      </c>
      <c r="H532" s="1" t="s">
        <v>724</v>
      </c>
      <c r="I532" s="1" t="str">
        <f t="shared" si="2"/>
        <v>Mark</v>
      </c>
      <c r="J532" s="1" t="str">
        <f t="shared" si="3"/>
        <v>Ingram II</v>
      </c>
      <c r="K532" s="1" t="str">
        <f t="shared" si="4"/>
        <v>#N/A</v>
      </c>
      <c r="L532" s="1" t="str">
        <f>IFERROR(VLOOKUP($K532,Players!$D:$E,2,FALSE),VLOOKUP($H532,Players!A:E,5,FALSE))</f>
        <v>#N/A</v>
      </c>
    </row>
    <row r="533" ht="15.75" customHeight="1">
      <c r="A533" s="1">
        <v>2019.0</v>
      </c>
      <c r="B533" s="1" t="s">
        <v>51</v>
      </c>
      <c r="C533" s="1" t="s">
        <v>10</v>
      </c>
      <c r="D533" s="8">
        <v>1.0</v>
      </c>
      <c r="E533" s="8" t="str">
        <f t="shared" si="1"/>
        <v>Playoff Team</v>
      </c>
      <c r="F533" s="8">
        <v>7.0</v>
      </c>
      <c r="G533" s="8">
        <v>77.0</v>
      </c>
      <c r="H533" s="1" t="s">
        <v>1151</v>
      </c>
      <c r="I533" s="1" t="str">
        <f t="shared" si="2"/>
        <v>Vance</v>
      </c>
      <c r="J533" s="1" t="str">
        <f t="shared" si="3"/>
        <v>McDonald</v>
      </c>
      <c r="K533" s="1" t="str">
        <f t="shared" si="4"/>
        <v>#N/A</v>
      </c>
      <c r="L533" s="1" t="str">
        <f>IFERROR(VLOOKUP($K533,Players!$D:$E,2,FALSE),VLOOKUP($H533,Players!A:E,5,FALSE))</f>
        <v>TE</v>
      </c>
    </row>
    <row r="534" ht="15.75" customHeight="1">
      <c r="A534" s="1">
        <v>2019.0</v>
      </c>
      <c r="B534" s="1" t="s">
        <v>51</v>
      </c>
      <c r="C534" s="1" t="s">
        <v>10</v>
      </c>
      <c r="D534" s="8">
        <v>1.0</v>
      </c>
      <c r="E534" s="8" t="str">
        <f t="shared" si="1"/>
        <v>Playoff Team</v>
      </c>
      <c r="F534" s="8">
        <v>8.0</v>
      </c>
      <c r="G534" s="8">
        <v>92.0</v>
      </c>
      <c r="H534" s="1" t="s">
        <v>1154</v>
      </c>
      <c r="I534" s="1" t="str">
        <f t="shared" si="2"/>
        <v>Justice</v>
      </c>
      <c r="J534" s="1" t="str">
        <f t="shared" si="3"/>
        <v>Hill</v>
      </c>
      <c r="K534" s="1" t="str">
        <f t="shared" si="4"/>
        <v>#N/A</v>
      </c>
      <c r="L534" s="1" t="str">
        <f>IFERROR(VLOOKUP($K534,Players!$D:$E,2,FALSE),VLOOKUP($H534,Players!A:E,5,FALSE))</f>
        <v>RB</v>
      </c>
    </row>
    <row r="535" ht="15.75" customHeight="1">
      <c r="A535" s="1">
        <v>2019.0</v>
      </c>
      <c r="B535" s="1" t="s">
        <v>51</v>
      </c>
      <c r="C535" s="1" t="s">
        <v>10</v>
      </c>
      <c r="D535" s="8">
        <v>1.0</v>
      </c>
      <c r="E535" s="8" t="str">
        <f t="shared" si="1"/>
        <v>Playoff Team</v>
      </c>
      <c r="F535" s="8">
        <v>9.0</v>
      </c>
      <c r="G535" s="8">
        <v>101.0</v>
      </c>
      <c r="H535" s="1" t="s">
        <v>225</v>
      </c>
      <c r="I535" s="1" t="str">
        <f t="shared" si="2"/>
        <v>Lamar</v>
      </c>
      <c r="J535" s="1" t="str">
        <f t="shared" si="3"/>
        <v>Jackson</v>
      </c>
      <c r="K535" s="1" t="str">
        <f t="shared" si="4"/>
        <v>#N/A</v>
      </c>
      <c r="L535" s="1" t="str">
        <f>IFERROR(VLOOKUP($K535,Players!$D:$E,2,FALSE),VLOOKUP($H535,Players!A:E,5,FALSE))</f>
        <v>QB</v>
      </c>
    </row>
    <row r="536" ht="15.75" customHeight="1">
      <c r="A536" s="1">
        <v>2019.0</v>
      </c>
      <c r="B536" s="1" t="s">
        <v>51</v>
      </c>
      <c r="C536" s="1" t="s">
        <v>10</v>
      </c>
      <c r="D536" s="8">
        <v>1.0</v>
      </c>
      <c r="E536" s="8" t="str">
        <f t="shared" si="1"/>
        <v>Playoff Team</v>
      </c>
      <c r="F536" s="8">
        <v>10.0</v>
      </c>
      <c r="G536" s="8">
        <v>116.0</v>
      </c>
      <c r="H536" s="1" t="s">
        <v>88</v>
      </c>
      <c r="I536" s="1" t="str">
        <f t="shared" si="2"/>
        <v>Tony</v>
      </c>
      <c r="J536" s="1" t="str">
        <f t="shared" si="3"/>
        <v>Pollard</v>
      </c>
      <c r="K536" s="1" t="str">
        <f t="shared" si="4"/>
        <v>#N/A</v>
      </c>
      <c r="L536" s="1" t="str">
        <f>IFERROR(VLOOKUP($K536,Players!$D:$E,2,FALSE),VLOOKUP($H536,Players!A:E,5,FALSE))</f>
        <v>RB</v>
      </c>
    </row>
    <row r="537" ht="15.75" customHeight="1">
      <c r="A537" s="1">
        <v>2019.0</v>
      </c>
      <c r="B537" s="1" t="s">
        <v>51</v>
      </c>
      <c r="C537" s="1" t="s">
        <v>10</v>
      </c>
      <c r="D537" s="8">
        <v>1.0</v>
      </c>
      <c r="E537" s="8" t="str">
        <f t="shared" si="1"/>
        <v>Playoff Team</v>
      </c>
      <c r="F537" s="8">
        <v>11.0</v>
      </c>
      <c r="G537" s="8">
        <v>125.0</v>
      </c>
      <c r="H537" s="1" t="s">
        <v>144</v>
      </c>
      <c r="I537" s="1" t="str">
        <f t="shared" si="2"/>
        <v>Russell</v>
      </c>
      <c r="J537" s="1" t="str">
        <f t="shared" si="3"/>
        <v>Wilson</v>
      </c>
      <c r="K537" s="1" t="str">
        <f t="shared" si="4"/>
        <v>#N/A</v>
      </c>
      <c r="L537" s="1" t="str">
        <f>IFERROR(VLOOKUP($K537,Players!$D:$E,2,FALSE),VLOOKUP($H537,Players!A:E,5,FALSE))</f>
        <v>QB</v>
      </c>
    </row>
    <row r="538" ht="15.75" customHeight="1">
      <c r="A538" s="1">
        <v>2019.0</v>
      </c>
      <c r="B538" s="1" t="s">
        <v>51</v>
      </c>
      <c r="C538" s="1" t="s">
        <v>10</v>
      </c>
      <c r="D538" s="8">
        <v>1.0</v>
      </c>
      <c r="E538" s="8" t="str">
        <f t="shared" si="1"/>
        <v>Playoff Team</v>
      </c>
      <c r="F538" s="8">
        <v>12.0</v>
      </c>
      <c r="G538" s="8">
        <v>140.0</v>
      </c>
      <c r="H538" s="1" t="s">
        <v>87</v>
      </c>
      <c r="I538" s="1" t="str">
        <f t="shared" si="2"/>
        <v>#VALUE!</v>
      </c>
      <c r="J538" s="1" t="str">
        <f t="shared" si="3"/>
        <v>#VALUE!</v>
      </c>
      <c r="K538" s="1" t="str">
        <f t="shared" si="4"/>
        <v>#N/A</v>
      </c>
      <c r="L538" s="1" t="str">
        <f>IFERROR(VLOOKUP($K538,Players!$D:$E,2,FALSE),VLOOKUP($H538,Players!A:E,5,FALSE))</f>
        <v>DEF</v>
      </c>
    </row>
    <row r="539" ht="15.75" customHeight="1">
      <c r="A539" s="1">
        <v>2019.0</v>
      </c>
      <c r="B539" s="1" t="s">
        <v>51</v>
      </c>
      <c r="C539" s="1" t="s">
        <v>10</v>
      </c>
      <c r="D539" s="8">
        <v>1.0</v>
      </c>
      <c r="E539" s="8" t="str">
        <f t="shared" si="1"/>
        <v>Playoff Team</v>
      </c>
      <c r="F539" s="8">
        <v>13.0</v>
      </c>
      <c r="G539" s="8">
        <v>149.0</v>
      </c>
      <c r="H539" s="1" t="s">
        <v>1163</v>
      </c>
      <c r="I539" s="1" t="str">
        <f t="shared" si="2"/>
        <v>James</v>
      </c>
      <c r="J539" s="1" t="str">
        <f t="shared" si="3"/>
        <v>Washington</v>
      </c>
      <c r="K539" s="1" t="str">
        <f t="shared" si="4"/>
        <v>#N/A</v>
      </c>
      <c r="L539" s="1" t="str">
        <f>IFERROR(VLOOKUP($K539,Players!$D:$E,2,FALSE),VLOOKUP($H539,Players!A:E,5,FALSE))</f>
        <v>WR</v>
      </c>
    </row>
    <row r="540" ht="15.75" customHeight="1">
      <c r="A540" s="1">
        <v>2019.0</v>
      </c>
      <c r="B540" s="1" t="s">
        <v>51</v>
      </c>
      <c r="C540" s="1" t="s">
        <v>10</v>
      </c>
      <c r="D540" s="8">
        <v>1.0</v>
      </c>
      <c r="E540" s="8" t="str">
        <f t="shared" si="1"/>
        <v>Playoff Team</v>
      </c>
      <c r="F540" s="8">
        <v>14.0</v>
      </c>
      <c r="G540" s="8">
        <v>164.0</v>
      </c>
      <c r="H540" s="1" t="s">
        <v>369</v>
      </c>
      <c r="I540" s="1" t="str">
        <f t="shared" si="2"/>
        <v>New</v>
      </c>
      <c r="J540" s="1" t="str">
        <f t="shared" si="3"/>
        <v>England</v>
      </c>
      <c r="K540" s="1" t="str">
        <f t="shared" si="4"/>
        <v>#N/A</v>
      </c>
      <c r="L540" s="1" t="str">
        <f>IFERROR(VLOOKUP($K540,Players!$D:$E,2,FALSE),VLOOKUP($H540,Players!A:E,5,FALSE))</f>
        <v>DEF</v>
      </c>
    </row>
    <row r="541" ht="15.75" customHeight="1">
      <c r="A541" s="1">
        <v>2019.0</v>
      </c>
      <c r="B541" s="1" t="s">
        <v>51</v>
      </c>
      <c r="C541" s="1" t="s">
        <v>10</v>
      </c>
      <c r="D541" s="8">
        <v>1.0</v>
      </c>
      <c r="E541" s="8" t="str">
        <f t="shared" si="1"/>
        <v>Playoff Team</v>
      </c>
      <c r="F541" s="8">
        <v>15.0</v>
      </c>
      <c r="G541" s="8">
        <v>173.0</v>
      </c>
      <c r="H541" s="1" t="s">
        <v>1166</v>
      </c>
      <c r="I541" s="1" t="str">
        <f t="shared" si="2"/>
        <v>Matt</v>
      </c>
      <c r="J541" s="1" t="str">
        <f t="shared" si="3"/>
        <v>Bryant</v>
      </c>
      <c r="K541" s="1" t="str">
        <f t="shared" si="4"/>
        <v>#N/A</v>
      </c>
      <c r="L541" s="1" t="str">
        <f>IFERROR(VLOOKUP($K541,Players!$D:$E,2,FALSE),VLOOKUP($H541,Players!A:E,5,FALSE))</f>
        <v>K</v>
      </c>
    </row>
    <row r="542" ht="15.75" customHeight="1">
      <c r="A542" s="1">
        <v>2018.0</v>
      </c>
      <c r="B542" s="1" t="s">
        <v>14</v>
      </c>
      <c r="C542" s="1" t="s">
        <v>12</v>
      </c>
      <c r="D542" s="8">
        <v>11.0</v>
      </c>
      <c r="E542" s="8" t="str">
        <f t="shared" si="1"/>
        <v>Non-Playoff Team</v>
      </c>
      <c r="F542" s="8">
        <v>1.0</v>
      </c>
      <c r="G542" s="8">
        <v>12.0</v>
      </c>
      <c r="H542" s="1" t="s">
        <v>181</v>
      </c>
      <c r="I542" s="1" t="str">
        <f t="shared" si="2"/>
        <v>Odell</v>
      </c>
      <c r="J542" s="1" t="str">
        <f t="shared" si="3"/>
        <v>Beckham Jr</v>
      </c>
      <c r="K542" s="1" t="str">
        <f t="shared" si="4"/>
        <v>#N/A</v>
      </c>
      <c r="L542" s="1" t="str">
        <f>IFERROR(VLOOKUP($K542,Players!$D:$E,2,FALSE),VLOOKUP($H542,Players!A:E,5,FALSE))</f>
        <v>#N/A</v>
      </c>
    </row>
    <row r="543" ht="15.75" customHeight="1">
      <c r="A543" s="1">
        <v>2018.0</v>
      </c>
      <c r="B543" s="1" t="s">
        <v>14</v>
      </c>
      <c r="C543" s="1" t="s">
        <v>12</v>
      </c>
      <c r="D543" s="8">
        <v>11.0</v>
      </c>
      <c r="E543" s="8" t="str">
        <f t="shared" si="1"/>
        <v>Non-Playoff Team</v>
      </c>
      <c r="F543" s="8">
        <v>2.0</v>
      </c>
      <c r="G543" s="8">
        <v>13.0</v>
      </c>
      <c r="H543" s="1" t="s">
        <v>96</v>
      </c>
      <c r="I543" s="1" t="str">
        <f t="shared" si="2"/>
        <v>Julio</v>
      </c>
      <c r="J543" s="1" t="str">
        <f t="shared" si="3"/>
        <v>Jones</v>
      </c>
      <c r="K543" s="1" t="str">
        <f t="shared" si="4"/>
        <v>#N/A</v>
      </c>
      <c r="L543" s="1" t="str">
        <f>IFERROR(VLOOKUP($K543,Players!$D:$E,2,FALSE),VLOOKUP($H543,Players!A:E,5,FALSE))</f>
        <v>WR</v>
      </c>
    </row>
    <row r="544" ht="15.75" customHeight="1">
      <c r="A544" s="1">
        <v>2018.0</v>
      </c>
      <c r="B544" s="1" t="s">
        <v>14</v>
      </c>
      <c r="C544" s="1" t="s">
        <v>12</v>
      </c>
      <c r="D544" s="8">
        <v>11.0</v>
      </c>
      <c r="E544" s="8" t="str">
        <f t="shared" si="1"/>
        <v>Non-Playoff Team</v>
      </c>
      <c r="F544" s="8">
        <v>3.0</v>
      </c>
      <c r="G544" s="8">
        <v>36.0</v>
      </c>
      <c r="H544" s="1" t="s">
        <v>228</v>
      </c>
      <c r="I544" s="1" t="str">
        <f t="shared" si="2"/>
        <v>Alex</v>
      </c>
      <c r="J544" s="1" t="str">
        <f t="shared" si="3"/>
        <v>Collins</v>
      </c>
      <c r="K544" s="1" t="str">
        <f t="shared" si="4"/>
        <v>#N/A</v>
      </c>
      <c r="L544" s="1" t="str">
        <f>IFERROR(VLOOKUP($K544,Players!$D:$E,2,FALSE),VLOOKUP($H544,Players!A:E,5,FALSE))</f>
        <v>RB</v>
      </c>
    </row>
    <row r="545" ht="15.75" customHeight="1">
      <c r="A545" s="1">
        <v>2018.0</v>
      </c>
      <c r="B545" s="1" t="s">
        <v>14</v>
      </c>
      <c r="C545" s="1" t="s">
        <v>12</v>
      </c>
      <c r="D545" s="8">
        <v>11.0</v>
      </c>
      <c r="E545" s="8" t="str">
        <f t="shared" si="1"/>
        <v>Non-Playoff Team</v>
      </c>
      <c r="F545" s="8">
        <v>4.0</v>
      </c>
      <c r="G545" s="8">
        <v>37.0</v>
      </c>
      <c r="H545" s="1" t="s">
        <v>1025</v>
      </c>
      <c r="I545" s="1" t="str">
        <f t="shared" si="2"/>
        <v>Royce</v>
      </c>
      <c r="J545" s="1" t="str">
        <f t="shared" si="3"/>
        <v>Freeman</v>
      </c>
      <c r="K545" s="1" t="str">
        <f t="shared" si="4"/>
        <v>#N/A</v>
      </c>
      <c r="L545" s="1" t="str">
        <f>IFERROR(VLOOKUP($K545,Players!$D:$E,2,FALSE),VLOOKUP($H545,Players!A:E,5,FALSE))</f>
        <v>RB</v>
      </c>
    </row>
    <row r="546" ht="15.75" customHeight="1">
      <c r="A546" s="1">
        <v>2018.0</v>
      </c>
      <c r="B546" s="1" t="s">
        <v>14</v>
      </c>
      <c r="C546" s="1" t="s">
        <v>12</v>
      </c>
      <c r="D546" s="8">
        <v>11.0</v>
      </c>
      <c r="E546" s="8" t="str">
        <f t="shared" si="1"/>
        <v>Non-Playoff Team</v>
      </c>
      <c r="F546" s="8">
        <v>5.0</v>
      </c>
      <c r="G546" s="8">
        <v>60.0</v>
      </c>
      <c r="H546" s="1" t="s">
        <v>680</v>
      </c>
      <c r="I546" s="1" t="str">
        <f t="shared" si="2"/>
        <v>Cam</v>
      </c>
      <c r="J546" s="1" t="str">
        <f t="shared" si="3"/>
        <v>Newton</v>
      </c>
      <c r="K546" s="1" t="str">
        <f t="shared" si="4"/>
        <v>#N/A</v>
      </c>
      <c r="L546" s="1" t="str">
        <f>IFERROR(VLOOKUP($K546,Players!$D:$E,2,FALSE),VLOOKUP($H546,Players!A:E,5,FALSE))</f>
        <v>QB</v>
      </c>
    </row>
    <row r="547" ht="15.75" customHeight="1">
      <c r="A547" s="1">
        <v>2018.0</v>
      </c>
      <c r="B547" s="1" t="s">
        <v>14</v>
      </c>
      <c r="C547" s="1" t="s">
        <v>12</v>
      </c>
      <c r="D547" s="8">
        <v>11.0</v>
      </c>
      <c r="E547" s="8" t="str">
        <f t="shared" si="1"/>
        <v>Non-Playoff Team</v>
      </c>
      <c r="F547" s="8">
        <v>6.0</v>
      </c>
      <c r="G547" s="8">
        <v>61.0</v>
      </c>
      <c r="H547" s="1" t="s">
        <v>940</v>
      </c>
      <c r="I547" s="1" t="str">
        <f t="shared" si="2"/>
        <v>Delanie</v>
      </c>
      <c r="J547" s="1" t="str">
        <f t="shared" si="3"/>
        <v>Walker</v>
      </c>
      <c r="K547" s="1" t="str">
        <f t="shared" si="4"/>
        <v>#N/A</v>
      </c>
      <c r="L547" s="1" t="str">
        <f>IFERROR(VLOOKUP($K547,Players!$D:$E,2,FALSE),VLOOKUP($H547,Players!A:E,5,FALSE))</f>
        <v>TE</v>
      </c>
    </row>
    <row r="548" ht="15.75" customHeight="1">
      <c r="A548" s="1">
        <v>2018.0</v>
      </c>
      <c r="B548" s="1" t="s">
        <v>14</v>
      </c>
      <c r="C548" s="1" t="s">
        <v>12</v>
      </c>
      <c r="D548" s="8">
        <v>11.0</v>
      </c>
      <c r="E548" s="8" t="str">
        <f t="shared" si="1"/>
        <v>Non-Playoff Team</v>
      </c>
      <c r="F548" s="8">
        <v>7.0</v>
      </c>
      <c r="G548" s="8">
        <v>84.0</v>
      </c>
      <c r="H548" s="1" t="s">
        <v>488</v>
      </c>
      <c r="I548" s="1" t="str">
        <f t="shared" si="2"/>
        <v>Jamison</v>
      </c>
      <c r="J548" s="1" t="str">
        <f t="shared" si="3"/>
        <v>Crowder</v>
      </c>
      <c r="K548" s="1" t="str">
        <f t="shared" si="4"/>
        <v>#N/A</v>
      </c>
      <c r="L548" s="1" t="str">
        <f>IFERROR(VLOOKUP($K548,Players!$D:$E,2,FALSE),VLOOKUP($H548,Players!A:E,5,FALSE))</f>
        <v>WR</v>
      </c>
    </row>
    <row r="549" ht="15.75" customHeight="1">
      <c r="A549" s="1">
        <v>2018.0</v>
      </c>
      <c r="B549" s="1" t="s">
        <v>14</v>
      </c>
      <c r="C549" s="1" t="s">
        <v>12</v>
      </c>
      <c r="D549" s="8">
        <v>11.0</v>
      </c>
      <c r="E549" s="8" t="str">
        <f t="shared" si="1"/>
        <v>Non-Playoff Team</v>
      </c>
      <c r="F549" s="8">
        <v>8.0</v>
      </c>
      <c r="G549" s="8">
        <v>85.0</v>
      </c>
      <c r="H549" s="1" t="s">
        <v>209</v>
      </c>
      <c r="I549" s="1" t="str">
        <f t="shared" si="2"/>
        <v>Carlos</v>
      </c>
      <c r="J549" s="1" t="str">
        <f t="shared" si="3"/>
        <v>Hyde</v>
      </c>
      <c r="K549" s="1" t="str">
        <f t="shared" si="4"/>
        <v>#N/A</v>
      </c>
      <c r="L549" s="1" t="str">
        <f>IFERROR(VLOOKUP($K549,Players!$D:$E,2,FALSE),VLOOKUP($H549,Players!A:E,5,FALSE))</f>
        <v>RB</v>
      </c>
    </row>
    <row r="550" ht="15.75" customHeight="1">
      <c r="A550" s="1">
        <v>2018.0</v>
      </c>
      <c r="B550" s="1" t="s">
        <v>14</v>
      </c>
      <c r="C550" s="1" t="s">
        <v>12</v>
      </c>
      <c r="D550" s="8">
        <v>11.0</v>
      </c>
      <c r="E550" s="8" t="str">
        <f t="shared" si="1"/>
        <v>Non-Playoff Team</v>
      </c>
      <c r="F550" s="8">
        <v>9.0</v>
      </c>
      <c r="G550" s="8">
        <v>108.0</v>
      </c>
      <c r="H550" s="1" t="s">
        <v>452</v>
      </c>
      <c r="I550" s="1" t="str">
        <f t="shared" si="2"/>
        <v>James</v>
      </c>
      <c r="J550" s="1" t="str">
        <f t="shared" si="3"/>
        <v>White</v>
      </c>
      <c r="K550" s="1" t="str">
        <f t="shared" si="4"/>
        <v>#N/A</v>
      </c>
      <c r="L550" s="1" t="str">
        <f>IFERROR(VLOOKUP($K550,Players!$D:$E,2,FALSE),VLOOKUP($H550,Players!A:E,5,FALSE))</f>
        <v>RB</v>
      </c>
    </row>
    <row r="551" ht="15.75" customHeight="1">
      <c r="A551" s="1">
        <v>2018.0</v>
      </c>
      <c r="B551" s="1" t="s">
        <v>14</v>
      </c>
      <c r="C551" s="1" t="s">
        <v>12</v>
      </c>
      <c r="D551" s="8">
        <v>11.0</v>
      </c>
      <c r="E551" s="8" t="str">
        <f t="shared" si="1"/>
        <v>Non-Playoff Team</v>
      </c>
      <c r="F551" s="8">
        <v>10.0</v>
      </c>
      <c r="G551" s="8">
        <v>109.0</v>
      </c>
      <c r="H551" s="1" t="s">
        <v>791</v>
      </c>
      <c r="I551" s="1" t="str">
        <f t="shared" si="2"/>
        <v>Tarik</v>
      </c>
      <c r="J551" s="1" t="str">
        <f t="shared" si="3"/>
        <v>Cohen</v>
      </c>
      <c r="K551" s="1" t="str">
        <f t="shared" si="4"/>
        <v>#N/A</v>
      </c>
      <c r="L551" s="1" t="str">
        <f>IFERROR(VLOOKUP($K551,Players!$D:$E,2,FALSE),VLOOKUP($H551,Players!A:E,5,FALSE))</f>
        <v>RB</v>
      </c>
    </row>
    <row r="552" ht="15.75" customHeight="1">
      <c r="A552" s="1">
        <v>2018.0</v>
      </c>
      <c r="B552" s="1" t="s">
        <v>14</v>
      </c>
      <c r="C552" s="1" t="s">
        <v>12</v>
      </c>
      <c r="D552" s="8">
        <v>11.0</v>
      </c>
      <c r="E552" s="8" t="str">
        <f t="shared" si="1"/>
        <v>Non-Playoff Team</v>
      </c>
      <c r="F552" s="8">
        <v>11.0</v>
      </c>
      <c r="G552" s="8">
        <v>132.0</v>
      </c>
      <c r="H552" s="1" t="s">
        <v>498</v>
      </c>
      <c r="I552" s="1" t="str">
        <f t="shared" si="2"/>
        <v>Duke</v>
      </c>
      <c r="J552" s="1" t="str">
        <f t="shared" si="3"/>
        <v>Johnson</v>
      </c>
      <c r="K552" s="1" t="str">
        <f t="shared" si="4"/>
        <v>#N/A</v>
      </c>
      <c r="L552" s="1" t="str">
        <f>IFERROR(VLOOKUP($K552,Players!$D:$E,2,FALSE),VLOOKUP($H552,Players!A:E,5,FALSE))</f>
        <v>RB</v>
      </c>
    </row>
    <row r="553" ht="15.75" customHeight="1">
      <c r="A553" s="1">
        <v>2018.0</v>
      </c>
      <c r="B553" s="1" t="s">
        <v>14</v>
      </c>
      <c r="C553" s="1" t="s">
        <v>12</v>
      </c>
      <c r="D553" s="8">
        <v>11.0</v>
      </c>
      <c r="E553" s="8" t="str">
        <f t="shared" si="1"/>
        <v>Non-Playoff Team</v>
      </c>
      <c r="F553" s="8">
        <v>12.0</v>
      </c>
      <c r="G553" s="8">
        <v>133.0</v>
      </c>
      <c r="H553" s="1" t="s">
        <v>932</v>
      </c>
      <c r="I553" s="1" t="str">
        <f t="shared" si="2"/>
        <v>OJ</v>
      </c>
      <c r="J553" s="1" t="str">
        <f t="shared" si="3"/>
        <v>Howard</v>
      </c>
      <c r="K553" s="1" t="str">
        <f t="shared" si="4"/>
        <v>#N/A</v>
      </c>
      <c r="L553" s="1" t="str">
        <f>IFERROR(VLOOKUP($K553,Players!$D:$E,2,FALSE),VLOOKUP($H553,Players!A:E,5,FALSE))</f>
        <v>TE</v>
      </c>
    </row>
    <row r="554" ht="15.75" customHeight="1">
      <c r="A554" s="1">
        <v>2018.0</v>
      </c>
      <c r="B554" s="1" t="s">
        <v>14</v>
      </c>
      <c r="C554" s="1" t="s">
        <v>12</v>
      </c>
      <c r="D554" s="8">
        <v>11.0</v>
      </c>
      <c r="E554" s="8" t="str">
        <f t="shared" si="1"/>
        <v>Non-Playoff Team</v>
      </c>
      <c r="F554" s="8">
        <v>13.0</v>
      </c>
      <c r="G554" s="8">
        <v>156.0</v>
      </c>
      <c r="H554" s="1" t="s">
        <v>766</v>
      </c>
      <c r="I554" s="1" t="str">
        <f t="shared" si="2"/>
        <v>#VALUE!</v>
      </c>
      <c r="J554" s="1" t="str">
        <f t="shared" si="3"/>
        <v>#VALUE!</v>
      </c>
      <c r="K554" s="1" t="str">
        <f t="shared" si="4"/>
        <v>#N/A</v>
      </c>
      <c r="L554" s="1" t="str">
        <f>IFERROR(VLOOKUP($K554,Players!$D:$E,2,FALSE),VLOOKUP($H554,Players!A:E,5,FALSE))</f>
        <v>DEF</v>
      </c>
    </row>
    <row r="555" ht="15.75" customHeight="1">
      <c r="A555" s="1">
        <v>2018.0</v>
      </c>
      <c r="B555" s="1" t="s">
        <v>14</v>
      </c>
      <c r="C555" s="1" t="s">
        <v>12</v>
      </c>
      <c r="D555" s="8">
        <v>11.0</v>
      </c>
      <c r="E555" s="8" t="str">
        <f t="shared" si="1"/>
        <v>Non-Playoff Team</v>
      </c>
      <c r="F555" s="8">
        <v>14.0</v>
      </c>
      <c r="G555" s="8">
        <v>157.0</v>
      </c>
      <c r="H555" s="1" t="s">
        <v>1196</v>
      </c>
      <c r="I555" s="1" t="str">
        <f t="shared" si="2"/>
        <v>Matt</v>
      </c>
      <c r="J555" s="1" t="str">
        <f t="shared" si="3"/>
        <v>Bryant</v>
      </c>
      <c r="K555" s="1" t="str">
        <f t="shared" si="4"/>
        <v>#N/A</v>
      </c>
      <c r="L555" s="1" t="str">
        <f>IFERROR(VLOOKUP($K555,Players!$D:$E,2,FALSE),VLOOKUP($H555,Players!A:E,5,FALSE))</f>
        <v>K</v>
      </c>
    </row>
    <row r="556" ht="15.75" customHeight="1">
      <c r="A556" s="1">
        <v>2018.0</v>
      </c>
      <c r="B556" s="1" t="s">
        <v>14</v>
      </c>
      <c r="C556" s="1" t="s">
        <v>12</v>
      </c>
      <c r="D556" s="8">
        <v>11.0</v>
      </c>
      <c r="E556" s="8" t="str">
        <f t="shared" si="1"/>
        <v>Non-Playoff Team</v>
      </c>
      <c r="F556" s="8">
        <v>15.0</v>
      </c>
      <c r="G556" s="8">
        <v>180.0</v>
      </c>
      <c r="H556" s="1" t="s">
        <v>173</v>
      </c>
      <c r="I556" s="1" t="str">
        <f t="shared" si="2"/>
        <v>Chris</v>
      </c>
      <c r="J556" s="1" t="str">
        <f t="shared" si="3"/>
        <v>Godwin</v>
      </c>
      <c r="K556" s="1" t="str">
        <f t="shared" si="4"/>
        <v>#N/A</v>
      </c>
      <c r="L556" s="1" t="str">
        <f>IFERROR(VLOOKUP($K556,Players!$D:$E,2,FALSE),VLOOKUP($H556,Players!A:E,5,FALSE))</f>
        <v>WR</v>
      </c>
    </row>
    <row r="557" ht="15.75" customHeight="1">
      <c r="A557" s="1">
        <v>2018.0</v>
      </c>
      <c r="B557" s="1" t="s">
        <v>32</v>
      </c>
      <c r="C557" s="1" t="s">
        <v>25</v>
      </c>
      <c r="D557" s="8">
        <v>6.0</v>
      </c>
      <c r="E557" s="8" t="str">
        <f t="shared" si="1"/>
        <v>Playoff Team</v>
      </c>
      <c r="F557" s="8">
        <v>1.0</v>
      </c>
      <c r="G557" s="8">
        <v>8.0</v>
      </c>
      <c r="H557" s="1" t="s">
        <v>298</v>
      </c>
      <c r="I557" s="1" t="str">
        <f t="shared" si="2"/>
        <v>DeAndre</v>
      </c>
      <c r="J557" s="1" t="str">
        <f t="shared" si="3"/>
        <v>Hopkins</v>
      </c>
      <c r="K557" s="1" t="str">
        <f t="shared" si="4"/>
        <v>#N/A</v>
      </c>
      <c r="L557" s="1" t="str">
        <f>IFERROR(VLOOKUP($K557,Players!$D:$E,2,FALSE),VLOOKUP($H557,Players!A:E,5,FALSE))</f>
        <v>WR</v>
      </c>
    </row>
    <row r="558" ht="15.75" customHeight="1">
      <c r="A558" s="1">
        <v>2018.0</v>
      </c>
      <c r="B558" s="1" t="s">
        <v>32</v>
      </c>
      <c r="C558" s="1" t="s">
        <v>25</v>
      </c>
      <c r="D558" s="8">
        <v>6.0</v>
      </c>
      <c r="E558" s="8" t="str">
        <f t="shared" si="1"/>
        <v>Playoff Team</v>
      </c>
      <c r="F558" s="8">
        <v>2.0</v>
      </c>
      <c r="G558" s="8">
        <v>17.0</v>
      </c>
      <c r="H558" s="1" t="s">
        <v>80</v>
      </c>
      <c r="I558" s="1" t="str">
        <f t="shared" si="2"/>
        <v>Keenan</v>
      </c>
      <c r="J558" s="1" t="str">
        <f t="shared" si="3"/>
        <v>Allen</v>
      </c>
      <c r="K558" s="1" t="str">
        <f t="shared" si="4"/>
        <v>#N/A</v>
      </c>
      <c r="L558" s="1" t="str">
        <f>IFERROR(VLOOKUP($K558,Players!$D:$E,2,FALSE),VLOOKUP($H558,Players!A:E,5,FALSE))</f>
        <v>WR</v>
      </c>
    </row>
    <row r="559" ht="15.75" customHeight="1">
      <c r="A559" s="1">
        <v>2018.0</v>
      </c>
      <c r="B559" s="1" t="s">
        <v>32</v>
      </c>
      <c r="C559" s="1" t="s">
        <v>25</v>
      </c>
      <c r="D559" s="8">
        <v>6.0</v>
      </c>
      <c r="E559" s="8" t="str">
        <f t="shared" si="1"/>
        <v>Playoff Team</v>
      </c>
      <c r="F559" s="8">
        <v>3.0</v>
      </c>
      <c r="G559" s="8">
        <v>32.0</v>
      </c>
      <c r="H559" s="1" t="s">
        <v>751</v>
      </c>
      <c r="I559" s="1" t="str">
        <f t="shared" si="2"/>
        <v>LeSean</v>
      </c>
      <c r="J559" s="1" t="str">
        <f t="shared" si="3"/>
        <v>McCoy</v>
      </c>
      <c r="K559" s="1" t="str">
        <f t="shared" si="4"/>
        <v>#N/A</v>
      </c>
      <c r="L559" s="1" t="str">
        <f>IFERROR(VLOOKUP($K559,Players!$D:$E,2,FALSE),VLOOKUP($H559,Players!A:E,5,FALSE))</f>
        <v>RB</v>
      </c>
    </row>
    <row r="560" ht="15.75" customHeight="1">
      <c r="A560" s="1">
        <v>2018.0</v>
      </c>
      <c r="B560" s="1" t="s">
        <v>32</v>
      </c>
      <c r="C560" s="1" t="s">
        <v>25</v>
      </c>
      <c r="D560" s="8">
        <v>6.0</v>
      </c>
      <c r="E560" s="8" t="str">
        <f t="shared" si="1"/>
        <v>Playoff Team</v>
      </c>
      <c r="F560" s="8">
        <v>4.0</v>
      </c>
      <c r="G560" s="8">
        <v>41.0</v>
      </c>
      <c r="H560" s="1" t="s">
        <v>1028</v>
      </c>
      <c r="I560" s="1" t="str">
        <f t="shared" si="2"/>
        <v>Greg</v>
      </c>
      <c r="J560" s="1" t="str">
        <f t="shared" si="3"/>
        <v>Olsen</v>
      </c>
      <c r="K560" s="1" t="str">
        <f t="shared" si="4"/>
        <v>#N/A</v>
      </c>
      <c r="L560" s="1" t="str">
        <f>IFERROR(VLOOKUP($K560,Players!$D:$E,2,FALSE),VLOOKUP($H560,Players!A:E,5,FALSE))</f>
        <v>TE</v>
      </c>
    </row>
    <row r="561" ht="15.75" customHeight="1">
      <c r="A561" s="1">
        <v>2018.0</v>
      </c>
      <c r="B561" s="1" t="s">
        <v>32</v>
      </c>
      <c r="C561" s="1" t="s">
        <v>25</v>
      </c>
      <c r="D561" s="8">
        <v>6.0</v>
      </c>
      <c r="E561" s="8" t="str">
        <f t="shared" si="1"/>
        <v>Playoff Team</v>
      </c>
      <c r="F561" s="8">
        <v>5.0</v>
      </c>
      <c r="G561" s="8">
        <v>56.0</v>
      </c>
      <c r="H561" s="1" t="s">
        <v>144</v>
      </c>
      <c r="I561" s="1" t="str">
        <f t="shared" si="2"/>
        <v>Russell</v>
      </c>
      <c r="J561" s="1" t="str">
        <f t="shared" si="3"/>
        <v>Wilson</v>
      </c>
      <c r="K561" s="1" t="str">
        <f t="shared" si="4"/>
        <v>#N/A</v>
      </c>
      <c r="L561" s="1" t="str">
        <f>IFERROR(VLOOKUP($K561,Players!$D:$E,2,FALSE),VLOOKUP($H561,Players!A:E,5,FALSE))</f>
        <v>QB</v>
      </c>
    </row>
    <row r="562" ht="15.75" customHeight="1">
      <c r="A562" s="1">
        <v>2018.0</v>
      </c>
      <c r="B562" s="1" t="s">
        <v>32</v>
      </c>
      <c r="C562" s="1" t="s">
        <v>25</v>
      </c>
      <c r="D562" s="8">
        <v>6.0</v>
      </c>
      <c r="E562" s="8" t="str">
        <f t="shared" si="1"/>
        <v>Playoff Team</v>
      </c>
      <c r="F562" s="8">
        <v>6.0</v>
      </c>
      <c r="G562" s="8">
        <v>65.0</v>
      </c>
      <c r="H562" s="1" t="s">
        <v>618</v>
      </c>
      <c r="I562" s="1" t="str">
        <f t="shared" si="2"/>
        <v>Julian</v>
      </c>
      <c r="J562" s="1" t="str">
        <f t="shared" si="3"/>
        <v>Edelman</v>
      </c>
      <c r="K562" s="1" t="str">
        <f t="shared" si="4"/>
        <v>#N/A</v>
      </c>
      <c r="L562" s="1" t="str">
        <f>IFERROR(VLOOKUP($K562,Players!$D:$E,2,FALSE),VLOOKUP($H562,Players!A:E,5,FALSE))</f>
        <v>WR</v>
      </c>
    </row>
    <row r="563" ht="15.75" customHeight="1">
      <c r="A563" s="1">
        <v>2018.0</v>
      </c>
      <c r="B563" s="1" t="s">
        <v>32</v>
      </c>
      <c r="C563" s="1" t="s">
        <v>25</v>
      </c>
      <c r="D563" s="8">
        <v>6.0</v>
      </c>
      <c r="E563" s="8" t="str">
        <f t="shared" si="1"/>
        <v>Playoff Team</v>
      </c>
      <c r="F563" s="8">
        <v>7.0</v>
      </c>
      <c r="G563" s="8">
        <v>80.0</v>
      </c>
      <c r="H563" s="1" t="s">
        <v>160</v>
      </c>
      <c r="I563" s="1" t="str">
        <f t="shared" si="2"/>
        <v>Tevin</v>
      </c>
      <c r="J563" s="1" t="str">
        <f t="shared" si="3"/>
        <v>Coleman</v>
      </c>
      <c r="K563" s="1" t="str">
        <f t="shared" si="4"/>
        <v>#N/A</v>
      </c>
      <c r="L563" s="1" t="str">
        <f>IFERROR(VLOOKUP($K563,Players!$D:$E,2,FALSE),VLOOKUP($H563,Players!A:E,5,FALSE))</f>
        <v>RB</v>
      </c>
    </row>
    <row r="564" ht="15.75" customHeight="1">
      <c r="A564" s="1">
        <v>2018.0</v>
      </c>
      <c r="B564" s="1" t="s">
        <v>32</v>
      </c>
      <c r="C564" s="1" t="s">
        <v>25</v>
      </c>
      <c r="D564" s="8">
        <v>6.0</v>
      </c>
      <c r="E564" s="8" t="str">
        <f t="shared" si="1"/>
        <v>Playoff Team</v>
      </c>
      <c r="F564" s="8">
        <v>8.0</v>
      </c>
      <c r="G564" s="8">
        <v>89.0</v>
      </c>
      <c r="H564" s="1" t="s">
        <v>670</v>
      </c>
      <c r="I564" s="1" t="str">
        <f t="shared" si="2"/>
        <v>Chris</v>
      </c>
      <c r="J564" s="1" t="str">
        <f t="shared" si="3"/>
        <v>Thompson</v>
      </c>
      <c r="K564" s="1" t="str">
        <f t="shared" si="4"/>
        <v>#N/A</v>
      </c>
      <c r="L564" s="1" t="str">
        <f>IFERROR(VLOOKUP($K564,Players!$D:$E,2,FALSE),VLOOKUP($H564,Players!A:E,5,FALSE))</f>
        <v>WR</v>
      </c>
    </row>
    <row r="565" ht="15.75" customHeight="1">
      <c r="A565" s="1">
        <v>2018.0</v>
      </c>
      <c r="B565" s="1" t="s">
        <v>32</v>
      </c>
      <c r="C565" s="1" t="s">
        <v>25</v>
      </c>
      <c r="D565" s="8">
        <v>6.0</v>
      </c>
      <c r="E565" s="8" t="str">
        <f t="shared" si="1"/>
        <v>Playoff Team</v>
      </c>
      <c r="F565" s="8">
        <v>9.0</v>
      </c>
      <c r="G565" s="8">
        <v>104.0</v>
      </c>
      <c r="H565" s="1" t="s">
        <v>231</v>
      </c>
      <c r="I565" s="1" t="str">
        <f t="shared" si="2"/>
        <v>Los</v>
      </c>
      <c r="J565" s="1" t="str">
        <f t="shared" si="3"/>
        <v>Angeles</v>
      </c>
      <c r="K565" s="1" t="str">
        <f t="shared" si="4"/>
        <v>#N/A</v>
      </c>
      <c r="L565" s="1" t="str">
        <f>IFERROR(VLOOKUP($K565,Players!$D:$E,2,FALSE),VLOOKUP($H565,Players!A:E,5,FALSE))</f>
        <v>DEF</v>
      </c>
    </row>
    <row r="566" ht="15.75" customHeight="1">
      <c r="A566" s="1">
        <v>2018.0</v>
      </c>
      <c r="B566" s="1" t="s">
        <v>32</v>
      </c>
      <c r="C566" s="1" t="s">
        <v>25</v>
      </c>
      <c r="D566" s="8">
        <v>6.0</v>
      </c>
      <c r="E566" s="8" t="str">
        <f t="shared" si="1"/>
        <v>Playoff Team</v>
      </c>
      <c r="F566" s="8">
        <v>10.0</v>
      </c>
      <c r="G566" s="8">
        <v>113.0</v>
      </c>
      <c r="H566" s="1" t="s">
        <v>335</v>
      </c>
      <c r="I566" s="1" t="str">
        <f t="shared" si="2"/>
        <v>Randall</v>
      </c>
      <c r="J566" s="1" t="str">
        <f t="shared" si="3"/>
        <v>Cobb</v>
      </c>
      <c r="K566" s="1" t="str">
        <f t="shared" si="4"/>
        <v>#N/A</v>
      </c>
      <c r="L566" s="1" t="str">
        <f>IFERROR(VLOOKUP($K566,Players!$D:$E,2,FALSE),VLOOKUP($H566,Players!A:E,5,FALSE))</f>
        <v>WR</v>
      </c>
    </row>
    <row r="567" ht="15.75" customHeight="1">
      <c r="A567" s="1">
        <v>2018.0</v>
      </c>
      <c r="B567" s="1" t="s">
        <v>32</v>
      </c>
      <c r="C567" s="1" t="s">
        <v>25</v>
      </c>
      <c r="D567" s="8">
        <v>6.0</v>
      </c>
      <c r="E567" s="8" t="str">
        <f t="shared" si="1"/>
        <v>Playoff Team</v>
      </c>
      <c r="F567" s="8">
        <v>11.0</v>
      </c>
      <c r="G567" s="8">
        <v>128.0</v>
      </c>
      <c r="H567" s="1" t="s">
        <v>288</v>
      </c>
      <c r="I567" s="1" t="str">
        <f t="shared" si="2"/>
        <v>Greg</v>
      </c>
      <c r="J567" s="1" t="str">
        <f t="shared" si="3"/>
        <v>Zuerlein</v>
      </c>
      <c r="K567" s="1" t="str">
        <f t="shared" si="4"/>
        <v>#N/A</v>
      </c>
      <c r="L567" s="1" t="str">
        <f>IFERROR(VLOOKUP($K567,Players!$D:$E,2,FALSE),VLOOKUP($H567,Players!A:E,5,FALSE))</f>
        <v>K</v>
      </c>
    </row>
    <row r="568" ht="15.75" customHeight="1">
      <c r="A568" s="1">
        <v>2018.0</v>
      </c>
      <c r="B568" s="1" t="s">
        <v>32</v>
      </c>
      <c r="C568" s="1" t="s">
        <v>25</v>
      </c>
      <c r="D568" s="8">
        <v>6.0</v>
      </c>
      <c r="E568" s="8" t="str">
        <f t="shared" si="1"/>
        <v>Playoff Team</v>
      </c>
      <c r="F568" s="8">
        <v>12.0</v>
      </c>
      <c r="G568" s="8">
        <v>137.0</v>
      </c>
      <c r="H568" s="1" t="s">
        <v>103</v>
      </c>
      <c r="I568" s="1" t="str">
        <f t="shared" si="2"/>
        <v>Cole</v>
      </c>
      <c r="J568" s="1" t="str">
        <f t="shared" si="3"/>
        <v>Beasley</v>
      </c>
      <c r="K568" s="1" t="str">
        <f t="shared" si="4"/>
        <v>#N/A</v>
      </c>
      <c r="L568" s="1" t="str">
        <f>IFERROR(VLOOKUP($K568,Players!$D:$E,2,FALSE),VLOOKUP($H568,Players!A:E,5,FALSE))</f>
        <v>WR</v>
      </c>
    </row>
    <row r="569" ht="15.75" customHeight="1">
      <c r="A569" s="1">
        <v>2018.0</v>
      </c>
      <c r="B569" s="1" t="s">
        <v>32</v>
      </c>
      <c r="C569" s="1" t="s">
        <v>25</v>
      </c>
      <c r="D569" s="8">
        <v>6.0</v>
      </c>
      <c r="E569" s="8" t="str">
        <f t="shared" si="1"/>
        <v>Playoff Team</v>
      </c>
      <c r="F569" s="8">
        <v>13.0</v>
      </c>
      <c r="G569" s="8">
        <v>152.0</v>
      </c>
      <c r="H569" s="1" t="s">
        <v>749</v>
      </c>
      <c r="I569" s="1" t="str">
        <f t="shared" si="2"/>
        <v>Latavius</v>
      </c>
      <c r="J569" s="1" t="str">
        <f t="shared" si="3"/>
        <v>Murray</v>
      </c>
      <c r="K569" s="1" t="str">
        <f t="shared" si="4"/>
        <v>#N/A</v>
      </c>
      <c r="L569" s="1" t="str">
        <f>IFERROR(VLOOKUP($K569,Players!$D:$E,2,FALSE),VLOOKUP($H569,Players!A:E,5,FALSE))</f>
        <v>RB</v>
      </c>
    </row>
    <row r="570" ht="15.75" customHeight="1">
      <c r="A570" s="1">
        <v>2018.0</v>
      </c>
      <c r="B570" s="1" t="s">
        <v>32</v>
      </c>
      <c r="C570" s="1" t="s">
        <v>25</v>
      </c>
      <c r="D570" s="8">
        <v>6.0</v>
      </c>
      <c r="E570" s="8" t="str">
        <f t="shared" si="1"/>
        <v>Playoff Team</v>
      </c>
      <c r="F570" s="8">
        <v>14.0</v>
      </c>
      <c r="G570" s="8">
        <v>161.0</v>
      </c>
      <c r="H570" s="1" t="s">
        <v>142</v>
      </c>
      <c r="I570" s="1" t="str">
        <f t="shared" si="2"/>
        <v>Tyler</v>
      </c>
      <c r="J570" s="1" t="str">
        <f t="shared" si="3"/>
        <v>Lockett</v>
      </c>
      <c r="K570" s="1" t="str">
        <f t="shared" si="4"/>
        <v>#N/A</v>
      </c>
      <c r="L570" s="1" t="str">
        <f>IFERROR(VLOOKUP($K570,Players!$D:$E,2,FALSE),VLOOKUP($H570,Players!A:E,5,FALSE))</f>
        <v>WR</v>
      </c>
    </row>
    <row r="571" ht="15.75" customHeight="1">
      <c r="A571" s="1">
        <v>2018.0</v>
      </c>
      <c r="B571" s="1" t="s">
        <v>32</v>
      </c>
      <c r="C571" s="1" t="s">
        <v>25</v>
      </c>
      <c r="D571" s="8">
        <v>6.0</v>
      </c>
      <c r="E571" s="8" t="str">
        <f t="shared" si="1"/>
        <v>Playoff Team</v>
      </c>
      <c r="F571" s="8">
        <v>15.0</v>
      </c>
      <c r="G571" s="8">
        <v>176.0</v>
      </c>
      <c r="H571" s="1" t="s">
        <v>1234</v>
      </c>
      <c r="I571" s="1" t="str">
        <f t="shared" si="2"/>
        <v>Anthony</v>
      </c>
      <c r="J571" s="1" t="str">
        <f t="shared" si="3"/>
        <v>Miller</v>
      </c>
      <c r="K571" s="1" t="str">
        <f t="shared" si="4"/>
        <v>#N/A</v>
      </c>
      <c r="L571" s="1" t="str">
        <f>IFERROR(VLOOKUP($K571,Players!$D:$E,2,FALSE),VLOOKUP($H571,Players!A:E,5,FALSE))</f>
        <v>#N/A</v>
      </c>
    </row>
    <row r="572" ht="15.75" customHeight="1">
      <c r="A572" s="1">
        <v>2018.0</v>
      </c>
      <c r="B572" s="1" t="s">
        <v>47</v>
      </c>
      <c r="C572" s="1" t="s">
        <v>22</v>
      </c>
      <c r="D572" s="8">
        <v>1.0</v>
      </c>
      <c r="E572" s="8" t="str">
        <f t="shared" si="1"/>
        <v>Playoff Team</v>
      </c>
      <c r="F572" s="8">
        <v>1.0</v>
      </c>
      <c r="G572" s="8">
        <v>10.0</v>
      </c>
      <c r="H572" s="1" t="s">
        <v>360</v>
      </c>
      <c r="I572" s="1" t="str">
        <f t="shared" si="2"/>
        <v>Melvin</v>
      </c>
      <c r="J572" s="1" t="str">
        <f t="shared" si="3"/>
        <v>Gordon III</v>
      </c>
      <c r="K572" s="1" t="str">
        <f t="shared" si="4"/>
        <v>#N/A</v>
      </c>
      <c r="L572" s="1" t="str">
        <f>IFERROR(VLOOKUP($K572,Players!$D:$E,2,FALSE),VLOOKUP($H572,Players!A:E,5,FALSE))</f>
        <v>#N/A</v>
      </c>
    </row>
    <row r="573" ht="15.75" customHeight="1">
      <c r="A573" s="1">
        <v>2018.0</v>
      </c>
      <c r="B573" s="1" t="s">
        <v>47</v>
      </c>
      <c r="C573" s="1" t="s">
        <v>22</v>
      </c>
      <c r="D573" s="8">
        <v>1.0</v>
      </c>
      <c r="E573" s="8" t="str">
        <f t="shared" si="1"/>
        <v>Playoff Team</v>
      </c>
      <c r="F573" s="8">
        <v>2.0</v>
      </c>
      <c r="G573" s="8">
        <v>15.0</v>
      </c>
      <c r="H573" s="1" t="s">
        <v>213</v>
      </c>
      <c r="I573" s="1" t="str">
        <f t="shared" si="2"/>
        <v>Davante</v>
      </c>
      <c r="J573" s="1" t="str">
        <f t="shared" si="3"/>
        <v>Adams</v>
      </c>
      <c r="K573" s="1" t="str">
        <f t="shared" si="4"/>
        <v>#N/A</v>
      </c>
      <c r="L573" s="1" t="str">
        <f>IFERROR(VLOOKUP($K573,Players!$D:$E,2,FALSE),VLOOKUP($H573,Players!A:E,5,FALSE))</f>
        <v>WR</v>
      </c>
    </row>
    <row r="574" ht="15.75" customHeight="1">
      <c r="A574" s="1">
        <v>2018.0</v>
      </c>
      <c r="B574" s="1" t="s">
        <v>47</v>
      </c>
      <c r="C574" s="1" t="s">
        <v>22</v>
      </c>
      <c r="D574" s="8">
        <v>1.0</v>
      </c>
      <c r="E574" s="8" t="str">
        <f t="shared" si="1"/>
        <v>Playoff Team</v>
      </c>
      <c r="F574" s="8">
        <v>3.0</v>
      </c>
      <c r="G574" s="8">
        <v>34.0</v>
      </c>
      <c r="H574" s="1" t="s">
        <v>362</v>
      </c>
      <c r="I574" s="1" t="str">
        <f t="shared" si="2"/>
        <v>Kenyan</v>
      </c>
      <c r="J574" s="1" t="str">
        <f t="shared" si="3"/>
        <v>Drake</v>
      </c>
      <c r="K574" s="1" t="str">
        <f t="shared" si="4"/>
        <v>#N/A</v>
      </c>
      <c r="L574" s="1" t="str">
        <f>IFERROR(VLOOKUP($K574,Players!$D:$E,2,FALSE),VLOOKUP($H574,Players!A:E,5,FALSE))</f>
        <v>RB</v>
      </c>
    </row>
    <row r="575" ht="15.75" customHeight="1">
      <c r="A575" s="1">
        <v>2018.0</v>
      </c>
      <c r="B575" s="1" t="s">
        <v>47</v>
      </c>
      <c r="C575" s="1" t="s">
        <v>22</v>
      </c>
      <c r="D575" s="8">
        <v>1.0</v>
      </c>
      <c r="E575" s="8" t="str">
        <f t="shared" si="1"/>
        <v>Playoff Team</v>
      </c>
      <c r="F575" s="8">
        <v>4.0</v>
      </c>
      <c r="G575" s="8">
        <v>39.0</v>
      </c>
      <c r="H575" s="1" t="s">
        <v>435</v>
      </c>
      <c r="I575" s="1" t="str">
        <f t="shared" si="2"/>
        <v>JuJu</v>
      </c>
      <c r="J575" s="1" t="str">
        <f t="shared" si="3"/>
        <v>Smith-Schuster</v>
      </c>
      <c r="K575" s="1" t="str">
        <f t="shared" si="4"/>
        <v>#N/A</v>
      </c>
      <c r="L575" s="1" t="str">
        <f>IFERROR(VLOOKUP($K575,Players!$D:$E,2,FALSE),VLOOKUP($H575,Players!A:E,5,FALSE))</f>
        <v>WR</v>
      </c>
    </row>
    <row r="576" ht="15.75" customHeight="1">
      <c r="A576" s="1">
        <v>2018.0</v>
      </c>
      <c r="B576" s="1" t="s">
        <v>47</v>
      </c>
      <c r="C576" s="1" t="s">
        <v>22</v>
      </c>
      <c r="D576" s="8">
        <v>1.0</v>
      </c>
      <c r="E576" s="8" t="str">
        <f t="shared" si="1"/>
        <v>Playoff Team</v>
      </c>
      <c r="F576" s="8">
        <v>5.0</v>
      </c>
      <c r="G576" s="8">
        <v>58.0</v>
      </c>
      <c r="H576" s="1" t="s">
        <v>168</v>
      </c>
      <c r="I576" s="1" t="str">
        <f t="shared" si="2"/>
        <v>Derrick</v>
      </c>
      <c r="J576" s="1" t="str">
        <f t="shared" si="3"/>
        <v>Henry</v>
      </c>
      <c r="K576" s="1" t="str">
        <f t="shared" si="4"/>
        <v>#N/A</v>
      </c>
      <c r="L576" s="1" t="str">
        <f>IFERROR(VLOOKUP($K576,Players!$D:$E,2,FALSE),VLOOKUP($H576,Players!A:E,5,FALSE))</f>
        <v>RB</v>
      </c>
    </row>
    <row r="577" ht="15.75" customHeight="1">
      <c r="A577" s="1">
        <v>2018.0</v>
      </c>
      <c r="B577" s="1" t="s">
        <v>47</v>
      </c>
      <c r="C577" s="1" t="s">
        <v>22</v>
      </c>
      <c r="D577" s="8">
        <v>1.0</v>
      </c>
      <c r="E577" s="8" t="str">
        <f t="shared" si="1"/>
        <v>Playoff Team</v>
      </c>
      <c r="F577" s="8">
        <v>6.0</v>
      </c>
      <c r="G577" s="8">
        <v>63.0</v>
      </c>
      <c r="H577" s="1" t="s">
        <v>854</v>
      </c>
      <c r="I577" s="1" t="str">
        <f t="shared" si="2"/>
        <v>Trey</v>
      </c>
      <c r="J577" s="1" t="str">
        <f t="shared" si="3"/>
        <v>Burton</v>
      </c>
      <c r="K577" s="1" t="str">
        <f t="shared" si="4"/>
        <v>#N/A</v>
      </c>
      <c r="L577" s="1" t="str">
        <f>IFERROR(VLOOKUP($K577,Players!$D:$E,2,FALSE),VLOOKUP($H577,Players!A:E,5,FALSE))</f>
        <v>TE</v>
      </c>
    </row>
    <row r="578" ht="15.75" customHeight="1">
      <c r="A578" s="1">
        <v>2018.0</v>
      </c>
      <c r="B578" s="1" t="s">
        <v>47</v>
      </c>
      <c r="C578" s="1" t="s">
        <v>22</v>
      </c>
      <c r="D578" s="8">
        <v>1.0</v>
      </c>
      <c r="E578" s="8" t="str">
        <f t="shared" si="1"/>
        <v>Playoff Team</v>
      </c>
      <c r="F578" s="8">
        <v>7.0</v>
      </c>
      <c r="G578" s="8">
        <v>82.0</v>
      </c>
      <c r="H578" s="1" t="s">
        <v>485</v>
      </c>
      <c r="I578" s="1" t="str">
        <f t="shared" si="2"/>
        <v>John</v>
      </c>
      <c r="J578" s="1" t="str">
        <f t="shared" si="3"/>
        <v>Brown</v>
      </c>
      <c r="K578" s="1" t="str">
        <f t="shared" si="4"/>
        <v>#N/A</v>
      </c>
      <c r="L578" s="1" t="str">
        <f>IFERROR(VLOOKUP($K578,Players!$D:$E,2,FALSE),VLOOKUP($H578,Players!A:E,5,FALSE))</f>
        <v>WR</v>
      </c>
    </row>
    <row r="579" ht="15.75" customHeight="1">
      <c r="A579" s="1">
        <v>2018.0</v>
      </c>
      <c r="B579" s="1" t="s">
        <v>47</v>
      </c>
      <c r="C579" s="1" t="s">
        <v>22</v>
      </c>
      <c r="D579" s="8">
        <v>1.0</v>
      </c>
      <c r="E579" s="8" t="str">
        <f t="shared" si="1"/>
        <v>Playoff Team</v>
      </c>
      <c r="F579" s="8">
        <v>8.0</v>
      </c>
      <c r="G579" s="8">
        <v>87.0</v>
      </c>
      <c r="H579" s="1" t="s">
        <v>1076</v>
      </c>
      <c r="I579" s="1" t="str">
        <f t="shared" si="2"/>
        <v>#VALUE!</v>
      </c>
      <c r="J579" s="1" t="str">
        <f t="shared" si="3"/>
        <v>#VALUE!</v>
      </c>
      <c r="K579" s="1" t="str">
        <f t="shared" si="4"/>
        <v>#N/A</v>
      </c>
      <c r="L579" s="1" t="str">
        <f>IFERROR(VLOOKUP($K579,Players!$D:$E,2,FALSE),VLOOKUP($H579,Players!A:E,5,FALSE))</f>
        <v>DEF</v>
      </c>
    </row>
    <row r="580" ht="15.75" customHeight="1">
      <c r="A580" s="1">
        <v>2018.0</v>
      </c>
      <c r="B580" s="1" t="s">
        <v>47</v>
      </c>
      <c r="C580" s="1" t="s">
        <v>22</v>
      </c>
      <c r="D580" s="8">
        <v>1.0</v>
      </c>
      <c r="E580" s="8" t="str">
        <f t="shared" si="1"/>
        <v>Playoff Team</v>
      </c>
      <c r="F580" s="8">
        <v>9.0</v>
      </c>
      <c r="G580" s="8">
        <v>106.0</v>
      </c>
      <c r="H580" s="1" t="s">
        <v>524</v>
      </c>
      <c r="I580" s="1" t="str">
        <f t="shared" si="2"/>
        <v>Matt</v>
      </c>
      <c r="J580" s="1" t="str">
        <f t="shared" si="3"/>
        <v>Ryan</v>
      </c>
      <c r="K580" s="1" t="str">
        <f t="shared" si="4"/>
        <v>#N/A</v>
      </c>
      <c r="L580" s="1" t="str">
        <f>IFERROR(VLOOKUP($K580,Players!$D:$E,2,FALSE),VLOOKUP($H580,Players!A:E,5,FALSE))</f>
        <v>QB</v>
      </c>
    </row>
    <row r="581" ht="15.75" customHeight="1">
      <c r="A581" s="1">
        <v>2018.0</v>
      </c>
      <c r="B581" s="1" t="s">
        <v>47</v>
      </c>
      <c r="C581" s="1" t="s">
        <v>22</v>
      </c>
      <c r="D581" s="8">
        <v>1.0</v>
      </c>
      <c r="E581" s="8" t="str">
        <f t="shared" si="1"/>
        <v>Playoff Team</v>
      </c>
      <c r="F581" s="8">
        <v>10.0</v>
      </c>
      <c r="G581" s="8">
        <v>111.0</v>
      </c>
      <c r="H581" s="1" t="s">
        <v>85</v>
      </c>
      <c r="I581" s="1" t="str">
        <f t="shared" si="2"/>
        <v>James</v>
      </c>
      <c r="J581" s="1" t="str">
        <f t="shared" si="3"/>
        <v>Conner</v>
      </c>
      <c r="K581" s="1" t="str">
        <f t="shared" si="4"/>
        <v>#N/A</v>
      </c>
      <c r="L581" s="1" t="str">
        <f>IFERROR(VLOOKUP($K581,Players!$D:$E,2,FALSE),VLOOKUP($H581,Players!A:E,5,FALSE))</f>
        <v>RB</v>
      </c>
    </row>
    <row r="582" ht="15.75" customHeight="1">
      <c r="A582" s="1">
        <v>2018.0</v>
      </c>
      <c r="B582" s="1" t="s">
        <v>47</v>
      </c>
      <c r="C582" s="1" t="s">
        <v>22</v>
      </c>
      <c r="D582" s="8">
        <v>1.0</v>
      </c>
      <c r="E582" s="8" t="str">
        <f t="shared" si="1"/>
        <v>Playoff Team</v>
      </c>
      <c r="F582" s="8">
        <v>11.0</v>
      </c>
      <c r="G582" s="8">
        <v>130.0</v>
      </c>
      <c r="H582" s="1" t="s">
        <v>864</v>
      </c>
      <c r="I582" s="1" t="str">
        <f t="shared" si="2"/>
        <v>Mohamed</v>
      </c>
      <c r="J582" s="1" t="str">
        <f t="shared" si="3"/>
        <v>Sanu Sr</v>
      </c>
      <c r="K582" s="1" t="str">
        <f t="shared" si="4"/>
        <v>#N/A</v>
      </c>
      <c r="L582" s="1" t="str">
        <f>IFERROR(VLOOKUP($K582,Players!$D:$E,2,FALSE),VLOOKUP($H582,Players!A:E,5,FALSE))</f>
        <v>#N/A</v>
      </c>
    </row>
    <row r="583" ht="15.75" customHeight="1">
      <c r="A583" s="1">
        <v>2018.0</v>
      </c>
      <c r="B583" s="1" t="s">
        <v>47</v>
      </c>
      <c r="C583" s="1" t="s">
        <v>22</v>
      </c>
      <c r="D583" s="8">
        <v>1.0</v>
      </c>
      <c r="E583" s="8" t="str">
        <f t="shared" si="1"/>
        <v>Playoff Team</v>
      </c>
      <c r="F583" s="8">
        <v>12.0</v>
      </c>
      <c r="G583" s="8">
        <v>135.0</v>
      </c>
      <c r="H583" s="1" t="s">
        <v>969</v>
      </c>
      <c r="I583" s="1" t="str">
        <f t="shared" si="2"/>
        <v>Jared</v>
      </c>
      <c r="J583" s="1" t="str">
        <f t="shared" si="3"/>
        <v>Goff</v>
      </c>
      <c r="K583" s="1" t="str">
        <f t="shared" si="4"/>
        <v>#N/A</v>
      </c>
      <c r="L583" s="1" t="str">
        <f>IFERROR(VLOOKUP($K583,Players!$D:$E,2,FALSE),VLOOKUP($H583,Players!A:E,5,FALSE))</f>
        <v>QB</v>
      </c>
    </row>
    <row r="584" ht="15.75" customHeight="1">
      <c r="A584" s="1">
        <v>2018.0</v>
      </c>
      <c r="B584" s="1" t="s">
        <v>47</v>
      </c>
      <c r="C584" s="1" t="s">
        <v>22</v>
      </c>
      <c r="D584" s="8">
        <v>1.0</v>
      </c>
      <c r="E584" s="8" t="str">
        <f t="shared" si="1"/>
        <v>Playoff Team</v>
      </c>
      <c r="F584" s="8">
        <v>13.0</v>
      </c>
      <c r="G584" s="8">
        <v>154.0</v>
      </c>
      <c r="H584" s="1" t="s">
        <v>256</v>
      </c>
      <c r="I584" s="1" t="str">
        <f t="shared" si="2"/>
        <v>Austin</v>
      </c>
      <c r="J584" s="1" t="str">
        <f t="shared" si="3"/>
        <v>Ekeler</v>
      </c>
      <c r="K584" s="1" t="str">
        <f t="shared" si="4"/>
        <v>#N/A</v>
      </c>
      <c r="L584" s="1" t="str">
        <f>IFERROR(VLOOKUP($K584,Players!$D:$E,2,FALSE),VLOOKUP($H584,Players!A:E,5,FALSE))</f>
        <v>RB</v>
      </c>
    </row>
    <row r="585" ht="15.75" customHeight="1">
      <c r="A585" s="1">
        <v>2018.0</v>
      </c>
      <c r="B585" s="1" t="s">
        <v>47</v>
      </c>
      <c r="C585" s="1" t="s">
        <v>22</v>
      </c>
      <c r="D585" s="8">
        <v>1.0</v>
      </c>
      <c r="E585" s="8" t="str">
        <f t="shared" si="1"/>
        <v>Playoff Team</v>
      </c>
      <c r="F585" s="8">
        <v>14.0</v>
      </c>
      <c r="G585" s="8">
        <v>159.0</v>
      </c>
      <c r="H585" s="1" t="s">
        <v>150</v>
      </c>
      <c r="I585" s="1" t="str">
        <f t="shared" si="2"/>
        <v>Michael</v>
      </c>
      <c r="J585" s="1" t="str">
        <f t="shared" si="3"/>
        <v>Gallup</v>
      </c>
      <c r="K585" s="1" t="str">
        <f t="shared" si="4"/>
        <v>#N/A</v>
      </c>
      <c r="L585" s="1" t="str">
        <f>IFERROR(VLOOKUP($K585,Players!$D:$E,2,FALSE),VLOOKUP($H585,Players!A:E,5,FALSE))</f>
        <v>WR</v>
      </c>
    </row>
    <row r="586" ht="15.75" customHeight="1">
      <c r="A586" s="1">
        <v>2018.0</v>
      </c>
      <c r="B586" s="1" t="s">
        <v>47</v>
      </c>
      <c r="C586" s="1" t="s">
        <v>22</v>
      </c>
      <c r="D586" s="8">
        <v>1.0</v>
      </c>
      <c r="E586" s="8" t="str">
        <f t="shared" si="1"/>
        <v>Playoff Team</v>
      </c>
      <c r="F586" s="8">
        <v>15.0</v>
      </c>
      <c r="G586" s="8">
        <v>178.0</v>
      </c>
      <c r="H586" s="1" t="s">
        <v>1261</v>
      </c>
      <c r="I586" s="1" t="str">
        <f t="shared" si="2"/>
        <v>Josh</v>
      </c>
      <c r="J586" s="1" t="str">
        <f t="shared" si="3"/>
        <v>Lambo</v>
      </c>
      <c r="K586" s="1" t="str">
        <f t="shared" si="4"/>
        <v>#N/A</v>
      </c>
      <c r="L586" s="1" t="str">
        <f>IFERROR(VLOOKUP($K586,Players!$D:$E,2,FALSE),VLOOKUP($H586,Players!A:E,5,FALSE))</f>
        <v>K</v>
      </c>
    </row>
    <row r="587" ht="15.75" customHeight="1">
      <c r="A587" s="1">
        <v>2018.0</v>
      </c>
      <c r="B587" s="1" t="s">
        <v>48</v>
      </c>
      <c r="C587" s="1" t="s">
        <v>19</v>
      </c>
      <c r="D587" s="8">
        <v>9.0</v>
      </c>
      <c r="E587" s="8" t="str">
        <f t="shared" si="1"/>
        <v>Non-Playoff Team</v>
      </c>
      <c r="F587" s="8">
        <v>1.0</v>
      </c>
      <c r="G587" s="8">
        <v>5.0</v>
      </c>
      <c r="H587" s="1" t="s">
        <v>133</v>
      </c>
      <c r="I587" s="1" t="str">
        <f t="shared" si="2"/>
        <v>David</v>
      </c>
      <c r="J587" s="1" t="str">
        <f t="shared" si="3"/>
        <v>Johnson</v>
      </c>
      <c r="K587" s="1" t="str">
        <f t="shared" si="4"/>
        <v>#N/A</v>
      </c>
      <c r="L587" s="1" t="str">
        <f>IFERROR(VLOOKUP($K587,Players!$D:$E,2,FALSE),VLOOKUP($H587,Players!A:E,5,FALSE))</f>
        <v>RB</v>
      </c>
    </row>
    <row r="588" ht="15.75" customHeight="1">
      <c r="A588" s="1">
        <v>2018.0</v>
      </c>
      <c r="B588" s="1" t="s">
        <v>48</v>
      </c>
      <c r="C588" s="1" t="s">
        <v>19</v>
      </c>
      <c r="D588" s="8">
        <v>9.0</v>
      </c>
      <c r="E588" s="8" t="str">
        <f t="shared" si="1"/>
        <v>Non-Playoff Team</v>
      </c>
      <c r="F588" s="8">
        <v>2.0</v>
      </c>
      <c r="G588" s="8">
        <v>20.0</v>
      </c>
      <c r="H588" s="1" t="s">
        <v>841</v>
      </c>
      <c r="I588" s="1" t="str">
        <f t="shared" si="2"/>
        <v>Devonta</v>
      </c>
      <c r="J588" s="1" t="str">
        <f t="shared" si="3"/>
        <v>Freeman</v>
      </c>
      <c r="K588" s="1" t="str">
        <f t="shared" si="4"/>
        <v>#N/A</v>
      </c>
      <c r="L588" s="1" t="str">
        <f>IFERROR(VLOOKUP($K588,Players!$D:$E,2,FALSE),VLOOKUP($H588,Players!A:E,5,FALSE))</f>
        <v>RB</v>
      </c>
    </row>
    <row r="589" ht="15.75" customHeight="1">
      <c r="A589" s="1">
        <v>2018.0</v>
      </c>
      <c r="B589" s="1" t="s">
        <v>48</v>
      </c>
      <c r="C589" s="1" t="s">
        <v>19</v>
      </c>
      <c r="D589" s="8">
        <v>9.0</v>
      </c>
      <c r="E589" s="8" t="str">
        <f t="shared" si="1"/>
        <v>Non-Playoff Team</v>
      </c>
      <c r="F589" s="8">
        <v>3.0</v>
      </c>
      <c r="G589" s="8">
        <v>29.0</v>
      </c>
      <c r="H589" s="1" t="s">
        <v>775</v>
      </c>
      <c r="I589" s="1" t="str">
        <f t="shared" si="2"/>
        <v>Larry</v>
      </c>
      <c r="J589" s="1" t="str">
        <f t="shared" si="3"/>
        <v>Fitzgerald</v>
      </c>
      <c r="K589" s="1" t="str">
        <f t="shared" si="4"/>
        <v>#N/A</v>
      </c>
      <c r="L589" s="1" t="str">
        <f>IFERROR(VLOOKUP($K589,Players!$D:$E,2,FALSE),VLOOKUP($H589,Players!A:E,5,FALSE))</f>
        <v>WR</v>
      </c>
    </row>
    <row r="590" ht="15.75" customHeight="1">
      <c r="A590" s="1">
        <v>2018.0</v>
      </c>
      <c r="B590" s="1" t="s">
        <v>48</v>
      </c>
      <c r="C590" s="1" t="s">
        <v>19</v>
      </c>
      <c r="D590" s="8">
        <v>9.0</v>
      </c>
      <c r="E590" s="8" t="str">
        <f t="shared" si="1"/>
        <v>Non-Playoff Team</v>
      </c>
      <c r="F590" s="8">
        <v>4.0</v>
      </c>
      <c r="G590" s="8">
        <v>44.0</v>
      </c>
      <c r="H590" s="1" t="s">
        <v>1135</v>
      </c>
      <c r="I590" s="1" t="str">
        <f t="shared" si="2"/>
        <v>Dion</v>
      </c>
      <c r="J590" s="1" t="str">
        <f t="shared" si="3"/>
        <v>Lewis</v>
      </c>
      <c r="K590" s="1" t="str">
        <f t="shared" si="4"/>
        <v>#N/A</v>
      </c>
      <c r="L590" s="1" t="str">
        <f>IFERROR(VLOOKUP($K590,Players!$D:$E,2,FALSE),VLOOKUP($H590,Players!A:E,5,FALSE))</f>
        <v>RB</v>
      </c>
    </row>
    <row r="591" ht="15.75" customHeight="1">
      <c r="A591" s="1">
        <v>2018.0</v>
      </c>
      <c r="B591" s="1" t="s">
        <v>48</v>
      </c>
      <c r="C591" s="1" t="s">
        <v>19</v>
      </c>
      <c r="D591" s="8">
        <v>9.0</v>
      </c>
      <c r="E591" s="8" t="str">
        <f t="shared" si="1"/>
        <v>Non-Playoff Team</v>
      </c>
      <c r="F591" s="8">
        <v>5.0</v>
      </c>
      <c r="G591" s="8">
        <v>53.0</v>
      </c>
      <c r="H591" s="1" t="s">
        <v>243</v>
      </c>
      <c r="I591" s="1" t="str">
        <f t="shared" si="2"/>
        <v>Marvin</v>
      </c>
      <c r="J591" s="1" t="str">
        <f t="shared" si="3"/>
        <v>Jones Jr</v>
      </c>
      <c r="K591" s="1" t="str">
        <f t="shared" si="4"/>
        <v>#N/A</v>
      </c>
      <c r="L591" s="1" t="str">
        <f>IFERROR(VLOOKUP($K591,Players!$D:$E,2,FALSE),VLOOKUP($H591,Players!A:E,5,FALSE))</f>
        <v>#N/A</v>
      </c>
    </row>
    <row r="592" ht="15.75" customHeight="1">
      <c r="A592" s="1">
        <v>2018.0</v>
      </c>
      <c r="B592" s="1" t="s">
        <v>48</v>
      </c>
      <c r="C592" s="1" t="s">
        <v>19</v>
      </c>
      <c r="D592" s="8">
        <v>9.0</v>
      </c>
      <c r="E592" s="8" t="str">
        <f t="shared" si="1"/>
        <v>Non-Playoff Team</v>
      </c>
      <c r="F592" s="8">
        <v>6.0</v>
      </c>
      <c r="G592" s="8">
        <v>68.0</v>
      </c>
      <c r="H592" s="1" t="s">
        <v>1276</v>
      </c>
      <c r="I592" s="1" t="str">
        <f t="shared" si="2"/>
        <v>Rex</v>
      </c>
      <c r="J592" s="1" t="str">
        <f t="shared" si="3"/>
        <v>Burkhead</v>
      </c>
      <c r="K592" s="1" t="str">
        <f t="shared" si="4"/>
        <v>#N/A</v>
      </c>
      <c r="L592" s="1" t="str">
        <f>IFERROR(VLOOKUP($K592,Players!$D:$E,2,FALSE),VLOOKUP($H592,Players!A:E,5,FALSE))</f>
        <v>RB</v>
      </c>
    </row>
    <row r="593" ht="15.75" customHeight="1">
      <c r="A593" s="1">
        <v>2018.0</v>
      </c>
      <c r="B593" s="1" t="s">
        <v>48</v>
      </c>
      <c r="C593" s="1" t="s">
        <v>19</v>
      </c>
      <c r="D593" s="8">
        <v>9.0</v>
      </c>
      <c r="E593" s="8" t="str">
        <f t="shared" si="1"/>
        <v>Non-Playoff Team</v>
      </c>
      <c r="F593" s="8">
        <v>7.0</v>
      </c>
      <c r="G593" s="8">
        <v>77.0</v>
      </c>
      <c r="H593" s="1" t="s">
        <v>1279</v>
      </c>
      <c r="I593" s="1" t="str">
        <f t="shared" si="2"/>
        <v>Marquise</v>
      </c>
      <c r="J593" s="1" t="str">
        <f t="shared" si="3"/>
        <v>Goodwin</v>
      </c>
      <c r="K593" s="1" t="str">
        <f t="shared" si="4"/>
        <v>#N/A</v>
      </c>
      <c r="L593" s="1" t="str">
        <f>IFERROR(VLOOKUP($K593,Players!$D:$E,2,FALSE),VLOOKUP($H593,Players!A:E,5,FALSE))</f>
        <v>WR</v>
      </c>
    </row>
    <row r="594" ht="15.75" customHeight="1">
      <c r="A594" s="1">
        <v>2018.0</v>
      </c>
      <c r="B594" s="1" t="s">
        <v>48</v>
      </c>
      <c r="C594" s="1" t="s">
        <v>19</v>
      </c>
      <c r="D594" s="8">
        <v>9.0</v>
      </c>
      <c r="E594" s="8" t="str">
        <f t="shared" si="1"/>
        <v>Non-Playoff Team</v>
      </c>
      <c r="F594" s="8">
        <v>8.0</v>
      </c>
      <c r="G594" s="8">
        <v>92.0</v>
      </c>
      <c r="H594" s="1" t="s">
        <v>389</v>
      </c>
      <c r="I594" s="1" t="str">
        <f t="shared" si="2"/>
        <v>Robert</v>
      </c>
      <c r="J594" s="1" t="str">
        <f t="shared" si="3"/>
        <v>Woods</v>
      </c>
      <c r="K594" s="1" t="str">
        <f t="shared" si="4"/>
        <v>#N/A</v>
      </c>
      <c r="L594" s="1" t="str">
        <f>IFERROR(VLOOKUP($K594,Players!$D:$E,2,FALSE),VLOOKUP($H594,Players!A:E,5,FALSE))</f>
        <v>WR</v>
      </c>
    </row>
    <row r="595" ht="15.75" customHeight="1">
      <c r="A595" s="1">
        <v>2018.0</v>
      </c>
      <c r="B595" s="1" t="s">
        <v>48</v>
      </c>
      <c r="C595" s="1" t="s">
        <v>19</v>
      </c>
      <c r="D595" s="8">
        <v>9.0</v>
      </c>
      <c r="E595" s="8" t="str">
        <f t="shared" si="1"/>
        <v>Non-Playoff Team</v>
      </c>
      <c r="F595" s="8">
        <v>9.0</v>
      </c>
      <c r="G595" s="8">
        <v>101.0</v>
      </c>
      <c r="H595" s="1" t="s">
        <v>491</v>
      </c>
      <c r="I595" s="1" t="str">
        <f t="shared" si="2"/>
        <v>Kerryon</v>
      </c>
      <c r="J595" s="1" t="str">
        <f t="shared" si="3"/>
        <v>Johnson</v>
      </c>
      <c r="K595" s="1" t="str">
        <f t="shared" si="4"/>
        <v>#N/A</v>
      </c>
      <c r="L595" s="1" t="str">
        <f>IFERROR(VLOOKUP($K595,Players!$D:$E,2,FALSE),VLOOKUP($H595,Players!A:E,5,FALSE))</f>
        <v>RB</v>
      </c>
    </row>
    <row r="596" ht="15.75" customHeight="1">
      <c r="A596" s="1">
        <v>2018.0</v>
      </c>
      <c r="B596" s="1" t="s">
        <v>48</v>
      </c>
      <c r="C596" s="1" t="s">
        <v>19</v>
      </c>
      <c r="D596" s="8">
        <v>9.0</v>
      </c>
      <c r="E596" s="8" t="str">
        <f t="shared" si="1"/>
        <v>Non-Playoff Team</v>
      </c>
      <c r="F596" s="8">
        <v>10.0</v>
      </c>
      <c r="G596" s="8">
        <v>116.0</v>
      </c>
      <c r="H596" s="1" t="s">
        <v>1287</v>
      </c>
      <c r="I596" s="1" t="str">
        <f t="shared" si="2"/>
        <v>Keelan</v>
      </c>
      <c r="J596" s="1" t="str">
        <f t="shared" si="3"/>
        <v>Cole Sr</v>
      </c>
      <c r="K596" s="1" t="str">
        <f t="shared" si="4"/>
        <v>#N/A</v>
      </c>
      <c r="L596" s="1" t="str">
        <f>IFERROR(VLOOKUP($K596,Players!$D:$E,2,FALSE),VLOOKUP($H596,Players!A:E,5,FALSE))</f>
        <v>#N/A</v>
      </c>
    </row>
    <row r="597" ht="15.75" customHeight="1">
      <c r="A597" s="1">
        <v>2018.0</v>
      </c>
      <c r="B597" s="1" t="s">
        <v>48</v>
      </c>
      <c r="C597" s="1" t="s">
        <v>19</v>
      </c>
      <c r="D597" s="8">
        <v>9.0</v>
      </c>
      <c r="E597" s="8" t="str">
        <f t="shared" si="1"/>
        <v>Non-Playoff Team</v>
      </c>
      <c r="F597" s="8">
        <v>11.0</v>
      </c>
      <c r="G597" s="8">
        <v>125.0</v>
      </c>
      <c r="H597" s="1" t="s">
        <v>375</v>
      </c>
      <c r="I597" s="1" t="str">
        <f t="shared" si="2"/>
        <v>Rashaad</v>
      </c>
      <c r="J597" s="1" t="str">
        <f t="shared" si="3"/>
        <v>Penny</v>
      </c>
      <c r="K597" s="1" t="str">
        <f t="shared" si="4"/>
        <v>#N/A</v>
      </c>
      <c r="L597" s="1" t="str">
        <f>IFERROR(VLOOKUP($K597,Players!$D:$E,2,FALSE),VLOOKUP($H597,Players!A:E,5,FALSE))</f>
        <v>RB</v>
      </c>
    </row>
    <row r="598" ht="15.75" customHeight="1">
      <c r="A598" s="1">
        <v>2018.0</v>
      </c>
      <c r="B598" s="1" t="s">
        <v>48</v>
      </c>
      <c r="C598" s="1" t="s">
        <v>19</v>
      </c>
      <c r="D598" s="8">
        <v>9.0</v>
      </c>
      <c r="E598" s="8" t="str">
        <f t="shared" si="1"/>
        <v>Non-Playoff Team</v>
      </c>
      <c r="F598" s="8">
        <v>12.0</v>
      </c>
      <c r="G598" s="8">
        <v>140.0</v>
      </c>
      <c r="H598" s="1" t="s">
        <v>412</v>
      </c>
      <c r="I598" s="1" t="str">
        <f t="shared" si="2"/>
        <v>Kirk</v>
      </c>
      <c r="J598" s="1" t="str">
        <f t="shared" si="3"/>
        <v>Cousins</v>
      </c>
      <c r="K598" s="1" t="str">
        <f t="shared" si="4"/>
        <v>#N/A</v>
      </c>
      <c r="L598" s="1" t="str">
        <f>IFERROR(VLOOKUP($K598,Players!$D:$E,2,FALSE),VLOOKUP($H598,Players!A:E,5,FALSE))</f>
        <v>QB</v>
      </c>
    </row>
    <row r="599" ht="15.75" customHeight="1">
      <c r="A599" s="1">
        <v>2018.0</v>
      </c>
      <c r="B599" s="1" t="s">
        <v>48</v>
      </c>
      <c r="C599" s="1" t="s">
        <v>19</v>
      </c>
      <c r="D599" s="8">
        <v>9.0</v>
      </c>
      <c r="E599" s="8" t="str">
        <f t="shared" si="1"/>
        <v>Non-Playoff Team</v>
      </c>
      <c r="F599" s="8">
        <v>13.0</v>
      </c>
      <c r="G599" s="8">
        <v>149.0</v>
      </c>
      <c r="H599" s="1" t="s">
        <v>346</v>
      </c>
      <c r="I599" s="1" t="str">
        <f t="shared" si="2"/>
        <v>Antonio</v>
      </c>
      <c r="J599" s="1" t="str">
        <f t="shared" si="3"/>
        <v>Gates</v>
      </c>
      <c r="K599" s="1" t="str">
        <f t="shared" si="4"/>
        <v>#N/A</v>
      </c>
      <c r="L599" s="1" t="str">
        <f>IFERROR(VLOOKUP($K599,Players!$D:$E,2,FALSE),VLOOKUP($H599,Players!A:E,5,FALSE))</f>
        <v>TE</v>
      </c>
    </row>
    <row r="600" ht="15.75" customHeight="1">
      <c r="A600" s="1">
        <v>2018.0</v>
      </c>
      <c r="B600" s="1" t="s">
        <v>48</v>
      </c>
      <c r="C600" s="1" t="s">
        <v>19</v>
      </c>
      <c r="D600" s="8">
        <v>9.0</v>
      </c>
      <c r="E600" s="8" t="str">
        <f t="shared" si="1"/>
        <v>Non-Playoff Team</v>
      </c>
      <c r="F600" s="8">
        <v>14.0</v>
      </c>
      <c r="G600" s="8">
        <v>164.0</v>
      </c>
      <c r="H600" s="1" t="s">
        <v>369</v>
      </c>
      <c r="I600" s="1" t="str">
        <f t="shared" si="2"/>
        <v>New</v>
      </c>
      <c r="J600" s="1" t="str">
        <f t="shared" si="3"/>
        <v>England</v>
      </c>
      <c r="K600" s="1" t="str">
        <f t="shared" si="4"/>
        <v>#N/A</v>
      </c>
      <c r="L600" s="1" t="str">
        <f>IFERROR(VLOOKUP($K600,Players!$D:$E,2,FALSE),VLOOKUP($H600,Players!A:E,5,FALSE))</f>
        <v>DEF</v>
      </c>
    </row>
    <row r="601" ht="15.75" customHeight="1">
      <c r="A601" s="1">
        <v>2018.0</v>
      </c>
      <c r="B601" s="1" t="s">
        <v>48</v>
      </c>
      <c r="C601" s="1" t="s">
        <v>19</v>
      </c>
      <c r="D601" s="8">
        <v>9.0</v>
      </c>
      <c r="E601" s="8" t="str">
        <f t="shared" si="1"/>
        <v>Non-Playoff Team</v>
      </c>
      <c r="F601" s="8">
        <v>15.0</v>
      </c>
      <c r="G601" s="8">
        <v>173.0</v>
      </c>
      <c r="H601" s="1" t="s">
        <v>137</v>
      </c>
      <c r="I601" s="1" t="str">
        <f t="shared" si="2"/>
        <v>Robbie</v>
      </c>
      <c r="J601" s="1" t="str">
        <f t="shared" si="3"/>
        <v>Gould</v>
      </c>
      <c r="K601" s="1" t="str">
        <f t="shared" si="4"/>
        <v>#N/A</v>
      </c>
      <c r="L601" s="1" t="str">
        <f>IFERROR(VLOOKUP($K601,Players!$D:$E,2,FALSE),VLOOKUP($H601,Players!A:E,5,FALSE))</f>
        <v>K</v>
      </c>
    </row>
    <row r="602" ht="15.75" customHeight="1">
      <c r="A602" s="1">
        <v>2018.0</v>
      </c>
      <c r="B602" s="1" t="s">
        <v>30</v>
      </c>
      <c r="C602" s="1" t="s">
        <v>31</v>
      </c>
      <c r="D602" s="8">
        <v>8.0</v>
      </c>
      <c r="E602" s="8" t="str">
        <f t="shared" si="1"/>
        <v>Non-Playoff Team</v>
      </c>
      <c r="F602" s="8">
        <v>1.0</v>
      </c>
      <c r="G602" s="8">
        <v>11.0</v>
      </c>
      <c r="H602" s="1" t="s">
        <v>78</v>
      </c>
      <c r="I602" s="1" t="str">
        <f t="shared" si="2"/>
        <v>Christian</v>
      </c>
      <c r="J602" s="1" t="str">
        <f t="shared" si="3"/>
        <v>McCaffrey</v>
      </c>
      <c r="K602" s="1" t="str">
        <f t="shared" si="4"/>
        <v>#N/A</v>
      </c>
      <c r="L602" s="1" t="str">
        <f>IFERROR(VLOOKUP($K602,Players!$D:$E,2,FALSE),VLOOKUP($H602,Players!A:E,5,FALSE))</f>
        <v>RB</v>
      </c>
    </row>
    <row r="603" ht="15.75" customHeight="1">
      <c r="A603" s="1">
        <v>2018.0</v>
      </c>
      <c r="B603" s="1" t="s">
        <v>30</v>
      </c>
      <c r="C603" s="1" t="s">
        <v>31</v>
      </c>
      <c r="D603" s="8">
        <v>8.0</v>
      </c>
      <c r="E603" s="8" t="str">
        <f t="shared" si="1"/>
        <v>Non-Playoff Team</v>
      </c>
      <c r="F603" s="8">
        <v>2.0</v>
      </c>
      <c r="G603" s="8">
        <v>14.0</v>
      </c>
      <c r="H603" s="1" t="s">
        <v>402</v>
      </c>
      <c r="I603" s="1" t="str">
        <f t="shared" si="2"/>
        <v>Leonard</v>
      </c>
      <c r="J603" s="1" t="str">
        <f t="shared" si="3"/>
        <v>Fournette</v>
      </c>
      <c r="K603" s="1" t="str">
        <f t="shared" si="4"/>
        <v>#N/A</v>
      </c>
      <c r="L603" s="1" t="str">
        <f>IFERROR(VLOOKUP($K603,Players!$D:$E,2,FALSE),VLOOKUP($H603,Players!A:E,5,FALSE))</f>
        <v>RB</v>
      </c>
    </row>
    <row r="604" ht="15.75" customHeight="1">
      <c r="A604" s="1">
        <v>2018.0</v>
      </c>
      <c r="B604" s="1" t="s">
        <v>30</v>
      </c>
      <c r="C604" s="1" t="s">
        <v>31</v>
      </c>
      <c r="D604" s="8">
        <v>8.0</v>
      </c>
      <c r="E604" s="8" t="str">
        <f t="shared" si="1"/>
        <v>Non-Playoff Team</v>
      </c>
      <c r="F604" s="8">
        <v>3.0</v>
      </c>
      <c r="G604" s="8">
        <v>35.0</v>
      </c>
      <c r="H604" s="1" t="s">
        <v>112</v>
      </c>
      <c r="I604" s="1" t="str">
        <f t="shared" si="2"/>
        <v>Adam</v>
      </c>
      <c r="J604" s="1" t="str">
        <f t="shared" si="3"/>
        <v>Thielen</v>
      </c>
      <c r="K604" s="1" t="str">
        <f t="shared" si="4"/>
        <v>#N/A</v>
      </c>
      <c r="L604" s="1" t="str">
        <f>IFERROR(VLOOKUP($K604,Players!$D:$E,2,FALSE),VLOOKUP($H604,Players!A:E,5,FALSE))</f>
        <v>WR</v>
      </c>
    </row>
    <row r="605" ht="15.75" customHeight="1">
      <c r="A605" s="1">
        <v>2018.0</v>
      </c>
      <c r="B605" s="1" t="s">
        <v>30</v>
      </c>
      <c r="C605" s="1" t="s">
        <v>31</v>
      </c>
      <c r="D605" s="8">
        <v>8.0</v>
      </c>
      <c r="E605" s="8" t="str">
        <f t="shared" si="1"/>
        <v>Non-Playoff Team</v>
      </c>
      <c r="F605" s="8">
        <v>5.0</v>
      </c>
      <c r="G605" s="8">
        <v>59.0</v>
      </c>
      <c r="H605" s="1" t="s">
        <v>724</v>
      </c>
      <c r="I605" s="1" t="str">
        <f t="shared" si="2"/>
        <v>Mark</v>
      </c>
      <c r="J605" s="1" t="str">
        <f t="shared" si="3"/>
        <v>Ingram II</v>
      </c>
      <c r="K605" s="1" t="str">
        <f t="shared" si="4"/>
        <v>#N/A</v>
      </c>
      <c r="L605" s="1" t="str">
        <f>IFERROR(VLOOKUP($K605,Players!$D:$E,2,FALSE),VLOOKUP($H605,Players!A:E,5,FALSE))</f>
        <v>#N/A</v>
      </c>
    </row>
    <row r="606" ht="15.75" customHeight="1">
      <c r="A606" s="1">
        <v>2018.0</v>
      </c>
      <c r="B606" s="1" t="s">
        <v>30</v>
      </c>
      <c r="C606" s="1" t="s">
        <v>31</v>
      </c>
      <c r="D606" s="8">
        <v>8.0</v>
      </c>
      <c r="E606" s="8" t="str">
        <f t="shared" si="1"/>
        <v>Non-Playoff Team</v>
      </c>
      <c r="F606" s="8">
        <v>6.0</v>
      </c>
      <c r="G606" s="8">
        <v>62.0</v>
      </c>
      <c r="H606" s="1" t="s">
        <v>741</v>
      </c>
      <c r="I606" s="1" t="str">
        <f t="shared" si="2"/>
        <v>Emmanuel</v>
      </c>
      <c r="J606" s="1" t="str">
        <f t="shared" si="3"/>
        <v>Sanders</v>
      </c>
      <c r="K606" s="1" t="str">
        <f t="shared" si="4"/>
        <v>#N/A</v>
      </c>
      <c r="L606" s="1" t="str">
        <f>IFERROR(VLOOKUP($K606,Players!$D:$E,2,FALSE),VLOOKUP($H606,Players!A:E,5,FALSE))</f>
        <v>WR</v>
      </c>
    </row>
    <row r="607" ht="15.75" customHeight="1">
      <c r="A607" s="1">
        <v>2018.0</v>
      </c>
      <c r="B607" s="1" t="s">
        <v>30</v>
      </c>
      <c r="C607" s="1" t="s">
        <v>31</v>
      </c>
      <c r="D607" s="8">
        <v>8.0</v>
      </c>
      <c r="E607" s="8" t="str">
        <f t="shared" si="1"/>
        <v>Non-Playoff Team</v>
      </c>
      <c r="F607" s="8">
        <v>7.0</v>
      </c>
      <c r="G607" s="8">
        <v>83.0</v>
      </c>
      <c r="H607" s="1" t="s">
        <v>835</v>
      </c>
      <c r="I607" s="1" t="str">
        <f t="shared" si="2"/>
        <v>Sammy</v>
      </c>
      <c r="J607" s="1" t="str">
        <f t="shared" si="3"/>
        <v>Watkins</v>
      </c>
      <c r="K607" s="1" t="str">
        <f t="shared" si="4"/>
        <v>#N/A</v>
      </c>
      <c r="L607" s="1" t="str">
        <f>IFERROR(VLOOKUP($K607,Players!$D:$E,2,FALSE),VLOOKUP($H607,Players!A:E,5,FALSE))</f>
        <v>WR</v>
      </c>
    </row>
    <row r="608" ht="15.75" customHeight="1">
      <c r="A608" s="1">
        <v>2018.0</v>
      </c>
      <c r="B608" s="1" t="s">
        <v>30</v>
      </c>
      <c r="C608" s="1" t="s">
        <v>31</v>
      </c>
      <c r="D608" s="8">
        <v>8.0</v>
      </c>
      <c r="E608" s="8" t="str">
        <f t="shared" si="1"/>
        <v>Non-Playoff Team</v>
      </c>
      <c r="F608" s="8">
        <v>8.0</v>
      </c>
      <c r="G608" s="8">
        <v>86.0</v>
      </c>
      <c r="H608" s="1" t="s">
        <v>1308</v>
      </c>
      <c r="I608" s="1" t="str">
        <f t="shared" si="2"/>
        <v>Kyle</v>
      </c>
      <c r="J608" s="1" t="str">
        <f t="shared" si="3"/>
        <v>Rudolph</v>
      </c>
      <c r="K608" s="1" t="str">
        <f t="shared" si="4"/>
        <v>#N/A</v>
      </c>
      <c r="L608" s="1" t="str">
        <f>IFERROR(VLOOKUP($K608,Players!$D:$E,2,FALSE),VLOOKUP($H608,Players!A:E,5,FALSE))</f>
        <v>TE</v>
      </c>
    </row>
    <row r="609" ht="15.75" customHeight="1">
      <c r="A609" s="1">
        <v>2018.0</v>
      </c>
      <c r="B609" s="1" t="s">
        <v>30</v>
      </c>
      <c r="C609" s="1" t="s">
        <v>31</v>
      </c>
      <c r="D609" s="8">
        <v>8.0</v>
      </c>
      <c r="E609" s="8" t="str">
        <f t="shared" si="1"/>
        <v>Non-Playoff Team</v>
      </c>
      <c r="F609" s="8">
        <v>9.0</v>
      </c>
      <c r="G609" s="8">
        <v>107.0</v>
      </c>
      <c r="H609" s="1" t="s">
        <v>457</v>
      </c>
      <c r="I609" s="1" t="str">
        <f t="shared" si="2"/>
        <v>Ben</v>
      </c>
      <c r="J609" s="1" t="str">
        <f t="shared" si="3"/>
        <v>Roethlisberger</v>
      </c>
      <c r="K609" s="1" t="str">
        <f t="shared" si="4"/>
        <v>#N/A</v>
      </c>
      <c r="L609" s="1" t="str">
        <f>IFERROR(VLOOKUP($K609,Players!$D:$E,2,FALSE),VLOOKUP($H609,Players!A:E,5,FALSE))</f>
        <v>QB</v>
      </c>
    </row>
    <row r="610" ht="15.75" customHeight="1">
      <c r="A610" s="1">
        <v>2018.0</v>
      </c>
      <c r="B610" s="1" t="s">
        <v>30</v>
      </c>
      <c r="C610" s="1" t="s">
        <v>31</v>
      </c>
      <c r="D610" s="8">
        <v>8.0</v>
      </c>
      <c r="E610" s="8" t="str">
        <f t="shared" si="1"/>
        <v>Non-Playoff Team</v>
      </c>
      <c r="F610" s="8">
        <v>10.0</v>
      </c>
      <c r="G610" s="8">
        <v>110.0</v>
      </c>
      <c r="H610" s="1" t="s">
        <v>1312</v>
      </c>
      <c r="I610" s="1" t="str">
        <f t="shared" si="2"/>
        <v>Pierre</v>
      </c>
      <c r="J610" s="1" t="str">
        <f t="shared" si="3"/>
        <v>Garcon</v>
      </c>
      <c r="K610" s="1" t="str">
        <f t="shared" si="4"/>
        <v>#N/A</v>
      </c>
      <c r="L610" s="1" t="str">
        <f>IFERROR(VLOOKUP($K610,Players!$D:$E,2,FALSE),VLOOKUP($H610,Players!A:E,5,FALSE))</f>
        <v>WR</v>
      </c>
    </row>
    <row r="611" ht="15.75" customHeight="1">
      <c r="A611" s="1">
        <v>2018.0</v>
      </c>
      <c r="B611" s="1" t="s">
        <v>30</v>
      </c>
      <c r="C611" s="1" t="s">
        <v>31</v>
      </c>
      <c r="D611" s="8">
        <v>8.0</v>
      </c>
      <c r="E611" s="8" t="str">
        <f t="shared" si="1"/>
        <v>Non-Playoff Team</v>
      </c>
      <c r="F611" s="8">
        <v>11.0</v>
      </c>
      <c r="G611" s="8">
        <v>131.0</v>
      </c>
      <c r="H611" s="1" t="s">
        <v>1315</v>
      </c>
      <c r="I611" s="1" t="str">
        <f t="shared" si="2"/>
        <v>Kelvin</v>
      </c>
      <c r="J611" s="1" t="str">
        <f t="shared" si="3"/>
        <v>Benjamin</v>
      </c>
      <c r="K611" s="1" t="str">
        <f t="shared" si="4"/>
        <v>#N/A</v>
      </c>
      <c r="L611" s="1" t="str">
        <f>IFERROR(VLOOKUP($K611,Players!$D:$E,2,FALSE),VLOOKUP($H611,Players!A:E,5,FALSE))</f>
        <v>WR</v>
      </c>
    </row>
    <row r="612" ht="15.75" customHeight="1">
      <c r="A612" s="1">
        <v>2018.0</v>
      </c>
      <c r="B612" s="1" t="s">
        <v>30</v>
      </c>
      <c r="C612" s="1" t="s">
        <v>31</v>
      </c>
      <c r="D612" s="8">
        <v>8.0</v>
      </c>
      <c r="E612" s="8" t="str">
        <f t="shared" si="1"/>
        <v>Non-Playoff Team</v>
      </c>
      <c r="F612" s="8">
        <v>12.0</v>
      </c>
      <c r="G612" s="8">
        <v>134.0</v>
      </c>
      <c r="H612" s="1" t="s">
        <v>694</v>
      </c>
      <c r="I612" s="1" t="str">
        <f t="shared" si="2"/>
        <v>Jared</v>
      </c>
      <c r="J612" s="1" t="str">
        <f t="shared" si="3"/>
        <v>Cook</v>
      </c>
      <c r="K612" s="1" t="str">
        <f t="shared" si="4"/>
        <v>#N/A</v>
      </c>
      <c r="L612" s="1" t="str">
        <f>IFERROR(VLOOKUP($K612,Players!$D:$E,2,FALSE),VLOOKUP($H612,Players!A:E,5,FALSE))</f>
        <v>TE</v>
      </c>
    </row>
    <row r="613" ht="15.75" customHeight="1">
      <c r="A613" s="1">
        <v>2018.0</v>
      </c>
      <c r="B613" s="1" t="s">
        <v>30</v>
      </c>
      <c r="C613" s="1" t="s">
        <v>31</v>
      </c>
      <c r="D613" s="8">
        <v>8.0</v>
      </c>
      <c r="E613" s="8" t="str">
        <f t="shared" si="1"/>
        <v>Non-Playoff Team</v>
      </c>
      <c r="F613" s="8">
        <v>13.0</v>
      </c>
      <c r="G613" s="8">
        <v>155.0</v>
      </c>
      <c r="H613" s="1" t="s">
        <v>887</v>
      </c>
      <c r="I613" s="1" t="str">
        <f t="shared" si="2"/>
        <v>Corey</v>
      </c>
      <c r="J613" s="1" t="str">
        <f t="shared" si="3"/>
        <v>Clement</v>
      </c>
      <c r="K613" s="1" t="str">
        <f t="shared" si="4"/>
        <v>#N/A</v>
      </c>
      <c r="L613" s="1" t="str">
        <f>IFERROR(VLOOKUP($K613,Players!$D:$E,2,FALSE),VLOOKUP($H613,Players!A:E,5,FALSE))</f>
        <v>RB</v>
      </c>
    </row>
    <row r="614" ht="15.75" customHeight="1">
      <c r="A614" s="1">
        <v>2018.0</v>
      </c>
      <c r="B614" s="1" t="s">
        <v>30</v>
      </c>
      <c r="C614" s="1" t="s">
        <v>31</v>
      </c>
      <c r="D614" s="8">
        <v>8.0</v>
      </c>
      <c r="E614" s="8" t="str">
        <f t="shared" si="1"/>
        <v>Non-Playoff Team</v>
      </c>
      <c r="F614" s="8">
        <v>14.0</v>
      </c>
      <c r="G614" s="8">
        <v>158.0</v>
      </c>
      <c r="H614" s="1" t="s">
        <v>1323</v>
      </c>
      <c r="I614" s="1" t="str">
        <f t="shared" si="2"/>
        <v>Matt</v>
      </c>
      <c r="J614" s="1" t="str">
        <f t="shared" si="3"/>
        <v>Prater</v>
      </c>
      <c r="K614" s="1" t="str">
        <f t="shared" si="4"/>
        <v>#N/A</v>
      </c>
      <c r="L614" s="1" t="str">
        <f>IFERROR(VLOOKUP($K614,Players!$D:$E,2,FALSE),VLOOKUP($H614,Players!A:E,5,FALSE))</f>
        <v>K</v>
      </c>
    </row>
    <row r="615" ht="15.75" customHeight="1">
      <c r="A615" s="1">
        <v>2018.0</v>
      </c>
      <c r="B615" s="1" t="s">
        <v>30</v>
      </c>
      <c r="C615" s="1" t="s">
        <v>31</v>
      </c>
      <c r="D615" s="8">
        <v>8.0</v>
      </c>
      <c r="E615" s="8" t="str">
        <f t="shared" si="1"/>
        <v>Non-Playoff Team</v>
      </c>
      <c r="F615" s="8">
        <v>15.0</v>
      </c>
      <c r="G615" s="8">
        <v>179.0</v>
      </c>
      <c r="H615" s="1" t="s">
        <v>1326</v>
      </c>
      <c r="I615" s="1" t="str">
        <f t="shared" si="2"/>
        <v>Pittsburgh</v>
      </c>
      <c r="J615" s="1" t="str">
        <f t="shared" si="3"/>
        <v/>
      </c>
      <c r="K615" s="1" t="str">
        <f t="shared" si="4"/>
        <v>#N/A</v>
      </c>
      <c r="L615" s="1" t="str">
        <f>IFERROR(VLOOKUP($K615,Players!$D:$E,2,FALSE),VLOOKUP($H615,Players!A:E,5,FALSE))</f>
        <v>DEF</v>
      </c>
    </row>
    <row r="616" ht="15.75" customHeight="1">
      <c r="A616" s="1">
        <v>2018.0</v>
      </c>
      <c r="B616" s="1" t="s">
        <v>46</v>
      </c>
      <c r="C616" s="1" t="s">
        <v>13</v>
      </c>
      <c r="D616" s="8">
        <v>3.0</v>
      </c>
      <c r="E616" s="8" t="str">
        <f t="shared" si="1"/>
        <v>Playoff Team</v>
      </c>
      <c r="F616" s="8">
        <v>1.0</v>
      </c>
      <c r="G616" s="8">
        <v>4.0</v>
      </c>
      <c r="H616" s="1" t="s">
        <v>229</v>
      </c>
      <c r="I616" s="1" t="str">
        <f t="shared" si="2"/>
        <v>Antonio</v>
      </c>
      <c r="J616" s="1" t="str">
        <f t="shared" si="3"/>
        <v>Brown</v>
      </c>
      <c r="K616" s="1" t="str">
        <f t="shared" si="4"/>
        <v>#N/A</v>
      </c>
      <c r="L616" s="1" t="str">
        <f>IFERROR(VLOOKUP($K616,Players!$D:$E,2,FALSE),VLOOKUP($H616,Players!A:E,5,FALSE))</f>
        <v>WR</v>
      </c>
    </row>
    <row r="617" ht="15.75" customHeight="1">
      <c r="A617" s="1">
        <v>2018.0</v>
      </c>
      <c r="B617" s="1" t="s">
        <v>46</v>
      </c>
      <c r="C617" s="1" t="s">
        <v>13</v>
      </c>
      <c r="D617" s="8">
        <v>3.0</v>
      </c>
      <c r="E617" s="8" t="str">
        <f t="shared" si="1"/>
        <v>Playoff Team</v>
      </c>
      <c r="F617" s="8">
        <v>2.0</v>
      </c>
      <c r="G617" s="8">
        <v>21.0</v>
      </c>
      <c r="H617" s="1" t="s">
        <v>699</v>
      </c>
      <c r="I617" s="1" t="str">
        <f t="shared" si="2"/>
        <v>Jordan</v>
      </c>
      <c r="J617" s="1" t="str">
        <f t="shared" si="3"/>
        <v>Howard</v>
      </c>
      <c r="K617" s="1" t="str">
        <f t="shared" si="4"/>
        <v>#N/A</v>
      </c>
      <c r="L617" s="1" t="str">
        <f>IFERROR(VLOOKUP($K617,Players!$D:$E,2,FALSE),VLOOKUP($H617,Players!A:E,5,FALSE))</f>
        <v>RB</v>
      </c>
    </row>
    <row r="618" ht="15.75" customHeight="1">
      <c r="A618" s="1">
        <v>2018.0</v>
      </c>
      <c r="B618" s="1" t="s">
        <v>46</v>
      </c>
      <c r="C618" s="1" t="s">
        <v>13</v>
      </c>
      <c r="D618" s="8">
        <v>3.0</v>
      </c>
      <c r="E618" s="8" t="str">
        <f t="shared" si="1"/>
        <v>Playoff Team</v>
      </c>
      <c r="F618" s="8">
        <v>3.0</v>
      </c>
      <c r="G618" s="8">
        <v>28.0</v>
      </c>
      <c r="H618" s="1" t="s">
        <v>819</v>
      </c>
      <c r="I618" s="1" t="str">
        <f t="shared" si="2"/>
        <v>Zach</v>
      </c>
      <c r="J618" s="1" t="str">
        <f t="shared" si="3"/>
        <v>Ertz</v>
      </c>
      <c r="K618" s="1" t="str">
        <f t="shared" si="4"/>
        <v>#N/A</v>
      </c>
      <c r="L618" s="1" t="str">
        <f>IFERROR(VLOOKUP($K618,Players!$D:$E,2,FALSE),VLOOKUP($H618,Players!A:E,5,FALSE))</f>
        <v>TE</v>
      </c>
    </row>
    <row r="619" ht="15.75" customHeight="1">
      <c r="A619" s="1">
        <v>2018.0</v>
      </c>
      <c r="B619" s="1" t="s">
        <v>46</v>
      </c>
      <c r="C619" s="1" t="s">
        <v>13</v>
      </c>
      <c r="D619" s="8">
        <v>3.0</v>
      </c>
      <c r="E619" s="8" t="str">
        <f t="shared" si="1"/>
        <v>Playoff Team</v>
      </c>
      <c r="F619" s="8">
        <v>4.0</v>
      </c>
      <c r="G619" s="8">
        <v>45.0</v>
      </c>
      <c r="H619" s="1" t="s">
        <v>117</v>
      </c>
      <c r="I619" s="1" t="str">
        <f t="shared" si="2"/>
        <v>Jarvis</v>
      </c>
      <c r="J619" s="1" t="str">
        <f t="shared" si="3"/>
        <v>Landry</v>
      </c>
      <c r="K619" s="1" t="str">
        <f t="shared" si="4"/>
        <v>#N/A</v>
      </c>
      <c r="L619" s="1" t="str">
        <f>IFERROR(VLOOKUP($K619,Players!$D:$E,2,FALSE),VLOOKUP($H619,Players!A:E,5,FALSE))</f>
        <v>WR</v>
      </c>
    </row>
    <row r="620" ht="15.75" customHeight="1">
      <c r="A620" s="1">
        <v>2018.0</v>
      </c>
      <c r="B620" s="1" t="s">
        <v>46</v>
      </c>
      <c r="C620" s="1" t="s">
        <v>13</v>
      </c>
      <c r="D620" s="8">
        <v>3.0</v>
      </c>
      <c r="E620" s="8" t="str">
        <f t="shared" si="1"/>
        <v>Playoff Team</v>
      </c>
      <c r="F620" s="8">
        <v>5.0</v>
      </c>
      <c r="G620" s="8">
        <v>52.0</v>
      </c>
      <c r="H620" s="1" t="s">
        <v>147</v>
      </c>
      <c r="I620" s="1" t="str">
        <f t="shared" si="2"/>
        <v>Brandin</v>
      </c>
      <c r="J620" s="1" t="str">
        <f t="shared" si="3"/>
        <v>Cooks</v>
      </c>
      <c r="K620" s="1" t="str">
        <f t="shared" si="4"/>
        <v>#N/A</v>
      </c>
      <c r="L620" s="1" t="str">
        <f>IFERROR(VLOOKUP($K620,Players!$D:$E,2,FALSE),VLOOKUP($H620,Players!A:E,5,FALSE))</f>
        <v>WR</v>
      </c>
    </row>
    <row r="621" ht="15.75" customHeight="1">
      <c r="A621" s="1">
        <v>2018.0</v>
      </c>
      <c r="B621" s="1" t="s">
        <v>46</v>
      </c>
      <c r="C621" s="1" t="s">
        <v>13</v>
      </c>
      <c r="D621" s="8">
        <v>3.0</v>
      </c>
      <c r="E621" s="8" t="str">
        <f t="shared" si="1"/>
        <v>Playoff Team</v>
      </c>
      <c r="F621" s="8">
        <v>6.0</v>
      </c>
      <c r="G621" s="8">
        <v>69.0</v>
      </c>
      <c r="H621" s="1" t="s">
        <v>1336</v>
      </c>
      <c r="I621" s="1" t="str">
        <f t="shared" si="2"/>
        <v>Marshawn</v>
      </c>
      <c r="J621" s="1" t="str">
        <f t="shared" si="3"/>
        <v>Lynch</v>
      </c>
      <c r="K621" s="1" t="str">
        <f t="shared" si="4"/>
        <v>#N/A</v>
      </c>
      <c r="L621" s="1" t="str">
        <f>IFERROR(VLOOKUP($K621,Players!$D:$E,2,FALSE),VLOOKUP($H621,Players!A:E,5,FALSE))</f>
        <v>RB</v>
      </c>
    </row>
    <row r="622" ht="15.75" customHeight="1">
      <c r="A622" s="1">
        <v>2018.0</v>
      </c>
      <c r="B622" s="1" t="s">
        <v>46</v>
      </c>
      <c r="C622" s="1" t="s">
        <v>13</v>
      </c>
      <c r="D622" s="8">
        <v>3.0</v>
      </c>
      <c r="E622" s="8" t="str">
        <f t="shared" si="1"/>
        <v>Playoff Team</v>
      </c>
      <c r="F622" s="8">
        <v>7.0</v>
      </c>
      <c r="G622" s="8">
        <v>76.0</v>
      </c>
      <c r="H622" s="1" t="s">
        <v>366</v>
      </c>
      <c r="I622" s="1" t="str">
        <f t="shared" si="2"/>
        <v>Matthew</v>
      </c>
      <c r="J622" s="1" t="str">
        <f t="shared" si="3"/>
        <v>Stafford</v>
      </c>
      <c r="K622" s="1" t="str">
        <f t="shared" si="4"/>
        <v>#N/A</v>
      </c>
      <c r="L622" s="1" t="str">
        <f>IFERROR(VLOOKUP($K622,Players!$D:$E,2,FALSE),VLOOKUP($H622,Players!A:E,5,FALSE))</f>
        <v>QB</v>
      </c>
    </row>
    <row r="623" ht="15.75" customHeight="1">
      <c r="A623" s="1">
        <v>2018.0</v>
      </c>
      <c r="B623" s="1" t="s">
        <v>46</v>
      </c>
      <c r="C623" s="1" t="s">
        <v>13</v>
      </c>
      <c r="D623" s="8">
        <v>3.0</v>
      </c>
      <c r="E623" s="8" t="str">
        <f t="shared" si="1"/>
        <v>Playoff Team</v>
      </c>
      <c r="F623" s="8">
        <v>8.0</v>
      </c>
      <c r="G623" s="8">
        <v>93.0</v>
      </c>
      <c r="H623" s="1" t="s">
        <v>425</v>
      </c>
      <c r="I623" s="1" t="str">
        <f t="shared" si="2"/>
        <v>Nick</v>
      </c>
      <c r="J623" s="1" t="str">
        <f t="shared" si="3"/>
        <v>Chubb</v>
      </c>
      <c r="K623" s="1" t="str">
        <f t="shared" si="4"/>
        <v>#N/A</v>
      </c>
      <c r="L623" s="1" t="str">
        <f>IFERROR(VLOOKUP($K623,Players!$D:$E,2,FALSE),VLOOKUP($H623,Players!A:E,5,FALSE))</f>
        <v>RB</v>
      </c>
    </row>
    <row r="624" ht="15.75" customHeight="1">
      <c r="A624" s="1">
        <v>2018.0</v>
      </c>
      <c r="B624" s="1" t="s">
        <v>46</v>
      </c>
      <c r="C624" s="1" t="s">
        <v>13</v>
      </c>
      <c r="D624" s="8">
        <v>3.0</v>
      </c>
      <c r="E624" s="8" t="str">
        <f t="shared" si="1"/>
        <v>Playoff Team</v>
      </c>
      <c r="F624" s="8">
        <v>9.0</v>
      </c>
      <c r="G624" s="8">
        <v>100.0</v>
      </c>
      <c r="H624" s="1" t="s">
        <v>111</v>
      </c>
      <c r="I624" s="1" t="str">
        <f t="shared" si="2"/>
        <v>DJ</v>
      </c>
      <c r="J624" s="1" t="str">
        <f t="shared" si="3"/>
        <v>Moore</v>
      </c>
      <c r="K624" s="1" t="str">
        <f t="shared" si="4"/>
        <v>#N/A</v>
      </c>
      <c r="L624" s="1" t="str">
        <f>IFERROR(VLOOKUP($K624,Players!$D:$E,2,FALSE),VLOOKUP($H624,Players!A:E,5,FALSE))</f>
        <v>#N/A</v>
      </c>
    </row>
    <row r="625" ht="15.75" customHeight="1">
      <c r="A625" s="1">
        <v>2018.0</v>
      </c>
      <c r="B625" s="1" t="s">
        <v>46</v>
      </c>
      <c r="C625" s="1" t="s">
        <v>13</v>
      </c>
      <c r="D625" s="8">
        <v>3.0</v>
      </c>
      <c r="E625" s="8" t="str">
        <f t="shared" si="1"/>
        <v>Playoff Team</v>
      </c>
      <c r="F625" s="8">
        <v>10.0</v>
      </c>
      <c r="G625" s="8">
        <v>117.0</v>
      </c>
      <c r="H625" s="1" t="s">
        <v>1342</v>
      </c>
      <c r="I625" s="1" t="str">
        <f t="shared" si="2"/>
        <v>Jack</v>
      </c>
      <c r="J625" s="1" t="str">
        <f t="shared" si="3"/>
        <v>Doyle</v>
      </c>
      <c r="K625" s="1" t="str">
        <f t="shared" si="4"/>
        <v>#N/A</v>
      </c>
      <c r="L625" s="1" t="str">
        <f>IFERROR(VLOOKUP($K625,Players!$D:$E,2,FALSE),VLOOKUP($H625,Players!A:E,5,FALSE))</f>
        <v>TE</v>
      </c>
    </row>
    <row r="626" ht="15.75" customHeight="1">
      <c r="A626" s="1">
        <v>2018.0</v>
      </c>
      <c r="B626" s="1" t="s">
        <v>46</v>
      </c>
      <c r="C626" s="1" t="s">
        <v>13</v>
      </c>
      <c r="D626" s="8">
        <v>3.0</v>
      </c>
      <c r="E626" s="8" t="str">
        <f t="shared" si="1"/>
        <v>Playoff Team</v>
      </c>
      <c r="F626" s="8">
        <v>11.0</v>
      </c>
      <c r="G626" s="8">
        <v>124.0</v>
      </c>
      <c r="H626" s="1" t="s">
        <v>190</v>
      </c>
      <c r="I626" s="1" t="str">
        <f t="shared" si="2"/>
        <v>Justin</v>
      </c>
      <c r="J626" s="1" t="str">
        <f t="shared" si="3"/>
        <v>Tucker</v>
      </c>
      <c r="K626" s="1" t="str">
        <f t="shared" si="4"/>
        <v>#N/A</v>
      </c>
      <c r="L626" s="1" t="str">
        <f>IFERROR(VLOOKUP($K626,Players!$D:$E,2,FALSE),VLOOKUP($H626,Players!A:E,5,FALSE))</f>
        <v>K</v>
      </c>
    </row>
    <row r="627" ht="15.75" customHeight="1">
      <c r="A627" s="1">
        <v>2018.0</v>
      </c>
      <c r="B627" s="1" t="s">
        <v>46</v>
      </c>
      <c r="C627" s="1" t="s">
        <v>13</v>
      </c>
      <c r="D627" s="8">
        <v>3.0</v>
      </c>
      <c r="E627" s="8" t="str">
        <f t="shared" si="1"/>
        <v>Playoff Team</v>
      </c>
      <c r="F627" s="8">
        <v>12.0</v>
      </c>
      <c r="G627" s="8">
        <v>141.0</v>
      </c>
      <c r="H627" s="1" t="s">
        <v>231</v>
      </c>
      <c r="I627" s="1" t="str">
        <f t="shared" si="2"/>
        <v>Los</v>
      </c>
      <c r="J627" s="1" t="str">
        <f t="shared" si="3"/>
        <v>Angeles</v>
      </c>
      <c r="K627" s="1" t="str">
        <f t="shared" si="4"/>
        <v>#N/A</v>
      </c>
      <c r="L627" s="1" t="str">
        <f>IFERROR(VLOOKUP($K627,Players!$D:$E,2,FALSE),VLOOKUP($H627,Players!A:E,5,FALSE))</f>
        <v>DEF</v>
      </c>
    </row>
    <row r="628" ht="15.75" customHeight="1">
      <c r="A628" s="1">
        <v>2018.0</v>
      </c>
      <c r="B628" s="1" t="s">
        <v>46</v>
      </c>
      <c r="C628" s="1" t="s">
        <v>13</v>
      </c>
      <c r="D628" s="8">
        <v>3.0</v>
      </c>
      <c r="E628" s="8" t="str">
        <f t="shared" si="1"/>
        <v>Playoff Team</v>
      </c>
      <c r="F628" s="8">
        <v>13.0</v>
      </c>
      <c r="G628" s="8">
        <v>148.0</v>
      </c>
      <c r="H628" s="1" t="s">
        <v>984</v>
      </c>
      <c r="I628" s="1" t="str">
        <f t="shared" si="2"/>
        <v>Dante</v>
      </c>
      <c r="J628" s="1" t="str">
        <f t="shared" si="3"/>
        <v>Pettis</v>
      </c>
      <c r="K628" s="1" t="str">
        <f t="shared" si="4"/>
        <v>#N/A</v>
      </c>
      <c r="L628" s="1" t="str">
        <f>IFERROR(VLOOKUP($K628,Players!$D:$E,2,FALSE),VLOOKUP($H628,Players!A:E,5,FALSE))</f>
        <v>WR</v>
      </c>
    </row>
    <row r="629" ht="15.75" customHeight="1">
      <c r="A629" s="1">
        <v>2018.0</v>
      </c>
      <c r="B629" s="1" t="s">
        <v>46</v>
      </c>
      <c r="C629" s="1" t="s">
        <v>13</v>
      </c>
      <c r="D629" s="8">
        <v>3.0</v>
      </c>
      <c r="E629" s="8" t="str">
        <f t="shared" si="1"/>
        <v>Playoff Team</v>
      </c>
      <c r="F629" s="8">
        <v>14.0</v>
      </c>
      <c r="G629" s="8">
        <v>165.0</v>
      </c>
      <c r="H629" s="1" t="s">
        <v>1351</v>
      </c>
      <c r="I629" s="1" t="str">
        <f t="shared" si="2"/>
        <v>LeGarrette</v>
      </c>
      <c r="J629" s="1" t="str">
        <f t="shared" si="3"/>
        <v>Blount</v>
      </c>
      <c r="K629" s="1" t="str">
        <f t="shared" si="4"/>
        <v>#N/A</v>
      </c>
      <c r="L629" s="1" t="str">
        <f>IFERROR(VLOOKUP($K629,Players!$D:$E,2,FALSE),VLOOKUP($H629,Players!A:E,5,FALSE))</f>
        <v>RB</v>
      </c>
    </row>
    <row r="630" ht="15.75" customHeight="1">
      <c r="A630" s="1">
        <v>2018.0</v>
      </c>
      <c r="B630" s="1" t="s">
        <v>46</v>
      </c>
      <c r="C630" s="1" t="s">
        <v>13</v>
      </c>
      <c r="D630" s="8">
        <v>3.0</v>
      </c>
      <c r="E630" s="8" t="str">
        <f t="shared" si="1"/>
        <v>Playoff Team</v>
      </c>
      <c r="F630" s="8">
        <v>15.0</v>
      </c>
      <c r="G630" s="8">
        <v>172.0</v>
      </c>
      <c r="H630" s="1" t="s">
        <v>1354</v>
      </c>
      <c r="I630" s="1" t="str">
        <f t="shared" si="2"/>
        <v>Dallas</v>
      </c>
      <c r="J630" s="1" t="str">
        <f t="shared" si="3"/>
        <v>Goedert</v>
      </c>
      <c r="K630" s="1" t="str">
        <f t="shared" si="4"/>
        <v>#N/A</v>
      </c>
      <c r="L630" s="1" t="str">
        <f>IFERROR(VLOOKUP($K630,Players!$D:$E,2,FALSE),VLOOKUP($H630,Players!A:E,5,FALSE))</f>
        <v>#N/A</v>
      </c>
    </row>
    <row r="631" ht="15.75" customHeight="1">
      <c r="A631" s="1">
        <v>2018.0</v>
      </c>
      <c r="B631" s="1" t="s">
        <v>44</v>
      </c>
      <c r="C631" s="1" t="s">
        <v>23</v>
      </c>
      <c r="D631" s="8">
        <v>7.0</v>
      </c>
      <c r="E631" s="8" t="str">
        <f t="shared" si="1"/>
        <v>Non-Playoff Team</v>
      </c>
      <c r="F631" s="8">
        <v>1.0</v>
      </c>
      <c r="G631" s="8">
        <v>3.0</v>
      </c>
      <c r="H631" s="1" t="s">
        <v>123</v>
      </c>
      <c r="I631" s="1" t="str">
        <f t="shared" si="2"/>
        <v>Ezekiel</v>
      </c>
      <c r="J631" s="1" t="str">
        <f t="shared" si="3"/>
        <v>Elliott</v>
      </c>
      <c r="K631" s="1" t="str">
        <f t="shared" si="4"/>
        <v>#N/A</v>
      </c>
      <c r="L631" s="1" t="str">
        <f>IFERROR(VLOOKUP($K631,Players!$D:$E,2,FALSE),VLOOKUP($H631,Players!A:E,5,FALSE))</f>
        <v>RB</v>
      </c>
    </row>
    <row r="632" ht="15.75" customHeight="1">
      <c r="A632" s="1">
        <v>2018.0</v>
      </c>
      <c r="B632" s="1" t="s">
        <v>44</v>
      </c>
      <c r="C632" s="1" t="s">
        <v>23</v>
      </c>
      <c r="D632" s="8">
        <v>7.0</v>
      </c>
      <c r="E632" s="8" t="str">
        <f t="shared" si="1"/>
        <v>Non-Playoff Team</v>
      </c>
      <c r="F632" s="8">
        <v>2.0</v>
      </c>
      <c r="G632" s="8">
        <v>22.0</v>
      </c>
      <c r="H632" s="1" t="s">
        <v>339</v>
      </c>
      <c r="I632" s="1" t="str">
        <f t="shared" si="2"/>
        <v>Tyreek</v>
      </c>
      <c r="J632" s="1" t="str">
        <f t="shared" si="3"/>
        <v>Hill</v>
      </c>
      <c r="K632" s="1" t="str">
        <f t="shared" si="4"/>
        <v>#N/A</v>
      </c>
      <c r="L632" s="1" t="str">
        <f>IFERROR(VLOOKUP($K632,Players!$D:$E,2,FALSE),VLOOKUP($H632,Players!A:E,5,FALSE))</f>
        <v>WR</v>
      </c>
    </row>
    <row r="633" ht="15.75" customHeight="1">
      <c r="A633" s="1">
        <v>2018.0</v>
      </c>
      <c r="B633" s="1" t="s">
        <v>44</v>
      </c>
      <c r="C633" s="1" t="s">
        <v>23</v>
      </c>
      <c r="D633" s="8">
        <v>7.0</v>
      </c>
      <c r="E633" s="8" t="str">
        <f t="shared" si="1"/>
        <v>Non-Playoff Team</v>
      </c>
      <c r="F633" s="8">
        <v>3.0</v>
      </c>
      <c r="G633" s="8">
        <v>27.0</v>
      </c>
      <c r="H633" s="1" t="s">
        <v>263</v>
      </c>
      <c r="I633" s="1" t="str">
        <f t="shared" si="2"/>
        <v>Amari</v>
      </c>
      <c r="J633" s="1" t="str">
        <f t="shared" si="3"/>
        <v>Cooper</v>
      </c>
      <c r="K633" s="1" t="str">
        <f t="shared" si="4"/>
        <v>#N/A</v>
      </c>
      <c r="L633" s="1" t="str">
        <f>IFERROR(VLOOKUP($K633,Players!$D:$E,2,FALSE),VLOOKUP($H633,Players!A:E,5,FALSE))</f>
        <v>WR</v>
      </c>
    </row>
    <row r="634" ht="15.75" customHeight="1">
      <c r="A634" s="1">
        <v>2018.0</v>
      </c>
      <c r="B634" s="1" t="s">
        <v>44</v>
      </c>
      <c r="C634" s="1" t="s">
        <v>23</v>
      </c>
      <c r="D634" s="8">
        <v>7.0</v>
      </c>
      <c r="E634" s="8" t="str">
        <f t="shared" si="1"/>
        <v>Non-Playoff Team</v>
      </c>
      <c r="F634" s="8">
        <v>4.0</v>
      </c>
      <c r="G634" s="8">
        <v>46.0</v>
      </c>
      <c r="H634" s="1" t="s">
        <v>944</v>
      </c>
      <c r="I634" s="1" t="str">
        <f t="shared" si="2"/>
        <v>Golden</v>
      </c>
      <c r="J634" s="1" t="str">
        <f t="shared" si="3"/>
        <v>Tate</v>
      </c>
      <c r="K634" s="1" t="str">
        <f t="shared" si="4"/>
        <v>#N/A</v>
      </c>
      <c r="L634" s="1" t="str">
        <f>IFERROR(VLOOKUP($K634,Players!$D:$E,2,FALSE),VLOOKUP($H634,Players!A:E,5,FALSE))</f>
        <v>WR</v>
      </c>
    </row>
    <row r="635" ht="15.75" customHeight="1">
      <c r="A635" s="1">
        <v>2018.0</v>
      </c>
      <c r="B635" s="1" t="s">
        <v>44</v>
      </c>
      <c r="C635" s="1" t="s">
        <v>23</v>
      </c>
      <c r="D635" s="8">
        <v>7.0</v>
      </c>
      <c r="E635" s="8" t="str">
        <f t="shared" si="1"/>
        <v>Non-Playoff Team</v>
      </c>
      <c r="F635" s="8">
        <v>5.0</v>
      </c>
      <c r="G635" s="8">
        <v>51.0</v>
      </c>
      <c r="H635" s="1" t="s">
        <v>267</v>
      </c>
      <c r="I635" s="1" t="str">
        <f t="shared" si="2"/>
        <v>Tom</v>
      </c>
      <c r="J635" s="1" t="str">
        <f t="shared" si="3"/>
        <v>Brady</v>
      </c>
      <c r="K635" s="1" t="str">
        <f t="shared" si="4"/>
        <v>#N/A</v>
      </c>
      <c r="L635" s="1" t="str">
        <f>IFERROR(VLOOKUP($K635,Players!$D:$E,2,FALSE),VLOOKUP($H635,Players!A:E,5,FALSE))</f>
        <v>QB</v>
      </c>
    </row>
    <row r="636" ht="15.75" customHeight="1">
      <c r="A636" s="1">
        <v>2018.0</v>
      </c>
      <c r="B636" s="1" t="s">
        <v>44</v>
      </c>
      <c r="C636" s="1" t="s">
        <v>23</v>
      </c>
      <c r="D636" s="8">
        <v>7.0</v>
      </c>
      <c r="E636" s="8" t="str">
        <f t="shared" si="1"/>
        <v>Non-Playoff Team</v>
      </c>
      <c r="F636" s="8">
        <v>6.0</v>
      </c>
      <c r="G636" s="8">
        <v>70.0</v>
      </c>
      <c r="H636" s="1" t="s">
        <v>1007</v>
      </c>
      <c r="I636" s="1" t="str">
        <f t="shared" si="2"/>
        <v>Peyton</v>
      </c>
      <c r="J636" s="1" t="str">
        <f t="shared" si="3"/>
        <v>Barber</v>
      </c>
      <c r="K636" s="1" t="str">
        <f t="shared" si="4"/>
        <v>#N/A</v>
      </c>
      <c r="L636" s="1" t="str">
        <f>IFERROR(VLOOKUP($K636,Players!$D:$E,2,FALSE),VLOOKUP($H636,Players!A:E,5,FALSE))</f>
        <v>RB</v>
      </c>
    </row>
    <row r="637" ht="15.75" customHeight="1">
      <c r="A637" s="1">
        <v>2018.0</v>
      </c>
      <c r="B637" s="1" t="s">
        <v>44</v>
      </c>
      <c r="C637" s="1" t="s">
        <v>23</v>
      </c>
      <c r="D637" s="8">
        <v>7.0</v>
      </c>
      <c r="E637" s="8" t="str">
        <f t="shared" si="1"/>
        <v>Non-Playoff Team</v>
      </c>
      <c r="F637" s="8">
        <v>7.0</v>
      </c>
      <c r="G637" s="8">
        <v>75.0</v>
      </c>
      <c r="H637" s="1" t="s">
        <v>136</v>
      </c>
      <c r="I637" s="1" t="str">
        <f t="shared" si="2"/>
        <v>Nelson</v>
      </c>
      <c r="J637" s="1" t="str">
        <f t="shared" si="3"/>
        <v>Agholor</v>
      </c>
      <c r="K637" s="1" t="str">
        <f t="shared" si="4"/>
        <v>#N/A</v>
      </c>
      <c r="L637" s="1" t="str">
        <f>IFERROR(VLOOKUP($K637,Players!$D:$E,2,FALSE),VLOOKUP($H637,Players!A:E,5,FALSE))</f>
        <v>WR</v>
      </c>
    </row>
    <row r="638" ht="15.75" customHeight="1">
      <c r="A638" s="1">
        <v>2018.0</v>
      </c>
      <c r="B638" s="1" t="s">
        <v>44</v>
      </c>
      <c r="C638" s="1" t="s">
        <v>23</v>
      </c>
      <c r="D638" s="8">
        <v>7.0</v>
      </c>
      <c r="E638" s="8" t="str">
        <f t="shared" si="1"/>
        <v>Non-Playoff Team</v>
      </c>
      <c r="F638" s="8">
        <v>8.0</v>
      </c>
      <c r="G638" s="8">
        <v>94.0</v>
      </c>
      <c r="H638" s="1" t="s">
        <v>328</v>
      </c>
      <c r="I638" s="1" t="str">
        <f t="shared" si="2"/>
        <v>Sterling</v>
      </c>
      <c r="J638" s="1" t="str">
        <f t="shared" si="3"/>
        <v>Shepard</v>
      </c>
      <c r="K638" s="1" t="str">
        <f t="shared" si="4"/>
        <v>#N/A</v>
      </c>
      <c r="L638" s="1" t="str">
        <f>IFERROR(VLOOKUP($K638,Players!$D:$E,2,FALSE),VLOOKUP($H638,Players!A:E,5,FALSE))</f>
        <v>WR</v>
      </c>
    </row>
    <row r="639" ht="15.75" customHeight="1">
      <c r="A639" s="1">
        <v>2018.0</v>
      </c>
      <c r="B639" s="1" t="s">
        <v>44</v>
      </c>
      <c r="C639" s="1" t="s">
        <v>23</v>
      </c>
      <c r="D639" s="8">
        <v>7.0</v>
      </c>
      <c r="E639" s="8" t="str">
        <f t="shared" si="1"/>
        <v>Non-Playoff Team</v>
      </c>
      <c r="F639" s="8">
        <v>9.0</v>
      </c>
      <c r="G639" s="8">
        <v>99.0</v>
      </c>
      <c r="H639" s="1" t="s">
        <v>625</v>
      </c>
      <c r="I639" s="1" t="str">
        <f t="shared" si="2"/>
        <v>Marlon</v>
      </c>
      <c r="J639" s="1" t="str">
        <f t="shared" si="3"/>
        <v>Mack</v>
      </c>
      <c r="K639" s="1" t="str">
        <f t="shared" si="4"/>
        <v>#N/A</v>
      </c>
      <c r="L639" s="1" t="str">
        <f>IFERROR(VLOOKUP($K639,Players!$D:$E,2,FALSE),VLOOKUP($H639,Players!A:E,5,FALSE))</f>
        <v>RB</v>
      </c>
    </row>
    <row r="640" ht="15.75" customHeight="1">
      <c r="A640" s="1">
        <v>2018.0</v>
      </c>
      <c r="B640" s="1" t="s">
        <v>44</v>
      </c>
      <c r="C640" s="1" t="s">
        <v>23</v>
      </c>
      <c r="D640" s="8">
        <v>7.0</v>
      </c>
      <c r="E640" s="8" t="str">
        <f t="shared" si="1"/>
        <v>Non-Playoff Team</v>
      </c>
      <c r="F640" s="8">
        <v>10.0</v>
      </c>
      <c r="G640" s="8">
        <v>118.0</v>
      </c>
      <c r="H640" s="1" t="s">
        <v>1000</v>
      </c>
      <c r="I640" s="1" t="str">
        <f t="shared" si="2"/>
        <v>David</v>
      </c>
      <c r="J640" s="1" t="str">
        <f t="shared" si="3"/>
        <v>Njoku</v>
      </c>
      <c r="K640" s="1" t="str">
        <f t="shared" si="4"/>
        <v>#N/A</v>
      </c>
      <c r="L640" s="1" t="str">
        <f>IFERROR(VLOOKUP($K640,Players!$D:$E,2,FALSE),VLOOKUP($H640,Players!A:E,5,FALSE))</f>
        <v>TE</v>
      </c>
    </row>
    <row r="641" ht="15.75" customHeight="1">
      <c r="A641" s="1">
        <v>2018.0</v>
      </c>
      <c r="B641" s="1" t="s">
        <v>44</v>
      </c>
      <c r="C641" s="1" t="s">
        <v>23</v>
      </c>
      <c r="D641" s="8">
        <v>7.0</v>
      </c>
      <c r="E641" s="8" t="str">
        <f t="shared" si="1"/>
        <v>Non-Playoff Team</v>
      </c>
      <c r="F641" s="8">
        <v>11.0</v>
      </c>
      <c r="G641" s="8">
        <v>123.0</v>
      </c>
      <c r="H641" s="1" t="s">
        <v>87</v>
      </c>
      <c r="I641" s="1" t="str">
        <f t="shared" si="2"/>
        <v>#VALUE!</v>
      </c>
      <c r="J641" s="1" t="str">
        <f t="shared" si="3"/>
        <v>#VALUE!</v>
      </c>
      <c r="K641" s="1" t="str">
        <f t="shared" si="4"/>
        <v>#N/A</v>
      </c>
      <c r="L641" s="1" t="str">
        <f>IFERROR(VLOOKUP($K641,Players!$D:$E,2,FALSE),VLOOKUP($H641,Players!A:E,5,FALSE))</f>
        <v>DEF</v>
      </c>
    </row>
    <row r="642" ht="15.75" customHeight="1">
      <c r="A642" s="1">
        <v>2018.0</v>
      </c>
      <c r="B642" s="1" t="s">
        <v>44</v>
      </c>
      <c r="C642" s="1" t="s">
        <v>23</v>
      </c>
      <c r="D642" s="8">
        <v>7.0</v>
      </c>
      <c r="E642" s="8" t="str">
        <f t="shared" si="1"/>
        <v>Non-Playoff Team</v>
      </c>
      <c r="F642" s="8">
        <v>12.0</v>
      </c>
      <c r="G642" s="8">
        <v>142.0</v>
      </c>
      <c r="H642" s="1" t="s">
        <v>494</v>
      </c>
      <c r="I642" s="1" t="str">
        <f t="shared" si="2"/>
        <v>Matt</v>
      </c>
      <c r="J642" s="1" t="str">
        <f t="shared" si="3"/>
        <v>Breida</v>
      </c>
      <c r="K642" s="1" t="str">
        <f t="shared" si="4"/>
        <v>#N/A</v>
      </c>
      <c r="L642" s="1" t="str">
        <f>IFERROR(VLOOKUP($K642,Players!$D:$E,2,FALSE),VLOOKUP($H642,Players!A:E,5,FALSE))</f>
        <v>RB</v>
      </c>
    </row>
    <row r="643" ht="15.75" customHeight="1">
      <c r="A643" s="1">
        <v>2018.0</v>
      </c>
      <c r="B643" s="1" t="s">
        <v>44</v>
      </c>
      <c r="C643" s="1" t="s">
        <v>23</v>
      </c>
      <c r="D643" s="8">
        <v>7.0</v>
      </c>
      <c r="E643" s="8" t="str">
        <f t="shared" si="1"/>
        <v>Non-Playoff Team</v>
      </c>
      <c r="F643" s="8">
        <v>13.0</v>
      </c>
      <c r="G643" s="8">
        <v>147.0</v>
      </c>
      <c r="H643" s="1" t="s">
        <v>1183</v>
      </c>
      <c r="I643" s="1" t="str">
        <f t="shared" si="2"/>
        <v>Dez</v>
      </c>
      <c r="J643" s="1" t="str">
        <f t="shared" si="3"/>
        <v>Bryant</v>
      </c>
      <c r="K643" s="1" t="str">
        <f t="shared" si="4"/>
        <v>#N/A</v>
      </c>
      <c r="L643" s="1" t="str">
        <f>IFERROR(VLOOKUP($K643,Players!$D:$E,2,FALSE),VLOOKUP($H643,Players!A:E,5,FALSE))</f>
        <v>WR</v>
      </c>
    </row>
    <row r="644" ht="15.75" customHeight="1">
      <c r="A644" s="1">
        <v>2018.0</v>
      </c>
      <c r="B644" s="1" t="s">
        <v>44</v>
      </c>
      <c r="C644" s="1" t="s">
        <v>23</v>
      </c>
      <c r="D644" s="8">
        <v>7.0</v>
      </c>
      <c r="E644" s="8" t="str">
        <f t="shared" si="1"/>
        <v>Non-Playoff Team</v>
      </c>
      <c r="F644" s="8">
        <v>14.0</v>
      </c>
      <c r="G644" s="8">
        <v>166.0</v>
      </c>
      <c r="H644" s="1" t="s">
        <v>110</v>
      </c>
      <c r="I644" s="1" t="str">
        <f t="shared" si="2"/>
        <v>Patrick</v>
      </c>
      <c r="J644" s="1" t="str">
        <f t="shared" si="3"/>
        <v>Mahomes</v>
      </c>
      <c r="K644" s="1" t="str">
        <f t="shared" si="4"/>
        <v>#N/A</v>
      </c>
      <c r="L644" s="1" t="str">
        <f>IFERROR(VLOOKUP($K644,Players!$D:$E,2,FALSE),VLOOKUP($H644,Players!A:E,5,FALSE))</f>
        <v>QB</v>
      </c>
    </row>
    <row r="645" ht="15.75" customHeight="1">
      <c r="A645" s="1">
        <v>2018.0</v>
      </c>
      <c r="B645" s="1" t="s">
        <v>44</v>
      </c>
      <c r="C645" s="1" t="s">
        <v>23</v>
      </c>
      <c r="D645" s="8">
        <v>7.0</v>
      </c>
      <c r="E645" s="8" t="str">
        <f t="shared" si="1"/>
        <v>Non-Playoff Team</v>
      </c>
      <c r="F645" s="8">
        <v>15.0</v>
      </c>
      <c r="G645" s="8">
        <v>171.0</v>
      </c>
      <c r="H645" s="1" t="s">
        <v>323</v>
      </c>
      <c r="I645" s="1" t="str">
        <f t="shared" si="2"/>
        <v>Harrison</v>
      </c>
      <c r="J645" s="1" t="str">
        <f t="shared" si="3"/>
        <v>Butker</v>
      </c>
      <c r="K645" s="1" t="str">
        <f t="shared" si="4"/>
        <v>#N/A</v>
      </c>
      <c r="L645" s="1" t="str">
        <f>IFERROR(VLOOKUP($K645,Players!$D:$E,2,FALSE),VLOOKUP($H645,Players!A:E,5,FALSE))</f>
        <v>K</v>
      </c>
    </row>
    <row r="646" ht="15.75" customHeight="1">
      <c r="A646" s="1">
        <v>2018.0</v>
      </c>
      <c r="B646" s="1" t="s">
        <v>50</v>
      </c>
      <c r="C646" s="1" t="s">
        <v>8</v>
      </c>
      <c r="D646" s="8">
        <v>5.0</v>
      </c>
      <c r="E646" s="8" t="str">
        <f t="shared" si="1"/>
        <v>Playoff Team</v>
      </c>
      <c r="F646" s="8">
        <v>1.0</v>
      </c>
      <c r="G646" s="8">
        <v>6.0</v>
      </c>
      <c r="H646" s="1" t="s">
        <v>108</v>
      </c>
      <c r="I646" s="1" t="str">
        <f t="shared" si="2"/>
        <v>Alvin</v>
      </c>
      <c r="J646" s="1" t="str">
        <f t="shared" si="3"/>
        <v>Kamara</v>
      </c>
      <c r="K646" s="1" t="str">
        <f t="shared" si="4"/>
        <v>#N/A</v>
      </c>
      <c r="L646" s="1" t="str">
        <f>IFERROR(VLOOKUP($K646,Players!$D:$E,2,FALSE),VLOOKUP($H646,Players!A:E,5,FALSE))</f>
        <v>RB</v>
      </c>
    </row>
    <row r="647" ht="15.75" customHeight="1">
      <c r="A647" s="1">
        <v>2018.0</v>
      </c>
      <c r="B647" s="1" t="s">
        <v>50</v>
      </c>
      <c r="C647" s="1" t="s">
        <v>8</v>
      </c>
      <c r="D647" s="8">
        <v>5.0</v>
      </c>
      <c r="E647" s="8" t="str">
        <f t="shared" si="1"/>
        <v>Playoff Team</v>
      </c>
      <c r="F647" s="8">
        <v>2.0</v>
      </c>
      <c r="G647" s="8">
        <v>19.0</v>
      </c>
      <c r="H647" s="1" t="s">
        <v>152</v>
      </c>
      <c r="I647" s="1" t="str">
        <f t="shared" si="2"/>
        <v>AJ</v>
      </c>
      <c r="J647" s="1" t="str">
        <f t="shared" si="3"/>
        <v>Green</v>
      </c>
      <c r="K647" s="1" t="str">
        <f t="shared" si="4"/>
        <v>#N/A</v>
      </c>
      <c r="L647" s="1" t="str">
        <f>IFERROR(VLOOKUP($K647,Players!$D:$E,2,FALSE),VLOOKUP($H647,Players!A:E,5,FALSE))</f>
        <v>WR</v>
      </c>
    </row>
    <row r="648" ht="15.75" customHeight="1">
      <c r="A648" s="1">
        <v>2018.0</v>
      </c>
      <c r="B648" s="1" t="s">
        <v>50</v>
      </c>
      <c r="C648" s="1" t="s">
        <v>8</v>
      </c>
      <c r="D648" s="8">
        <v>5.0</v>
      </c>
      <c r="E648" s="8" t="str">
        <f t="shared" si="1"/>
        <v>Playoff Team</v>
      </c>
      <c r="F648" s="8">
        <v>3.0</v>
      </c>
      <c r="G648" s="8">
        <v>30.0</v>
      </c>
      <c r="H648" s="1" t="s">
        <v>139</v>
      </c>
      <c r="I648" s="1" t="str">
        <f t="shared" si="2"/>
        <v>Travis</v>
      </c>
      <c r="J648" s="1" t="str">
        <f t="shared" si="3"/>
        <v>Kelce</v>
      </c>
      <c r="K648" s="1" t="str">
        <f t="shared" si="4"/>
        <v>#N/A</v>
      </c>
      <c r="L648" s="1" t="str">
        <f>IFERROR(VLOOKUP($K648,Players!$D:$E,2,FALSE),VLOOKUP($H648,Players!A:E,5,FALSE))</f>
        <v>TE</v>
      </c>
    </row>
    <row r="649" ht="15.75" customHeight="1">
      <c r="A649" s="1">
        <v>2018.0</v>
      </c>
      <c r="B649" s="1" t="s">
        <v>50</v>
      </c>
      <c r="C649" s="1" t="s">
        <v>8</v>
      </c>
      <c r="D649" s="8">
        <v>5.0</v>
      </c>
      <c r="E649" s="8" t="str">
        <f t="shared" si="1"/>
        <v>Playoff Team</v>
      </c>
      <c r="F649" s="8">
        <v>4.0</v>
      </c>
      <c r="G649" s="8">
        <v>43.0</v>
      </c>
      <c r="H649" s="1" t="s">
        <v>1096</v>
      </c>
      <c r="I649" s="1" t="str">
        <f t="shared" si="2"/>
        <v>Demaryius</v>
      </c>
      <c r="J649" s="1" t="str">
        <f t="shared" si="3"/>
        <v>Thomas</v>
      </c>
      <c r="K649" s="1" t="str">
        <f t="shared" si="4"/>
        <v>#N/A</v>
      </c>
      <c r="L649" s="1" t="str">
        <f>IFERROR(VLOOKUP($K649,Players!$D:$E,2,FALSE),VLOOKUP($H649,Players!A:E,5,FALSE))</f>
        <v>WR</v>
      </c>
    </row>
    <row r="650" ht="15.75" customHeight="1">
      <c r="A650" s="1">
        <v>2018.0</v>
      </c>
      <c r="B650" s="1" t="s">
        <v>50</v>
      </c>
      <c r="C650" s="1" t="s">
        <v>8</v>
      </c>
      <c r="D650" s="8">
        <v>5.0</v>
      </c>
      <c r="E650" s="8" t="str">
        <f t="shared" si="1"/>
        <v>Playoff Team</v>
      </c>
      <c r="F650" s="8">
        <v>5.0</v>
      </c>
      <c r="G650" s="8">
        <v>54.0</v>
      </c>
      <c r="H650" s="1" t="s">
        <v>1387</v>
      </c>
      <c r="I650" s="1" t="str">
        <f t="shared" si="2"/>
        <v>Jay</v>
      </c>
      <c r="J650" s="1" t="str">
        <f t="shared" si="3"/>
        <v>Ajayi</v>
      </c>
      <c r="K650" s="1" t="str">
        <f t="shared" si="4"/>
        <v>#N/A</v>
      </c>
      <c r="L650" s="1" t="str">
        <f>IFERROR(VLOOKUP($K650,Players!$D:$E,2,FALSE),VLOOKUP($H650,Players!A:E,5,FALSE))</f>
        <v>RB</v>
      </c>
    </row>
    <row r="651" ht="15.75" customHeight="1">
      <c r="A651" s="1">
        <v>2018.0</v>
      </c>
      <c r="B651" s="1" t="s">
        <v>50</v>
      </c>
      <c r="C651" s="1" t="s">
        <v>8</v>
      </c>
      <c r="D651" s="8">
        <v>5.0</v>
      </c>
      <c r="E651" s="8" t="str">
        <f t="shared" si="1"/>
        <v>Playoff Team</v>
      </c>
      <c r="F651" s="8">
        <v>6.0</v>
      </c>
      <c r="G651" s="8">
        <v>67.0</v>
      </c>
      <c r="H651" s="1" t="s">
        <v>1390</v>
      </c>
      <c r="I651" s="1" t="str">
        <f t="shared" si="2"/>
        <v>Michael</v>
      </c>
      <c r="J651" s="1" t="str">
        <f t="shared" si="3"/>
        <v>Crabtree</v>
      </c>
      <c r="K651" s="1" t="str">
        <f t="shared" si="4"/>
        <v>#N/A</v>
      </c>
      <c r="L651" s="1" t="str">
        <f>IFERROR(VLOOKUP($K651,Players!$D:$E,2,FALSE),VLOOKUP($H651,Players!A:E,5,FALSE))</f>
        <v>WR</v>
      </c>
    </row>
    <row r="652" ht="15.75" customHeight="1">
      <c r="A652" s="1">
        <v>2018.0</v>
      </c>
      <c r="B652" s="1" t="s">
        <v>50</v>
      </c>
      <c r="C652" s="1" t="s">
        <v>8</v>
      </c>
      <c r="D652" s="8">
        <v>5.0</v>
      </c>
      <c r="E652" s="8" t="str">
        <f t="shared" si="1"/>
        <v>Playoff Team</v>
      </c>
      <c r="F652" s="8">
        <v>7.0</v>
      </c>
      <c r="G652" s="8">
        <v>78.0</v>
      </c>
      <c r="H652" s="1" t="s">
        <v>347</v>
      </c>
      <c r="I652" s="1" t="str">
        <f t="shared" si="2"/>
        <v>Chris</v>
      </c>
      <c r="J652" s="1" t="str">
        <f t="shared" si="3"/>
        <v>Carson</v>
      </c>
      <c r="K652" s="1" t="str">
        <f t="shared" si="4"/>
        <v>#N/A</v>
      </c>
      <c r="L652" s="1" t="str">
        <f>IFERROR(VLOOKUP($K652,Players!$D:$E,2,FALSE),VLOOKUP($H652,Players!A:E,5,FALSE))</f>
        <v>RB</v>
      </c>
    </row>
    <row r="653" ht="15.75" customHeight="1">
      <c r="A653" s="1">
        <v>2018.0</v>
      </c>
      <c r="B653" s="1" t="s">
        <v>50</v>
      </c>
      <c r="C653" s="1" t="s">
        <v>8</v>
      </c>
      <c r="D653" s="8">
        <v>5.0</v>
      </c>
      <c r="E653" s="8" t="str">
        <f t="shared" si="1"/>
        <v>Playoff Team</v>
      </c>
      <c r="F653" s="8">
        <v>8.0</v>
      </c>
      <c r="G653" s="8">
        <v>91.0</v>
      </c>
      <c r="H653" s="1" t="s">
        <v>862</v>
      </c>
      <c r="I653" s="1" t="str">
        <f t="shared" si="2"/>
        <v>Philip</v>
      </c>
      <c r="J653" s="1" t="str">
        <f t="shared" si="3"/>
        <v>Rivers</v>
      </c>
      <c r="K653" s="1" t="str">
        <f t="shared" si="4"/>
        <v>#N/A</v>
      </c>
      <c r="L653" s="1" t="str">
        <f>IFERROR(VLOOKUP($K653,Players!$D:$E,2,FALSE),VLOOKUP($H653,Players!A:E,5,FALSE))</f>
        <v>QB</v>
      </c>
    </row>
    <row r="654" ht="15.75" customHeight="1">
      <c r="A654" s="1">
        <v>2018.0</v>
      </c>
      <c r="B654" s="1" t="s">
        <v>50</v>
      </c>
      <c r="C654" s="1" t="s">
        <v>8</v>
      </c>
      <c r="D654" s="8">
        <v>5.0</v>
      </c>
      <c r="E654" s="8" t="str">
        <f t="shared" si="1"/>
        <v>Playoff Team</v>
      </c>
      <c r="F654" s="8">
        <v>9.0</v>
      </c>
      <c r="G654" s="8">
        <v>102.0</v>
      </c>
      <c r="H654" s="1" t="s">
        <v>99</v>
      </c>
      <c r="I654" s="1" t="str">
        <f t="shared" si="2"/>
        <v>Robbie</v>
      </c>
      <c r="J654" s="1" t="str">
        <f t="shared" si="3"/>
        <v>Anderson</v>
      </c>
      <c r="K654" s="1" t="str">
        <f t="shared" si="4"/>
        <v>#N/A</v>
      </c>
      <c r="L654" s="1" t="str">
        <f>IFERROR(VLOOKUP($K654,Players!$D:$E,2,FALSE),VLOOKUP($H654,Players!A:E,5,FALSE))</f>
        <v>WR</v>
      </c>
    </row>
    <row r="655" ht="15.75" customHeight="1">
      <c r="A655" s="1">
        <v>2018.0</v>
      </c>
      <c r="B655" s="1" t="s">
        <v>50</v>
      </c>
      <c r="C655" s="1" t="s">
        <v>8</v>
      </c>
      <c r="D655" s="8">
        <v>5.0</v>
      </c>
      <c r="E655" s="8" t="str">
        <f t="shared" si="1"/>
        <v>Playoff Team</v>
      </c>
      <c r="F655" s="8">
        <v>10.0</v>
      </c>
      <c r="G655" s="8">
        <v>115.0</v>
      </c>
      <c r="H655" s="1" t="s">
        <v>1396</v>
      </c>
      <c r="I655" s="1" t="str">
        <f t="shared" si="2"/>
        <v>Jordan</v>
      </c>
      <c r="J655" s="1" t="str">
        <f t="shared" si="3"/>
        <v>Wilkins</v>
      </c>
      <c r="K655" s="1" t="str">
        <f t="shared" si="4"/>
        <v>#N/A</v>
      </c>
      <c r="L655" s="1" t="str">
        <f>IFERROR(VLOOKUP($K655,Players!$D:$E,2,FALSE),VLOOKUP($H655,Players!A:E,5,FALSE))</f>
        <v>RB</v>
      </c>
    </row>
    <row r="656" ht="15.75" customHeight="1">
      <c r="A656" s="1">
        <v>2018.0</v>
      </c>
      <c r="B656" s="1" t="s">
        <v>50</v>
      </c>
      <c r="C656" s="1" t="s">
        <v>8</v>
      </c>
      <c r="D656" s="8">
        <v>5.0</v>
      </c>
      <c r="E656" s="8" t="str">
        <f t="shared" si="1"/>
        <v>Playoff Team</v>
      </c>
      <c r="F656" s="8">
        <v>11.0</v>
      </c>
      <c r="G656" s="8">
        <v>126.0</v>
      </c>
      <c r="H656" s="1" t="s">
        <v>1131</v>
      </c>
      <c r="I656" s="1" t="str">
        <f t="shared" si="2"/>
        <v>Kenny</v>
      </c>
      <c r="J656" s="1" t="str">
        <f t="shared" si="3"/>
        <v>Stills</v>
      </c>
      <c r="K656" s="1" t="str">
        <f t="shared" si="4"/>
        <v>#N/A</v>
      </c>
      <c r="L656" s="1" t="str">
        <f>IFERROR(VLOOKUP($K656,Players!$D:$E,2,FALSE),VLOOKUP($H656,Players!A:E,5,FALSE))</f>
        <v>WR</v>
      </c>
    </row>
    <row r="657" ht="15.75" customHeight="1">
      <c r="A657" s="1">
        <v>2018.0</v>
      </c>
      <c r="B657" s="1" t="s">
        <v>50</v>
      </c>
      <c r="C657" s="1" t="s">
        <v>8</v>
      </c>
      <c r="D657" s="8">
        <v>5.0</v>
      </c>
      <c r="E657" s="8" t="str">
        <f t="shared" si="1"/>
        <v>Playoff Team</v>
      </c>
      <c r="F657" s="8">
        <v>12.0</v>
      </c>
      <c r="G657" s="8">
        <v>139.0</v>
      </c>
      <c r="H657" s="1" t="s">
        <v>170</v>
      </c>
      <c r="I657" s="1" t="str">
        <f t="shared" si="2"/>
        <v>Calvin</v>
      </c>
      <c r="J657" s="1" t="str">
        <f t="shared" si="3"/>
        <v>Ridley</v>
      </c>
      <c r="K657" s="1" t="str">
        <f t="shared" si="4"/>
        <v>#N/A</v>
      </c>
      <c r="L657" s="1" t="str">
        <f>IFERROR(VLOOKUP($K657,Players!$D:$E,2,FALSE),VLOOKUP($H657,Players!A:E,5,FALSE))</f>
        <v>WR</v>
      </c>
    </row>
    <row r="658" ht="15.75" customHeight="1">
      <c r="A658" s="1">
        <v>2018.0</v>
      </c>
      <c r="B658" s="1" t="s">
        <v>50</v>
      </c>
      <c r="C658" s="1" t="s">
        <v>8</v>
      </c>
      <c r="D658" s="8">
        <v>5.0</v>
      </c>
      <c r="E658" s="8" t="str">
        <f t="shared" si="1"/>
        <v>Playoff Team</v>
      </c>
      <c r="F658" s="8">
        <v>13.0</v>
      </c>
      <c r="G658" s="8">
        <v>150.0</v>
      </c>
      <c r="H658" s="1" t="s">
        <v>105</v>
      </c>
      <c r="I658" s="1" t="str">
        <f t="shared" si="2"/>
        <v>#VALUE!</v>
      </c>
      <c r="J658" s="1" t="str">
        <f t="shared" si="3"/>
        <v>#VALUE!</v>
      </c>
      <c r="K658" s="1" t="str">
        <f t="shared" si="4"/>
        <v>#N/A</v>
      </c>
      <c r="L658" s="1" t="str">
        <f>IFERROR(VLOOKUP($K658,Players!$D:$E,2,FALSE),VLOOKUP($H658,Players!A:E,5,FALSE))</f>
        <v>DEF</v>
      </c>
    </row>
    <row r="659" ht="15.75" customHeight="1">
      <c r="A659" s="1">
        <v>2018.0</v>
      </c>
      <c r="B659" s="1" t="s">
        <v>50</v>
      </c>
      <c r="C659" s="1" t="s">
        <v>8</v>
      </c>
      <c r="D659" s="8">
        <v>5.0</v>
      </c>
      <c r="E659" s="8" t="str">
        <f t="shared" si="1"/>
        <v>Playoff Team</v>
      </c>
      <c r="F659" s="8">
        <v>14.0</v>
      </c>
      <c r="G659" s="8">
        <v>163.0</v>
      </c>
      <c r="H659" s="1" t="s">
        <v>1403</v>
      </c>
      <c r="I659" s="1" t="str">
        <f t="shared" si="2"/>
        <v>Mason</v>
      </c>
      <c r="J659" s="1" t="str">
        <f t="shared" si="3"/>
        <v>Crosby</v>
      </c>
      <c r="K659" s="1" t="str">
        <f t="shared" si="4"/>
        <v>#N/A</v>
      </c>
      <c r="L659" s="1" t="str">
        <f>IFERROR(VLOOKUP($K659,Players!$D:$E,2,FALSE),VLOOKUP($H659,Players!A:E,5,FALSE))</f>
        <v>K</v>
      </c>
    </row>
    <row r="660" ht="15.75" customHeight="1">
      <c r="A660" s="1">
        <v>2018.0</v>
      </c>
      <c r="B660" s="1" t="s">
        <v>50</v>
      </c>
      <c r="C660" s="1" t="s">
        <v>8</v>
      </c>
      <c r="D660" s="8">
        <v>5.0</v>
      </c>
      <c r="E660" s="8" t="str">
        <f t="shared" si="1"/>
        <v>Playoff Team</v>
      </c>
      <c r="F660" s="8">
        <v>15.0</v>
      </c>
      <c r="G660" s="8">
        <v>174.0</v>
      </c>
      <c r="H660" s="1" t="s">
        <v>1316</v>
      </c>
      <c r="I660" s="1" t="str">
        <f t="shared" si="2"/>
        <v>Eric</v>
      </c>
      <c r="J660" s="1" t="str">
        <f t="shared" si="3"/>
        <v>Ebron</v>
      </c>
      <c r="K660" s="1" t="str">
        <f t="shared" si="4"/>
        <v>#N/A</v>
      </c>
      <c r="L660" s="1" t="str">
        <f>IFERROR(VLOOKUP($K660,Players!$D:$E,2,FALSE),VLOOKUP($H660,Players!A:E,5,FALSE))</f>
        <v>TE</v>
      </c>
    </row>
    <row r="661" ht="15.75" customHeight="1">
      <c r="A661" s="1">
        <v>2018.0</v>
      </c>
      <c r="B661" s="1" t="s">
        <v>16</v>
      </c>
      <c r="C661" s="1" t="s">
        <v>15</v>
      </c>
      <c r="D661" s="8">
        <v>12.0</v>
      </c>
      <c r="E661" s="8" t="str">
        <f t="shared" si="1"/>
        <v>Non-Playoff Team</v>
      </c>
      <c r="F661" s="8">
        <v>1.0</v>
      </c>
      <c r="G661" s="8">
        <v>9.0</v>
      </c>
      <c r="H661" s="1" t="s">
        <v>113</v>
      </c>
      <c r="I661" s="1" t="str">
        <f t="shared" si="2"/>
        <v>Kareem</v>
      </c>
      <c r="J661" s="1" t="str">
        <f t="shared" si="3"/>
        <v>Hunt</v>
      </c>
      <c r="K661" s="1" t="str">
        <f t="shared" si="4"/>
        <v>#N/A</v>
      </c>
      <c r="L661" s="1" t="str">
        <f>IFERROR(VLOOKUP($K661,Players!$D:$E,2,FALSE),VLOOKUP($H661,Players!A:E,5,FALSE))</f>
        <v>RB</v>
      </c>
    </row>
    <row r="662" ht="15.75" customHeight="1">
      <c r="A662" s="1">
        <v>2018.0</v>
      </c>
      <c r="B662" s="1" t="s">
        <v>16</v>
      </c>
      <c r="C662" s="1" t="s">
        <v>15</v>
      </c>
      <c r="D662" s="8">
        <v>12.0</v>
      </c>
      <c r="E662" s="8" t="str">
        <f t="shared" si="1"/>
        <v>Non-Playoff Team</v>
      </c>
      <c r="F662" s="8">
        <v>2.0</v>
      </c>
      <c r="G662" s="8">
        <v>16.0</v>
      </c>
      <c r="H662" s="1" t="s">
        <v>93</v>
      </c>
      <c r="I662" s="1" t="str">
        <f t="shared" si="2"/>
        <v>Dalvin</v>
      </c>
      <c r="J662" s="1" t="str">
        <f t="shared" si="3"/>
        <v>Cook</v>
      </c>
      <c r="K662" s="1" t="str">
        <f t="shared" si="4"/>
        <v>#N/A</v>
      </c>
      <c r="L662" s="1" t="str">
        <f>IFERROR(VLOOKUP($K662,Players!$D:$E,2,FALSE),VLOOKUP($H662,Players!A:E,5,FALSE))</f>
        <v>RB</v>
      </c>
    </row>
    <row r="663" ht="15.75" customHeight="1">
      <c r="A663" s="1">
        <v>2018.0</v>
      </c>
      <c r="B663" s="1" t="s">
        <v>16</v>
      </c>
      <c r="C663" s="1" t="s">
        <v>15</v>
      </c>
      <c r="D663" s="8">
        <v>12.0</v>
      </c>
      <c r="E663" s="8" t="str">
        <f t="shared" si="1"/>
        <v>Non-Playoff Team</v>
      </c>
      <c r="F663" s="8">
        <v>3.0</v>
      </c>
      <c r="G663" s="8">
        <v>33.0</v>
      </c>
      <c r="H663" s="1" t="s">
        <v>790</v>
      </c>
      <c r="I663" s="1" t="str">
        <f t="shared" si="2"/>
        <v>Chris</v>
      </c>
      <c r="J663" s="1" t="str">
        <f t="shared" si="3"/>
        <v>Hogan</v>
      </c>
      <c r="K663" s="1" t="str">
        <f t="shared" si="4"/>
        <v>#N/A</v>
      </c>
      <c r="L663" s="1" t="str">
        <f>IFERROR(VLOOKUP($K663,Players!$D:$E,2,FALSE),VLOOKUP($H663,Players!A:E,5,FALSE))</f>
        <v>WR</v>
      </c>
    </row>
    <row r="664" ht="15.75" customHeight="1">
      <c r="A664" s="1">
        <v>2018.0</v>
      </c>
      <c r="B664" s="1" t="s">
        <v>16</v>
      </c>
      <c r="C664" s="1" t="s">
        <v>15</v>
      </c>
      <c r="D664" s="8">
        <v>12.0</v>
      </c>
      <c r="E664" s="8" t="str">
        <f t="shared" si="1"/>
        <v>Non-Playoff Team</v>
      </c>
      <c r="F664" s="8">
        <v>4.0</v>
      </c>
      <c r="G664" s="8">
        <v>40.0</v>
      </c>
      <c r="H664" s="1" t="s">
        <v>730</v>
      </c>
      <c r="I664" s="1" t="str">
        <f t="shared" si="2"/>
        <v>Deshaun</v>
      </c>
      <c r="J664" s="1" t="str">
        <f t="shared" si="3"/>
        <v>Watson</v>
      </c>
      <c r="K664" s="1" t="str">
        <f t="shared" si="4"/>
        <v>#N/A</v>
      </c>
      <c r="L664" s="1" t="str">
        <f>IFERROR(VLOOKUP($K664,Players!$D:$E,2,FALSE),VLOOKUP($H664,Players!A:E,5,FALSE))</f>
        <v>QB</v>
      </c>
    </row>
    <row r="665" ht="15.75" customHeight="1">
      <c r="A665" s="1">
        <v>2018.0</v>
      </c>
      <c r="B665" s="1" t="s">
        <v>16</v>
      </c>
      <c r="C665" s="1" t="s">
        <v>15</v>
      </c>
      <c r="D665" s="8">
        <v>12.0</v>
      </c>
      <c r="E665" s="8" t="str">
        <f t="shared" si="1"/>
        <v>Non-Playoff Team</v>
      </c>
      <c r="F665" s="8">
        <v>5.0</v>
      </c>
      <c r="G665" s="8">
        <v>57.0</v>
      </c>
      <c r="H665" s="1" t="s">
        <v>203</v>
      </c>
      <c r="I665" s="1" t="str">
        <f t="shared" si="2"/>
        <v>Evan</v>
      </c>
      <c r="J665" s="1" t="str">
        <f t="shared" si="3"/>
        <v>Engram</v>
      </c>
      <c r="K665" s="1" t="str">
        <f t="shared" si="4"/>
        <v>#N/A</v>
      </c>
      <c r="L665" s="1" t="str">
        <f>IFERROR(VLOOKUP($K665,Players!$D:$E,2,FALSE),VLOOKUP($H665,Players!A:E,5,FALSE))</f>
        <v>TE</v>
      </c>
    </row>
    <row r="666" ht="15.75" customHeight="1">
      <c r="A666" s="1">
        <v>2018.0</v>
      </c>
      <c r="B666" s="1" t="s">
        <v>16</v>
      </c>
      <c r="C666" s="1" t="s">
        <v>15</v>
      </c>
      <c r="D666" s="8">
        <v>12.0</v>
      </c>
      <c r="E666" s="8" t="str">
        <f t="shared" si="1"/>
        <v>Non-Playoff Team</v>
      </c>
      <c r="F666" s="8">
        <v>6.0</v>
      </c>
      <c r="G666" s="8">
        <v>64.0</v>
      </c>
      <c r="H666" s="1" t="s">
        <v>430</v>
      </c>
      <c r="I666" s="1" t="str">
        <f t="shared" si="2"/>
        <v>Cooper</v>
      </c>
      <c r="J666" s="1" t="str">
        <f t="shared" si="3"/>
        <v>Kupp</v>
      </c>
      <c r="K666" s="1" t="str">
        <f t="shared" si="4"/>
        <v>#N/A</v>
      </c>
      <c r="L666" s="1" t="str">
        <f>IFERROR(VLOOKUP($K666,Players!$D:$E,2,FALSE),VLOOKUP($H666,Players!A:E,5,FALSE))</f>
        <v>WR</v>
      </c>
    </row>
    <row r="667" ht="15.75" customHeight="1">
      <c r="A667" s="1">
        <v>2018.0</v>
      </c>
      <c r="B667" s="1" t="s">
        <v>16</v>
      </c>
      <c r="C667" s="1" t="s">
        <v>15</v>
      </c>
      <c r="D667" s="8">
        <v>12.0</v>
      </c>
      <c r="E667" s="8" t="str">
        <f t="shared" si="1"/>
        <v>Non-Playoff Team</v>
      </c>
      <c r="F667" s="8">
        <v>7.0</v>
      </c>
      <c r="G667" s="8">
        <v>81.0</v>
      </c>
      <c r="H667" s="1" t="s">
        <v>318</v>
      </c>
      <c r="I667" s="1" t="str">
        <f t="shared" si="2"/>
        <v>Will</v>
      </c>
      <c r="J667" s="1" t="str">
        <f t="shared" si="3"/>
        <v>Fuller V</v>
      </c>
      <c r="K667" s="1" t="str">
        <f t="shared" si="4"/>
        <v>#N/A</v>
      </c>
      <c r="L667" s="1" t="str">
        <f>IFERROR(VLOOKUP($K667,Players!$D:$E,2,FALSE),VLOOKUP($H667,Players!A:E,5,FALSE))</f>
        <v>#N/A</v>
      </c>
    </row>
    <row r="668" ht="15.75" customHeight="1">
      <c r="A668" s="1">
        <v>2018.0</v>
      </c>
      <c r="B668" s="1" t="s">
        <v>16</v>
      </c>
      <c r="C668" s="1" t="s">
        <v>15</v>
      </c>
      <c r="D668" s="8">
        <v>12.0</v>
      </c>
      <c r="E668" s="8" t="str">
        <f t="shared" si="1"/>
        <v>Non-Playoff Team</v>
      </c>
      <c r="F668" s="8">
        <v>8.0</v>
      </c>
      <c r="G668" s="8">
        <v>88.0</v>
      </c>
      <c r="H668" s="1" t="s">
        <v>146</v>
      </c>
      <c r="I668" s="1" t="str">
        <f t="shared" si="2"/>
        <v>Sony</v>
      </c>
      <c r="J668" s="1" t="str">
        <f t="shared" si="3"/>
        <v>Michel</v>
      </c>
      <c r="K668" s="1" t="str">
        <f t="shared" si="4"/>
        <v>#N/A</v>
      </c>
      <c r="L668" s="1" t="str">
        <f>IFERROR(VLOOKUP($K668,Players!$D:$E,2,FALSE),VLOOKUP($H668,Players!A:E,5,FALSE))</f>
        <v>RB</v>
      </c>
    </row>
    <row r="669" ht="15.75" customHeight="1">
      <c r="A669" s="1">
        <v>2018.0</v>
      </c>
      <c r="B669" s="1" t="s">
        <v>16</v>
      </c>
      <c r="C669" s="1" t="s">
        <v>15</v>
      </c>
      <c r="D669" s="8">
        <v>12.0</v>
      </c>
      <c r="E669" s="8" t="str">
        <f t="shared" si="1"/>
        <v>Non-Playoff Team</v>
      </c>
      <c r="F669" s="8">
        <v>9.0</v>
      </c>
      <c r="G669" s="8">
        <v>105.0</v>
      </c>
      <c r="H669" s="1" t="s">
        <v>1416</v>
      </c>
      <c r="I669" s="1" t="str">
        <f t="shared" si="2"/>
        <v>#VALUE!</v>
      </c>
      <c r="J669" s="1" t="str">
        <f t="shared" si="3"/>
        <v>#VALUE!</v>
      </c>
      <c r="K669" s="1" t="str">
        <f t="shared" si="4"/>
        <v>#N/A</v>
      </c>
      <c r="L669" s="1" t="str">
        <f>IFERROR(VLOOKUP($K669,Players!$D:$E,2,FALSE),VLOOKUP($H669,Players!A:E,5,FALSE))</f>
        <v>DEF</v>
      </c>
    </row>
    <row r="670" ht="15.75" customHeight="1">
      <c r="A670" s="1">
        <v>2018.0</v>
      </c>
      <c r="B670" s="1" t="s">
        <v>16</v>
      </c>
      <c r="C670" s="1" t="s">
        <v>15</v>
      </c>
      <c r="D670" s="8">
        <v>12.0</v>
      </c>
      <c r="E670" s="8" t="str">
        <f t="shared" si="1"/>
        <v>Non-Playoff Team</v>
      </c>
      <c r="F670" s="8">
        <v>10.0</v>
      </c>
      <c r="G670" s="8">
        <v>112.0</v>
      </c>
      <c r="H670" s="1" t="s">
        <v>320</v>
      </c>
      <c r="I670" s="1" t="str">
        <f t="shared" si="2"/>
        <v>Mike</v>
      </c>
      <c r="J670" s="1" t="str">
        <f t="shared" si="3"/>
        <v>Williams</v>
      </c>
      <c r="K670" s="1" t="str">
        <f t="shared" si="4"/>
        <v>#N/A</v>
      </c>
      <c r="L670" s="1" t="str">
        <f>IFERROR(VLOOKUP($K670,Players!$D:$E,2,FALSE),VLOOKUP($H670,Players!A:E,5,FALSE))</f>
        <v>WR</v>
      </c>
    </row>
    <row r="671" ht="15.75" customHeight="1">
      <c r="A671" s="1">
        <v>2018.0</v>
      </c>
      <c r="B671" s="1" t="s">
        <v>16</v>
      </c>
      <c r="C671" s="1" t="s">
        <v>15</v>
      </c>
      <c r="D671" s="8">
        <v>12.0</v>
      </c>
      <c r="E671" s="8" t="str">
        <f t="shared" si="1"/>
        <v>Non-Playoff Team</v>
      </c>
      <c r="F671" s="8">
        <v>11.0</v>
      </c>
      <c r="G671" s="8">
        <v>129.0</v>
      </c>
      <c r="H671" s="1" t="s">
        <v>167</v>
      </c>
      <c r="I671" s="1" t="str">
        <f t="shared" si="2"/>
        <v>Aaron</v>
      </c>
      <c r="J671" s="1" t="str">
        <f t="shared" si="3"/>
        <v>Jones</v>
      </c>
      <c r="K671" s="1" t="str">
        <f t="shared" si="4"/>
        <v>#N/A</v>
      </c>
      <c r="L671" s="1" t="str">
        <f>IFERROR(VLOOKUP($K671,Players!$D:$E,2,FALSE),VLOOKUP($H671,Players!A:E,5,FALSE))</f>
        <v>RB</v>
      </c>
    </row>
    <row r="672" ht="15.75" customHeight="1">
      <c r="A672" s="1">
        <v>2018.0</v>
      </c>
      <c r="B672" s="1" t="s">
        <v>16</v>
      </c>
      <c r="C672" s="1" t="s">
        <v>15</v>
      </c>
      <c r="D672" s="8">
        <v>12.0</v>
      </c>
      <c r="E672" s="8" t="str">
        <f t="shared" si="1"/>
        <v>Non-Playoff Team</v>
      </c>
      <c r="F672" s="8">
        <v>12.0</v>
      </c>
      <c r="G672" s="8">
        <v>136.0</v>
      </c>
      <c r="H672" s="1" t="s">
        <v>770</v>
      </c>
      <c r="I672" s="1" t="str">
        <f t="shared" si="2"/>
        <v>Chris</v>
      </c>
      <c r="J672" s="1" t="str">
        <f t="shared" si="3"/>
        <v>Boswell</v>
      </c>
      <c r="K672" s="1" t="str">
        <f t="shared" si="4"/>
        <v>#N/A</v>
      </c>
      <c r="L672" s="1" t="str">
        <f>IFERROR(VLOOKUP($K672,Players!$D:$E,2,FALSE),VLOOKUP($H672,Players!A:E,5,FALSE))</f>
        <v>K</v>
      </c>
    </row>
    <row r="673" ht="15.75" customHeight="1">
      <c r="A673" s="1">
        <v>2018.0</v>
      </c>
      <c r="B673" s="1" t="s">
        <v>16</v>
      </c>
      <c r="C673" s="1" t="s">
        <v>15</v>
      </c>
      <c r="D673" s="8">
        <v>12.0</v>
      </c>
      <c r="E673" s="8" t="str">
        <f t="shared" si="1"/>
        <v>Non-Playoff Team</v>
      </c>
      <c r="F673" s="8">
        <v>13.0</v>
      </c>
      <c r="G673" s="8">
        <v>153.0</v>
      </c>
      <c r="H673" s="1" t="s">
        <v>130</v>
      </c>
      <c r="I673" s="1" t="str">
        <f t="shared" si="2"/>
        <v>Kenny</v>
      </c>
      <c r="J673" s="1" t="str">
        <f t="shared" si="3"/>
        <v>Golladay</v>
      </c>
      <c r="K673" s="1" t="str">
        <f t="shared" si="4"/>
        <v>#N/A</v>
      </c>
      <c r="L673" s="1" t="str">
        <f>IFERROR(VLOOKUP($K673,Players!$D:$E,2,FALSE),VLOOKUP($H673,Players!A:E,5,FALSE))</f>
        <v>WR</v>
      </c>
    </row>
    <row r="674" ht="15.75" customHeight="1">
      <c r="A674" s="1">
        <v>2018.0</v>
      </c>
      <c r="B674" s="1" t="s">
        <v>16</v>
      </c>
      <c r="C674" s="1" t="s">
        <v>15</v>
      </c>
      <c r="D674" s="8">
        <v>12.0</v>
      </c>
      <c r="E674" s="8" t="str">
        <f t="shared" si="1"/>
        <v>Non-Playoff Team</v>
      </c>
      <c r="F674" s="8">
        <v>14.0</v>
      </c>
      <c r="G674" s="8">
        <v>160.0</v>
      </c>
      <c r="H674" s="1" t="s">
        <v>1082</v>
      </c>
      <c r="I674" s="1" t="str">
        <f t="shared" si="2"/>
        <v>Derek</v>
      </c>
      <c r="J674" s="1" t="str">
        <f t="shared" si="3"/>
        <v>Carr</v>
      </c>
      <c r="K674" s="1" t="str">
        <f t="shared" si="4"/>
        <v>#N/A</v>
      </c>
      <c r="L674" s="1" t="str">
        <f>IFERROR(VLOOKUP($K674,Players!$D:$E,2,FALSE),VLOOKUP($H674,Players!A:E,5,FALSE))</f>
        <v>QB</v>
      </c>
    </row>
    <row r="675" ht="15.75" customHeight="1">
      <c r="A675" s="1">
        <v>2018.0</v>
      </c>
      <c r="B675" s="1" t="s">
        <v>16</v>
      </c>
      <c r="C675" s="1" t="s">
        <v>15</v>
      </c>
      <c r="D675" s="8">
        <v>12.0</v>
      </c>
      <c r="E675" s="8" t="str">
        <f t="shared" si="1"/>
        <v>Non-Playoff Team</v>
      </c>
      <c r="F675" s="8">
        <v>15.0</v>
      </c>
      <c r="G675" s="8">
        <v>177.0</v>
      </c>
      <c r="H675" s="1" t="s">
        <v>1427</v>
      </c>
      <c r="I675" s="1" t="str">
        <f t="shared" si="2"/>
        <v>John</v>
      </c>
      <c r="J675" s="1" t="str">
        <f t="shared" si="3"/>
        <v>Ross III</v>
      </c>
      <c r="K675" s="1" t="str">
        <f t="shared" si="4"/>
        <v>#N/A</v>
      </c>
      <c r="L675" s="1" t="str">
        <f>IFERROR(VLOOKUP($K675,Players!$D:$E,2,FALSE),VLOOKUP($H675,Players!A:E,5,FALSE))</f>
        <v>#N/A</v>
      </c>
    </row>
    <row r="676" ht="15.75" customHeight="1">
      <c r="A676" s="1">
        <v>2018.0</v>
      </c>
      <c r="B676" s="1" t="s">
        <v>59</v>
      </c>
      <c r="C676" s="1" t="s">
        <v>10</v>
      </c>
      <c r="D676" s="8">
        <v>4.0</v>
      </c>
      <c r="E676" s="8" t="str">
        <f t="shared" si="1"/>
        <v>Playoff Team</v>
      </c>
      <c r="F676" s="8">
        <v>1.0</v>
      </c>
      <c r="G676" s="8">
        <v>7.0</v>
      </c>
      <c r="H676" s="1" t="s">
        <v>342</v>
      </c>
      <c r="I676" s="1" t="str">
        <f t="shared" si="2"/>
        <v>Saquon</v>
      </c>
      <c r="J676" s="1" t="str">
        <f t="shared" si="3"/>
        <v>Barkley</v>
      </c>
      <c r="K676" s="1" t="str">
        <f t="shared" si="4"/>
        <v>#N/A</v>
      </c>
      <c r="L676" s="1" t="str">
        <f>IFERROR(VLOOKUP($K676,Players!$D:$E,2,FALSE),VLOOKUP($H676,Players!A:E,5,FALSE))</f>
        <v>RB</v>
      </c>
    </row>
    <row r="677" ht="15.75" customHeight="1">
      <c r="A677" s="1">
        <v>2018.0</v>
      </c>
      <c r="B677" s="1" t="s">
        <v>59</v>
      </c>
      <c r="C677" s="1" t="s">
        <v>10</v>
      </c>
      <c r="D677" s="8">
        <v>4.0</v>
      </c>
      <c r="E677" s="8" t="str">
        <f t="shared" si="1"/>
        <v>Playoff Team</v>
      </c>
      <c r="F677" s="8">
        <v>2.0</v>
      </c>
      <c r="G677" s="8">
        <v>18.0</v>
      </c>
      <c r="H677" s="1" t="s">
        <v>270</v>
      </c>
      <c r="I677" s="1" t="str">
        <f t="shared" si="2"/>
        <v>Michael</v>
      </c>
      <c r="J677" s="1" t="str">
        <f t="shared" si="3"/>
        <v>Thomas</v>
      </c>
      <c r="K677" s="1" t="str">
        <f t="shared" si="4"/>
        <v>#N/A</v>
      </c>
      <c r="L677" s="1" t="str">
        <f>IFERROR(VLOOKUP($K677,Players!$D:$E,2,FALSE),VLOOKUP($H677,Players!A:E,5,FALSE))</f>
        <v>WR</v>
      </c>
    </row>
    <row r="678" ht="15.75" customHeight="1">
      <c r="A678" s="1">
        <v>2018.0</v>
      </c>
      <c r="B678" s="1" t="s">
        <v>59</v>
      </c>
      <c r="C678" s="1" t="s">
        <v>10</v>
      </c>
      <c r="D678" s="8">
        <v>4.0</v>
      </c>
      <c r="E678" s="8" t="str">
        <f t="shared" si="1"/>
        <v>Playoff Team</v>
      </c>
      <c r="F678" s="8">
        <v>3.0</v>
      </c>
      <c r="G678" s="8">
        <v>31.0</v>
      </c>
      <c r="H678" s="1" t="s">
        <v>94</v>
      </c>
      <c r="I678" s="1" t="str">
        <f t="shared" si="2"/>
        <v>Joe</v>
      </c>
      <c r="J678" s="1" t="str">
        <f t="shared" si="3"/>
        <v>Mixon</v>
      </c>
      <c r="K678" s="1" t="str">
        <f t="shared" si="4"/>
        <v>#N/A</v>
      </c>
      <c r="L678" s="1" t="str">
        <f>IFERROR(VLOOKUP($K678,Players!$D:$E,2,FALSE),VLOOKUP($H678,Players!A:E,5,FALSE))</f>
        <v>RB</v>
      </c>
    </row>
    <row r="679" ht="15.75" customHeight="1">
      <c r="A679" s="1">
        <v>2018.0</v>
      </c>
      <c r="B679" s="1" t="s">
        <v>59</v>
      </c>
      <c r="C679" s="1" t="s">
        <v>10</v>
      </c>
      <c r="D679" s="8">
        <v>4.0</v>
      </c>
      <c r="E679" s="8" t="str">
        <f t="shared" si="1"/>
        <v>Playoff Team</v>
      </c>
      <c r="F679" s="8">
        <v>4.0</v>
      </c>
      <c r="G679" s="8">
        <v>42.0</v>
      </c>
      <c r="H679" s="1" t="s">
        <v>422</v>
      </c>
      <c r="I679" s="1" t="str">
        <f t="shared" si="2"/>
        <v>Stefon</v>
      </c>
      <c r="J679" s="1" t="str">
        <f t="shared" si="3"/>
        <v>Diggs</v>
      </c>
      <c r="K679" s="1" t="str">
        <f t="shared" si="4"/>
        <v>#N/A</v>
      </c>
      <c r="L679" s="1" t="str">
        <f>IFERROR(VLOOKUP($K679,Players!$D:$E,2,FALSE),VLOOKUP($H679,Players!A:E,5,FALSE))</f>
        <v>WR</v>
      </c>
    </row>
    <row r="680" ht="15.75" customHeight="1">
      <c r="A680" s="1">
        <v>2018.0</v>
      </c>
      <c r="B680" s="1" t="s">
        <v>59</v>
      </c>
      <c r="C680" s="1" t="s">
        <v>10</v>
      </c>
      <c r="D680" s="8">
        <v>4.0</v>
      </c>
      <c r="E680" s="8" t="str">
        <f t="shared" si="1"/>
        <v>Playoff Team</v>
      </c>
      <c r="F680" s="8">
        <v>5.0</v>
      </c>
      <c r="G680" s="8">
        <v>55.0</v>
      </c>
      <c r="H680" s="1" t="s">
        <v>965</v>
      </c>
      <c r="I680" s="1" t="str">
        <f t="shared" si="2"/>
        <v>Josh</v>
      </c>
      <c r="J680" s="1" t="str">
        <f t="shared" si="3"/>
        <v>Gordon</v>
      </c>
      <c r="K680" s="1" t="str">
        <f t="shared" si="4"/>
        <v>#N/A</v>
      </c>
      <c r="L680" s="1" t="str">
        <f>IFERROR(VLOOKUP($K680,Players!$D:$E,2,FALSE),VLOOKUP($H680,Players!A:E,5,FALSE))</f>
        <v>WR</v>
      </c>
    </row>
    <row r="681" ht="15.75" customHeight="1">
      <c r="A681" s="1">
        <v>2018.0</v>
      </c>
      <c r="B681" s="1" t="s">
        <v>59</v>
      </c>
      <c r="C681" s="1" t="s">
        <v>10</v>
      </c>
      <c r="D681" s="8">
        <v>4.0</v>
      </c>
      <c r="E681" s="8" t="str">
        <f t="shared" si="1"/>
        <v>Playoff Team</v>
      </c>
      <c r="F681" s="8">
        <v>6.0</v>
      </c>
      <c r="G681" s="8">
        <v>66.0</v>
      </c>
      <c r="H681" s="1" t="s">
        <v>714</v>
      </c>
      <c r="I681" s="1" t="str">
        <f t="shared" si="2"/>
        <v>Drew</v>
      </c>
      <c r="J681" s="1" t="str">
        <f t="shared" si="3"/>
        <v>Brees</v>
      </c>
      <c r="K681" s="1" t="str">
        <f t="shared" si="4"/>
        <v>#N/A</v>
      </c>
      <c r="L681" s="1" t="str">
        <f>IFERROR(VLOOKUP($K681,Players!$D:$E,2,FALSE),VLOOKUP($H681,Players!A:E,5,FALSE))</f>
        <v>QB</v>
      </c>
    </row>
    <row r="682" ht="15.75" customHeight="1">
      <c r="A682" s="1">
        <v>2018.0</v>
      </c>
      <c r="B682" s="1" t="s">
        <v>59</v>
      </c>
      <c r="C682" s="1" t="s">
        <v>10</v>
      </c>
      <c r="D682" s="8">
        <v>4.0</v>
      </c>
      <c r="E682" s="8" t="str">
        <f t="shared" si="1"/>
        <v>Playoff Team</v>
      </c>
      <c r="F682" s="8">
        <v>7.0</v>
      </c>
      <c r="G682" s="8">
        <v>79.0</v>
      </c>
      <c r="H682" s="1" t="s">
        <v>273</v>
      </c>
      <c r="I682" s="1" t="str">
        <f t="shared" si="2"/>
        <v>Corey</v>
      </c>
      <c r="J682" s="1" t="str">
        <f t="shared" si="3"/>
        <v>Davis</v>
      </c>
      <c r="K682" s="1" t="str">
        <f t="shared" si="4"/>
        <v>#N/A</v>
      </c>
      <c r="L682" s="1" t="str">
        <f>IFERROR(VLOOKUP($K682,Players!$D:$E,2,FALSE),VLOOKUP($H682,Players!A:E,5,FALSE))</f>
        <v>WR</v>
      </c>
    </row>
    <row r="683" ht="15.75" customHeight="1">
      <c r="A683" s="1">
        <v>2018.0</v>
      </c>
      <c r="B683" s="1" t="s">
        <v>59</v>
      </c>
      <c r="C683" s="1" t="s">
        <v>10</v>
      </c>
      <c r="D683" s="8">
        <v>4.0</v>
      </c>
      <c r="E683" s="8" t="str">
        <f t="shared" si="1"/>
        <v>Playoff Team</v>
      </c>
      <c r="F683" s="8">
        <v>8.0</v>
      </c>
      <c r="G683" s="8">
        <v>90.0</v>
      </c>
      <c r="H683" s="1" t="s">
        <v>1443</v>
      </c>
      <c r="I683" s="1" t="str">
        <f t="shared" si="2"/>
        <v>Jordan</v>
      </c>
      <c r="J683" s="1" t="str">
        <f t="shared" si="3"/>
        <v>Reed</v>
      </c>
      <c r="K683" s="1" t="str">
        <f t="shared" si="4"/>
        <v>#N/A</v>
      </c>
      <c r="L683" s="1" t="str">
        <f>IFERROR(VLOOKUP($K683,Players!$D:$E,2,FALSE),VLOOKUP($H683,Players!A:E,5,FALSE))</f>
        <v>TE</v>
      </c>
    </row>
    <row r="684" ht="15.75" customHeight="1">
      <c r="A684" s="1">
        <v>2018.0</v>
      </c>
      <c r="B684" s="1" t="s">
        <v>59</v>
      </c>
      <c r="C684" s="1" t="s">
        <v>10</v>
      </c>
      <c r="D684" s="8">
        <v>4.0</v>
      </c>
      <c r="E684" s="8" t="str">
        <f t="shared" si="1"/>
        <v>Playoff Team</v>
      </c>
      <c r="F684" s="8">
        <v>9.0</v>
      </c>
      <c r="G684" s="8">
        <v>103.0</v>
      </c>
      <c r="H684" s="1" t="s">
        <v>481</v>
      </c>
      <c r="I684" s="1" t="str">
        <f t="shared" si="2"/>
        <v>Carson</v>
      </c>
      <c r="J684" s="1" t="str">
        <f t="shared" si="3"/>
        <v>Wentz</v>
      </c>
      <c r="K684" s="1" t="str">
        <f t="shared" si="4"/>
        <v>#N/A</v>
      </c>
      <c r="L684" s="1" t="str">
        <f>IFERROR(VLOOKUP($K684,Players!$D:$E,2,FALSE),VLOOKUP($H684,Players!A:E,5,FALSE))</f>
        <v>QB</v>
      </c>
    </row>
    <row r="685" ht="15.75" customHeight="1">
      <c r="A685" s="1">
        <v>2018.0</v>
      </c>
      <c r="B685" s="1" t="s">
        <v>59</v>
      </c>
      <c r="C685" s="1" t="s">
        <v>10</v>
      </c>
      <c r="D685" s="8">
        <v>4.0</v>
      </c>
      <c r="E685" s="8" t="str">
        <f t="shared" si="1"/>
        <v>Playoff Team</v>
      </c>
      <c r="F685" s="8">
        <v>10.0</v>
      </c>
      <c r="G685" s="8">
        <v>114.0</v>
      </c>
      <c r="H685" s="1" t="s">
        <v>197</v>
      </c>
      <c r="I685" s="1" t="str">
        <f t="shared" si="2"/>
        <v>Adrian</v>
      </c>
      <c r="J685" s="1" t="str">
        <f t="shared" si="3"/>
        <v>Peterson</v>
      </c>
      <c r="K685" s="1" t="str">
        <f t="shared" si="4"/>
        <v>#N/A</v>
      </c>
      <c r="L685" s="1" t="str">
        <f>IFERROR(VLOOKUP($K685,Players!$D:$E,2,FALSE),VLOOKUP($H685,Players!A:E,5,FALSE))</f>
        <v>RB</v>
      </c>
    </row>
    <row r="686" ht="15.75" customHeight="1">
      <c r="A686" s="1">
        <v>2018.0</v>
      </c>
      <c r="B686" s="1" t="s">
        <v>59</v>
      </c>
      <c r="C686" s="1" t="s">
        <v>10</v>
      </c>
      <c r="D686" s="8">
        <v>4.0</v>
      </c>
      <c r="E686" s="8" t="str">
        <f t="shared" si="1"/>
        <v>Playoff Team</v>
      </c>
      <c r="F686" s="8">
        <v>11.0</v>
      </c>
      <c r="G686" s="8">
        <v>127.0</v>
      </c>
      <c r="H686" s="1" t="s">
        <v>1137</v>
      </c>
      <c r="I686" s="1" t="str">
        <f t="shared" si="2"/>
        <v>Giovani</v>
      </c>
      <c r="J686" s="1" t="str">
        <f t="shared" si="3"/>
        <v>Bernard</v>
      </c>
      <c r="K686" s="1" t="str">
        <f t="shared" si="4"/>
        <v>#N/A</v>
      </c>
      <c r="L686" s="1" t="str">
        <f>IFERROR(VLOOKUP($K686,Players!$D:$E,2,FALSE),VLOOKUP($H686,Players!A:E,5,FALSE))</f>
        <v>RB</v>
      </c>
    </row>
    <row r="687" ht="15.75" customHeight="1">
      <c r="A687" s="1">
        <v>2018.0</v>
      </c>
      <c r="B687" s="1" t="s">
        <v>59</v>
      </c>
      <c r="C687" s="1" t="s">
        <v>10</v>
      </c>
      <c r="D687" s="8">
        <v>4.0</v>
      </c>
      <c r="E687" s="8" t="str">
        <f t="shared" si="1"/>
        <v>Playoff Team</v>
      </c>
      <c r="F687" s="8">
        <v>12.0</v>
      </c>
      <c r="G687" s="8">
        <v>138.0</v>
      </c>
      <c r="H687" s="1" t="s">
        <v>662</v>
      </c>
      <c r="I687" s="1" t="str">
        <f t="shared" si="2"/>
        <v>New</v>
      </c>
      <c r="J687" s="1" t="str">
        <f t="shared" si="3"/>
        <v>Orleans</v>
      </c>
      <c r="K687" s="1" t="str">
        <f t="shared" si="4"/>
        <v>#N/A</v>
      </c>
      <c r="L687" s="1" t="str">
        <f>IFERROR(VLOOKUP($K687,Players!$D:$E,2,FALSE),VLOOKUP($H687,Players!A:E,5,FALSE))</f>
        <v>DEF</v>
      </c>
    </row>
    <row r="688" ht="15.75" customHeight="1">
      <c r="A688" s="1">
        <v>2018.0</v>
      </c>
      <c r="B688" s="1" t="s">
        <v>59</v>
      </c>
      <c r="C688" s="1" t="s">
        <v>10</v>
      </c>
      <c r="D688" s="8">
        <v>4.0</v>
      </c>
      <c r="E688" s="8" t="str">
        <f t="shared" si="1"/>
        <v>Playoff Team</v>
      </c>
      <c r="F688" s="8">
        <v>13.0</v>
      </c>
      <c r="G688" s="8">
        <v>151.0</v>
      </c>
      <c r="H688" s="1" t="s">
        <v>312</v>
      </c>
      <c r="I688" s="1" t="str">
        <f t="shared" si="2"/>
        <v>Ronald</v>
      </c>
      <c r="J688" s="1" t="str">
        <f t="shared" si="3"/>
        <v>Jones II</v>
      </c>
      <c r="K688" s="1" t="str">
        <f t="shared" si="4"/>
        <v>#N/A</v>
      </c>
      <c r="L688" s="1" t="str">
        <f>IFERROR(VLOOKUP($K688,Players!$D:$E,2,FALSE),VLOOKUP($H688,Players!A:E,5,FALSE))</f>
        <v>#N/A</v>
      </c>
    </row>
    <row r="689" ht="15.75" customHeight="1">
      <c r="A689" s="1">
        <v>2018.0</v>
      </c>
      <c r="B689" s="1" t="s">
        <v>59</v>
      </c>
      <c r="C689" s="1" t="s">
        <v>10</v>
      </c>
      <c r="D689" s="8">
        <v>4.0</v>
      </c>
      <c r="E689" s="8" t="str">
        <f t="shared" si="1"/>
        <v>Playoff Team</v>
      </c>
      <c r="F689" s="8">
        <v>14.0</v>
      </c>
      <c r="G689" s="8">
        <v>162.0</v>
      </c>
      <c r="H689" s="1" t="s">
        <v>665</v>
      </c>
      <c r="I689" s="1" t="str">
        <f t="shared" si="2"/>
        <v>Wil</v>
      </c>
      <c r="J689" s="1" t="str">
        <f t="shared" si="3"/>
        <v>Lutz</v>
      </c>
      <c r="K689" s="1" t="str">
        <f t="shared" si="4"/>
        <v>#N/A</v>
      </c>
      <c r="L689" s="1" t="str">
        <f>IFERROR(VLOOKUP($K689,Players!$D:$E,2,FALSE),VLOOKUP($H689,Players!A:E,5,FALSE))</f>
        <v>K</v>
      </c>
    </row>
    <row r="690" ht="15.75" customHeight="1">
      <c r="A690" s="1">
        <v>2018.0</v>
      </c>
      <c r="B690" s="1" t="s">
        <v>59</v>
      </c>
      <c r="C690" s="1" t="s">
        <v>10</v>
      </c>
      <c r="D690" s="8">
        <v>4.0</v>
      </c>
      <c r="E690" s="8" t="str">
        <f t="shared" si="1"/>
        <v>Playoff Team</v>
      </c>
      <c r="F690" s="8">
        <v>15.0</v>
      </c>
      <c r="G690" s="8">
        <v>175.0</v>
      </c>
      <c r="H690" s="1" t="s">
        <v>1458</v>
      </c>
      <c r="I690" s="1" t="str">
        <f t="shared" si="2"/>
        <v>Mike</v>
      </c>
      <c r="J690" s="1" t="str">
        <f t="shared" si="3"/>
        <v>Gesicki</v>
      </c>
      <c r="K690" s="1" t="str">
        <f t="shared" si="4"/>
        <v>#N/A</v>
      </c>
      <c r="L690" s="1" t="str">
        <f>IFERROR(VLOOKUP($K690,Players!$D:$E,2,FALSE),VLOOKUP($H690,Players!A:E,5,FALSE))</f>
        <v>#N/A</v>
      </c>
    </row>
    <row r="691" ht="15.75" customHeight="1">
      <c r="A691" s="1">
        <v>2018.0</v>
      </c>
      <c r="B691" s="1" t="s">
        <v>41</v>
      </c>
      <c r="C691" s="1" t="s">
        <v>26</v>
      </c>
      <c r="D691" s="8">
        <v>10.0</v>
      </c>
      <c r="E691" s="8" t="str">
        <f t="shared" si="1"/>
        <v>Non-Playoff Team</v>
      </c>
      <c r="F691" s="8">
        <v>1.0</v>
      </c>
      <c r="G691" s="8">
        <v>2.0</v>
      </c>
      <c r="H691" s="1" t="s">
        <v>788</v>
      </c>
      <c r="I691" s="1" t="str">
        <f t="shared" si="2"/>
        <v>Le'Veon</v>
      </c>
      <c r="J691" s="1" t="str">
        <f t="shared" si="3"/>
        <v>Bell</v>
      </c>
      <c r="K691" s="1" t="str">
        <f t="shared" si="4"/>
        <v>#N/A</v>
      </c>
      <c r="L691" s="1" t="str">
        <f>IFERROR(VLOOKUP($K691,Players!$D:$E,2,FALSE),VLOOKUP($H691,Players!A:E,5,FALSE))</f>
        <v>RB</v>
      </c>
    </row>
    <row r="692" ht="15.75" customHeight="1">
      <c r="A692" s="1">
        <v>2018.0</v>
      </c>
      <c r="B692" s="1" t="s">
        <v>41</v>
      </c>
      <c r="C692" s="1" t="s">
        <v>26</v>
      </c>
      <c r="D692" s="8">
        <v>10.0</v>
      </c>
      <c r="E692" s="8" t="str">
        <f t="shared" si="1"/>
        <v>Non-Playoff Team</v>
      </c>
      <c r="F692" s="8">
        <v>2.0</v>
      </c>
      <c r="G692" s="8">
        <v>23.0</v>
      </c>
      <c r="H692" s="1" t="s">
        <v>391</v>
      </c>
      <c r="I692" s="1" t="str">
        <f t="shared" si="2"/>
        <v>Mike</v>
      </c>
      <c r="J692" s="1" t="str">
        <f t="shared" si="3"/>
        <v>Evans</v>
      </c>
      <c r="K692" s="1" t="str">
        <f t="shared" si="4"/>
        <v>#N/A</v>
      </c>
      <c r="L692" s="1" t="str">
        <f>IFERROR(VLOOKUP($K692,Players!$D:$E,2,FALSE),VLOOKUP($H692,Players!A:E,5,FALSE))</f>
        <v>WR</v>
      </c>
    </row>
    <row r="693" ht="15.75" customHeight="1">
      <c r="A693" s="1">
        <v>2018.0</v>
      </c>
      <c r="B693" s="1" t="s">
        <v>41</v>
      </c>
      <c r="C693" s="1" t="s">
        <v>26</v>
      </c>
      <c r="D693" s="8">
        <v>10.0</v>
      </c>
      <c r="E693" s="8" t="str">
        <f t="shared" si="1"/>
        <v>Non-Playoff Team</v>
      </c>
      <c r="F693" s="8">
        <v>3.0</v>
      </c>
      <c r="G693" s="8">
        <v>26.0</v>
      </c>
      <c r="H693" s="1" t="s">
        <v>822</v>
      </c>
      <c r="I693" s="1" t="str">
        <f t="shared" si="2"/>
        <v>TY</v>
      </c>
      <c r="J693" s="1" t="str">
        <f t="shared" si="3"/>
        <v>Hilton</v>
      </c>
      <c r="K693" s="1" t="str">
        <f t="shared" si="4"/>
        <v>#N/A</v>
      </c>
      <c r="L693" s="1" t="str">
        <f>IFERROR(VLOOKUP($K693,Players!$D:$E,2,FALSE),VLOOKUP($H693,Players!A:E,5,FALSE))</f>
        <v>WR</v>
      </c>
    </row>
    <row r="694" ht="15.75" customHeight="1">
      <c r="A694" s="1">
        <v>2018.0</v>
      </c>
      <c r="B694" s="1" t="s">
        <v>41</v>
      </c>
      <c r="C694" s="1" t="s">
        <v>26</v>
      </c>
      <c r="D694" s="8">
        <v>10.0</v>
      </c>
      <c r="E694" s="8" t="str">
        <f t="shared" si="1"/>
        <v>Non-Playoff Team</v>
      </c>
      <c r="F694" s="8">
        <v>4.0</v>
      </c>
      <c r="G694" s="8">
        <v>47.0</v>
      </c>
      <c r="H694" s="1" t="s">
        <v>1465</v>
      </c>
      <c r="I694" s="1" t="str">
        <f t="shared" si="2"/>
        <v>Lamar</v>
      </c>
      <c r="J694" s="1" t="str">
        <f t="shared" si="3"/>
        <v>Miller</v>
      </c>
      <c r="K694" s="1" t="str">
        <f t="shared" si="4"/>
        <v>#N/A</v>
      </c>
      <c r="L694" s="1" t="str">
        <f>IFERROR(VLOOKUP($K694,Players!$D:$E,2,FALSE),VLOOKUP($H694,Players!A:E,5,FALSE))</f>
        <v>RB</v>
      </c>
    </row>
    <row r="695" ht="15.75" customHeight="1">
      <c r="A695" s="1">
        <v>2018.0</v>
      </c>
      <c r="B695" s="1" t="s">
        <v>41</v>
      </c>
      <c r="C695" s="1" t="s">
        <v>26</v>
      </c>
      <c r="D695" s="8">
        <v>10.0</v>
      </c>
      <c r="E695" s="8" t="str">
        <f t="shared" si="1"/>
        <v>Non-Playoff Team</v>
      </c>
      <c r="F695" s="8">
        <v>5.0</v>
      </c>
      <c r="G695" s="8">
        <v>50.0</v>
      </c>
      <c r="H695" s="1" t="s">
        <v>1467</v>
      </c>
      <c r="I695" s="1" t="str">
        <f t="shared" si="2"/>
        <v>Jimmy</v>
      </c>
      <c r="J695" s="1" t="str">
        <f t="shared" si="3"/>
        <v>Graham</v>
      </c>
      <c r="K695" s="1" t="str">
        <f t="shared" si="4"/>
        <v>#N/A</v>
      </c>
      <c r="L695" s="1" t="str">
        <f>IFERROR(VLOOKUP($K695,Players!$D:$E,2,FALSE),VLOOKUP($H695,Players!A:E,5,FALSE))</f>
        <v>TE</v>
      </c>
    </row>
    <row r="696" ht="15.75" customHeight="1">
      <c r="A696" s="1">
        <v>2018.0</v>
      </c>
      <c r="B696" s="1" t="s">
        <v>41</v>
      </c>
      <c r="C696" s="1" t="s">
        <v>26</v>
      </c>
      <c r="D696" s="8">
        <v>10.0</v>
      </c>
      <c r="E696" s="8" t="str">
        <f t="shared" si="1"/>
        <v>Non-Playoff Team</v>
      </c>
      <c r="F696" s="8">
        <v>6.0</v>
      </c>
      <c r="G696" s="8">
        <v>71.0</v>
      </c>
      <c r="H696" s="1" t="s">
        <v>299</v>
      </c>
      <c r="I696" s="1" t="str">
        <f t="shared" si="2"/>
        <v>Andrew</v>
      </c>
      <c r="J696" s="1" t="str">
        <f t="shared" si="3"/>
        <v>Luck</v>
      </c>
      <c r="K696" s="1" t="str">
        <f t="shared" si="4"/>
        <v>#N/A</v>
      </c>
      <c r="L696" s="1" t="str">
        <f>IFERROR(VLOOKUP($K696,Players!$D:$E,2,FALSE),VLOOKUP($H696,Players!A:E,5,FALSE))</f>
        <v>QB</v>
      </c>
    </row>
    <row r="697" ht="15.75" customHeight="1">
      <c r="A697" s="1">
        <v>2018.0</v>
      </c>
      <c r="B697" s="1" t="s">
        <v>41</v>
      </c>
      <c r="C697" s="1" t="s">
        <v>26</v>
      </c>
      <c r="D697" s="8">
        <v>10.0</v>
      </c>
      <c r="E697" s="8" t="str">
        <f t="shared" si="1"/>
        <v>Non-Playoff Team</v>
      </c>
      <c r="F697" s="8">
        <v>7.0</v>
      </c>
      <c r="G697" s="8">
        <v>74.0</v>
      </c>
      <c r="H697" s="1" t="s">
        <v>260</v>
      </c>
      <c r="I697" s="1" t="str">
        <f t="shared" si="2"/>
        <v>Alshon</v>
      </c>
      <c r="J697" s="1" t="str">
        <f t="shared" si="3"/>
        <v>Jeffery</v>
      </c>
      <c r="K697" s="1" t="str">
        <f t="shared" si="4"/>
        <v>#N/A</v>
      </c>
      <c r="L697" s="1" t="str">
        <f>IFERROR(VLOOKUP($K697,Players!$D:$E,2,FALSE),VLOOKUP($H697,Players!A:E,5,FALSE))</f>
        <v>WR</v>
      </c>
    </row>
    <row r="698" ht="15.75" customHeight="1">
      <c r="A698" s="1">
        <v>2018.0</v>
      </c>
      <c r="B698" s="1" t="s">
        <v>41</v>
      </c>
      <c r="C698" s="1" t="s">
        <v>26</v>
      </c>
      <c r="D698" s="8">
        <v>10.0</v>
      </c>
      <c r="E698" s="8" t="str">
        <f t="shared" si="1"/>
        <v>Non-Playoff Team</v>
      </c>
      <c r="F698" s="8">
        <v>8.0</v>
      </c>
      <c r="G698" s="8">
        <v>95.0</v>
      </c>
      <c r="H698" s="1" t="s">
        <v>1473</v>
      </c>
      <c r="I698" s="1" t="str">
        <f t="shared" si="2"/>
        <v>Isaiah</v>
      </c>
      <c r="J698" s="1" t="str">
        <f t="shared" si="3"/>
        <v>Crowell</v>
      </c>
      <c r="K698" s="1" t="str">
        <f t="shared" si="4"/>
        <v>#N/A</v>
      </c>
      <c r="L698" s="1" t="str">
        <f>IFERROR(VLOOKUP($K698,Players!$D:$E,2,FALSE),VLOOKUP($H698,Players!A:E,5,FALSE))</f>
        <v>RB</v>
      </c>
    </row>
    <row r="699" ht="15.75" customHeight="1">
      <c r="A699" s="1">
        <v>2018.0</v>
      </c>
      <c r="B699" s="1" t="s">
        <v>41</v>
      </c>
      <c r="C699" s="1" t="s">
        <v>26</v>
      </c>
      <c r="D699" s="8">
        <v>10.0</v>
      </c>
      <c r="E699" s="8" t="str">
        <f t="shared" si="1"/>
        <v>Non-Playoff Team</v>
      </c>
      <c r="F699" s="8">
        <v>9.0</v>
      </c>
      <c r="G699" s="8">
        <v>98.0</v>
      </c>
      <c r="H699" s="1" t="s">
        <v>573</v>
      </c>
      <c r="I699" s="1" t="str">
        <f t="shared" si="2"/>
        <v>#VALUE!</v>
      </c>
      <c r="J699" s="1" t="str">
        <f t="shared" si="3"/>
        <v>#VALUE!</v>
      </c>
      <c r="K699" s="1" t="str">
        <f t="shared" si="4"/>
        <v>#N/A</v>
      </c>
      <c r="L699" s="1" t="str">
        <f>IFERROR(VLOOKUP($K699,Players!$D:$E,2,FALSE),VLOOKUP($H699,Players!A:E,5,FALSE))</f>
        <v>DEF</v>
      </c>
    </row>
    <row r="700" ht="15.75" customHeight="1">
      <c r="A700" s="1">
        <v>2018.0</v>
      </c>
      <c r="B700" s="1" t="s">
        <v>41</v>
      </c>
      <c r="C700" s="1" t="s">
        <v>26</v>
      </c>
      <c r="D700" s="8">
        <v>10.0</v>
      </c>
      <c r="E700" s="8" t="str">
        <f t="shared" si="1"/>
        <v>Non-Playoff Team</v>
      </c>
      <c r="F700" s="8">
        <v>10.0</v>
      </c>
      <c r="G700" s="8">
        <v>119.0</v>
      </c>
      <c r="H700" s="1" t="s">
        <v>345</v>
      </c>
      <c r="I700" s="1" t="str">
        <f t="shared" si="2"/>
        <v>George</v>
      </c>
      <c r="J700" s="1" t="str">
        <f t="shared" si="3"/>
        <v>Kittle</v>
      </c>
      <c r="K700" s="1" t="str">
        <f t="shared" si="4"/>
        <v>#N/A</v>
      </c>
      <c r="L700" s="1" t="str">
        <f>IFERROR(VLOOKUP($K700,Players!$D:$E,2,FALSE),VLOOKUP($H700,Players!A:E,5,FALSE))</f>
        <v>TE</v>
      </c>
    </row>
    <row r="701" ht="15.75" customHeight="1">
      <c r="A701" s="1">
        <v>2018.0</v>
      </c>
      <c r="B701" s="1" t="s">
        <v>41</v>
      </c>
      <c r="C701" s="1" t="s">
        <v>26</v>
      </c>
      <c r="D701" s="8">
        <v>10.0</v>
      </c>
      <c r="E701" s="8" t="str">
        <f t="shared" si="1"/>
        <v>Non-Playoff Team</v>
      </c>
      <c r="F701" s="8">
        <v>11.0</v>
      </c>
      <c r="G701" s="8">
        <v>122.0</v>
      </c>
      <c r="H701" s="1" t="s">
        <v>1478</v>
      </c>
      <c r="I701" s="1" t="str">
        <f t="shared" si="2"/>
        <v>Rishard</v>
      </c>
      <c r="J701" s="1" t="str">
        <f t="shared" si="3"/>
        <v>Matthews</v>
      </c>
      <c r="K701" s="1" t="str">
        <f t="shared" si="4"/>
        <v>#N/A</v>
      </c>
      <c r="L701" s="1" t="str">
        <f>IFERROR(VLOOKUP($K701,Players!$D:$E,2,FALSE),VLOOKUP($H701,Players!A:E,5,FALSE))</f>
        <v>WR</v>
      </c>
    </row>
    <row r="702" ht="15.75" customHeight="1">
      <c r="A702" s="1">
        <v>2018.0</v>
      </c>
      <c r="B702" s="1" t="s">
        <v>41</v>
      </c>
      <c r="C702" s="1" t="s">
        <v>26</v>
      </c>
      <c r="D702" s="8">
        <v>10.0</v>
      </c>
      <c r="E702" s="8" t="str">
        <f t="shared" si="1"/>
        <v>Non-Playoff Team</v>
      </c>
      <c r="F702" s="8">
        <v>12.0</v>
      </c>
      <c r="G702" s="8">
        <v>143.0</v>
      </c>
      <c r="H702" s="1" t="s">
        <v>948</v>
      </c>
      <c r="I702" s="1" t="str">
        <f t="shared" si="2"/>
        <v>Jake</v>
      </c>
      <c r="J702" s="1" t="str">
        <f t="shared" si="3"/>
        <v>Elliott</v>
      </c>
      <c r="K702" s="1" t="str">
        <f t="shared" si="4"/>
        <v>#N/A</v>
      </c>
      <c r="L702" s="1" t="str">
        <f>IFERROR(VLOOKUP($K702,Players!$D:$E,2,FALSE),VLOOKUP($H702,Players!A:E,5,FALSE))</f>
        <v>K</v>
      </c>
    </row>
    <row r="703" ht="15.75" customHeight="1">
      <c r="A703" s="1">
        <v>2018.0</v>
      </c>
      <c r="B703" s="1" t="s">
        <v>41</v>
      </c>
      <c r="C703" s="1" t="s">
        <v>26</v>
      </c>
      <c r="D703" s="8">
        <v>10.0</v>
      </c>
      <c r="E703" s="8" t="str">
        <f t="shared" si="1"/>
        <v>Non-Playoff Team</v>
      </c>
      <c r="F703" s="8">
        <v>13.0</v>
      </c>
      <c r="G703" s="8">
        <v>146.0</v>
      </c>
      <c r="H703" s="1" t="s">
        <v>505</v>
      </c>
      <c r="I703" s="1" t="str">
        <f t="shared" si="2"/>
        <v>Jimmy</v>
      </c>
      <c r="J703" s="1" t="str">
        <f t="shared" si="3"/>
        <v>Garoppolo</v>
      </c>
      <c r="K703" s="1" t="str">
        <f t="shared" si="4"/>
        <v>#N/A</v>
      </c>
      <c r="L703" s="1" t="str">
        <f>IFERROR(VLOOKUP($K703,Players!$D:$E,2,FALSE),VLOOKUP($H703,Players!A:E,5,FALSE))</f>
        <v>QB</v>
      </c>
    </row>
    <row r="704" ht="15.75" customHeight="1">
      <c r="A704" s="1">
        <v>2018.0</v>
      </c>
      <c r="B704" s="1" t="s">
        <v>41</v>
      </c>
      <c r="C704" s="1" t="s">
        <v>26</v>
      </c>
      <c r="D704" s="8">
        <v>10.0</v>
      </c>
      <c r="E704" s="8" t="str">
        <f t="shared" si="1"/>
        <v>Non-Playoff Team</v>
      </c>
      <c r="F704" s="8">
        <v>14.0</v>
      </c>
      <c r="G704" s="8">
        <v>167.0</v>
      </c>
      <c r="H704" s="1" t="s">
        <v>250</v>
      </c>
      <c r="I704" s="1" t="str">
        <f t="shared" si="2"/>
        <v>Allen</v>
      </c>
      <c r="J704" s="1" t="str">
        <f t="shared" si="3"/>
        <v>Hurns</v>
      </c>
      <c r="K704" s="1" t="str">
        <f t="shared" si="4"/>
        <v>#N/A</v>
      </c>
      <c r="L704" s="1" t="str">
        <f>IFERROR(VLOOKUP($K704,Players!$D:$E,2,FALSE),VLOOKUP($H704,Players!A:E,5,FALSE))</f>
        <v>WR</v>
      </c>
    </row>
    <row r="705" ht="15.75" customHeight="1">
      <c r="A705" s="1">
        <v>2018.0</v>
      </c>
      <c r="B705" s="1" t="s">
        <v>41</v>
      </c>
      <c r="C705" s="1" t="s">
        <v>26</v>
      </c>
      <c r="D705" s="8">
        <v>10.0</v>
      </c>
      <c r="E705" s="8" t="str">
        <f t="shared" si="1"/>
        <v>Non-Playoff Team</v>
      </c>
      <c r="F705" s="8">
        <v>15.0</v>
      </c>
      <c r="G705" s="8">
        <v>170.0</v>
      </c>
      <c r="H705" s="1" t="s">
        <v>1487</v>
      </c>
      <c r="I705" s="1" t="str">
        <f t="shared" si="2"/>
        <v>Bilal</v>
      </c>
      <c r="J705" s="1" t="str">
        <f t="shared" si="3"/>
        <v>Powell</v>
      </c>
      <c r="K705" s="1" t="str">
        <f t="shared" si="4"/>
        <v>#N/A</v>
      </c>
      <c r="L705" s="1" t="str">
        <f>IFERROR(VLOOKUP($K705,Players!$D:$E,2,FALSE),VLOOKUP($H705,Players!A:E,5,FALSE))</f>
        <v>#N/A</v>
      </c>
    </row>
    <row r="706" ht="15.75" customHeight="1">
      <c r="A706" s="1">
        <v>2018.0</v>
      </c>
      <c r="B706" s="1" t="s">
        <v>36</v>
      </c>
      <c r="C706" s="1" t="s">
        <v>17</v>
      </c>
      <c r="D706" s="8">
        <v>2.0</v>
      </c>
      <c r="E706" s="8" t="str">
        <f t="shared" si="1"/>
        <v>Playoff Team</v>
      </c>
      <c r="F706" s="8">
        <v>1.0</v>
      </c>
      <c r="G706" s="8">
        <v>1.0</v>
      </c>
      <c r="H706" s="1" t="s">
        <v>760</v>
      </c>
      <c r="I706" s="1" t="str">
        <f t="shared" si="2"/>
        <v>Todd</v>
      </c>
      <c r="J706" s="1" t="str">
        <f t="shared" si="3"/>
        <v>Gurley II</v>
      </c>
      <c r="K706" s="1" t="str">
        <f t="shared" si="4"/>
        <v>#N/A</v>
      </c>
      <c r="L706" s="1" t="str">
        <f>IFERROR(VLOOKUP($K706,Players!$D:$E,2,FALSE),VLOOKUP($H706,Players!A:E,5,FALSE))</f>
        <v>#N/A</v>
      </c>
    </row>
    <row r="707" ht="15.75" customHeight="1">
      <c r="A707" s="1">
        <v>2018.0</v>
      </c>
      <c r="B707" s="1" t="s">
        <v>36</v>
      </c>
      <c r="C707" s="1" t="s">
        <v>17</v>
      </c>
      <c r="D707" s="8">
        <v>2.0</v>
      </c>
      <c r="E707" s="8" t="str">
        <f t="shared" si="1"/>
        <v>Playoff Team</v>
      </c>
      <c r="F707" s="8">
        <v>2.0</v>
      </c>
      <c r="G707" s="8">
        <v>24.0</v>
      </c>
      <c r="H707" s="1" t="s">
        <v>176</v>
      </c>
      <c r="I707" s="1" t="str">
        <f t="shared" si="2"/>
        <v>Aaron</v>
      </c>
      <c r="J707" s="1" t="str">
        <f t="shared" si="3"/>
        <v>Rodgers</v>
      </c>
      <c r="K707" s="1" t="str">
        <f t="shared" si="4"/>
        <v>#N/A</v>
      </c>
      <c r="L707" s="1" t="str">
        <f>IFERROR(VLOOKUP($K707,Players!$D:$E,2,FALSE),VLOOKUP($H707,Players!A:E,5,FALSE))</f>
        <v>QB</v>
      </c>
    </row>
    <row r="708" ht="15.75" customHeight="1">
      <c r="A708" s="1">
        <v>2018.0</v>
      </c>
      <c r="B708" s="1" t="s">
        <v>36</v>
      </c>
      <c r="C708" s="1" t="s">
        <v>17</v>
      </c>
      <c r="D708" s="8">
        <v>2.0</v>
      </c>
      <c r="E708" s="8" t="str">
        <f t="shared" si="1"/>
        <v>Playoff Team</v>
      </c>
      <c r="F708" s="8">
        <v>3.0</v>
      </c>
      <c r="G708" s="8">
        <v>25.0</v>
      </c>
      <c r="H708" s="1" t="s">
        <v>654</v>
      </c>
      <c r="I708" s="1" t="str">
        <f t="shared" si="2"/>
        <v>Rob</v>
      </c>
      <c r="J708" s="1" t="str">
        <f t="shared" si="3"/>
        <v>Gronkowski</v>
      </c>
      <c r="K708" s="1" t="str">
        <f t="shared" si="4"/>
        <v>#N/A</v>
      </c>
      <c r="L708" s="1" t="str">
        <f>IFERROR(VLOOKUP($K708,Players!$D:$E,2,FALSE),VLOOKUP($H708,Players!A:E,5,FALSE))</f>
        <v>TE</v>
      </c>
    </row>
    <row r="709" ht="15.75" customHeight="1">
      <c r="A709" s="1">
        <v>2018.0</v>
      </c>
      <c r="B709" s="1" t="s">
        <v>36</v>
      </c>
      <c r="C709" s="1" t="s">
        <v>17</v>
      </c>
      <c r="D709" s="8">
        <v>2.0</v>
      </c>
      <c r="E709" s="8" t="str">
        <f t="shared" si="1"/>
        <v>Playoff Team</v>
      </c>
      <c r="F709" s="8">
        <v>4.0</v>
      </c>
      <c r="G709" s="8">
        <v>48.0</v>
      </c>
      <c r="H709" s="1" t="s">
        <v>95</v>
      </c>
      <c r="I709" s="1" t="str">
        <f t="shared" si="2"/>
        <v>Allen</v>
      </c>
      <c r="J709" s="1" t="str">
        <f t="shared" si="3"/>
        <v>Robinson II</v>
      </c>
      <c r="K709" s="1" t="str">
        <f t="shared" si="4"/>
        <v>#N/A</v>
      </c>
      <c r="L709" s="1" t="str">
        <f>IFERROR(VLOOKUP($K709,Players!$D:$E,2,FALSE),VLOOKUP($H709,Players!A:E,5,FALSE))</f>
        <v>#N/A</v>
      </c>
    </row>
    <row r="710" ht="15.75" customHeight="1">
      <c r="A710" s="1">
        <v>2018.0</v>
      </c>
      <c r="B710" s="1" t="s">
        <v>36</v>
      </c>
      <c r="C710" s="1" t="s">
        <v>17</v>
      </c>
      <c r="D710" s="8">
        <v>2.0</v>
      </c>
      <c r="E710" s="8" t="str">
        <f t="shared" si="1"/>
        <v>Playoff Team</v>
      </c>
      <c r="F710" s="8">
        <v>5.0</v>
      </c>
      <c r="G710" s="8">
        <v>49.0</v>
      </c>
      <c r="H710" s="1" t="s">
        <v>1235</v>
      </c>
      <c r="I710" s="1" t="str">
        <f t="shared" si="2"/>
        <v>Doug</v>
      </c>
      <c r="J710" s="1" t="str">
        <f t="shared" si="3"/>
        <v>Baldwin</v>
      </c>
      <c r="K710" s="1" t="str">
        <f t="shared" si="4"/>
        <v>#N/A</v>
      </c>
      <c r="L710" s="1" t="str">
        <f>IFERROR(VLOOKUP($K710,Players!$D:$E,2,FALSE),VLOOKUP($H710,Players!A:E,5,FALSE))</f>
        <v>WR</v>
      </c>
    </row>
    <row r="711" ht="15.75" customHeight="1">
      <c r="A711" s="1">
        <v>2018.0</v>
      </c>
      <c r="B711" s="1" t="s">
        <v>36</v>
      </c>
      <c r="C711" s="1" t="s">
        <v>17</v>
      </c>
      <c r="D711" s="8">
        <v>2.0</v>
      </c>
      <c r="E711" s="8" t="str">
        <f t="shared" si="1"/>
        <v>Playoff Team</v>
      </c>
      <c r="F711" s="8">
        <v>6.0</v>
      </c>
      <c r="G711" s="8">
        <v>72.0</v>
      </c>
      <c r="H711" s="1" t="s">
        <v>187</v>
      </c>
      <c r="I711" s="1" t="str">
        <f t="shared" si="2"/>
        <v>Jamaal</v>
      </c>
      <c r="J711" s="1" t="str">
        <f t="shared" si="3"/>
        <v>Williams</v>
      </c>
      <c r="K711" s="1" t="str">
        <f t="shared" si="4"/>
        <v>#N/A</v>
      </c>
      <c r="L711" s="1" t="str">
        <f>IFERROR(VLOOKUP($K711,Players!$D:$E,2,FALSE),VLOOKUP($H711,Players!A:E,5,FALSE))</f>
        <v>RB</v>
      </c>
    </row>
    <row r="712" ht="15.75" customHeight="1">
      <c r="A712" s="1">
        <v>2018.0</v>
      </c>
      <c r="B712" s="1" t="s">
        <v>36</v>
      </c>
      <c r="C712" s="1" t="s">
        <v>17</v>
      </c>
      <c r="D712" s="8">
        <v>2.0</v>
      </c>
      <c r="E712" s="8" t="str">
        <f t="shared" si="1"/>
        <v>Playoff Team</v>
      </c>
      <c r="F712" s="8">
        <v>7.0</v>
      </c>
      <c r="G712" s="8">
        <v>73.0</v>
      </c>
      <c r="H712" s="1" t="s">
        <v>1157</v>
      </c>
      <c r="I712" s="1" t="str">
        <f t="shared" si="2"/>
        <v>Devin</v>
      </c>
      <c r="J712" s="1" t="str">
        <f t="shared" si="3"/>
        <v>Funchess</v>
      </c>
      <c r="K712" s="1" t="str">
        <f t="shared" si="4"/>
        <v>#N/A</v>
      </c>
      <c r="L712" s="1" t="str">
        <f>IFERROR(VLOOKUP($K712,Players!$D:$E,2,FALSE),VLOOKUP($H712,Players!A:E,5,FALSE))</f>
        <v>WR</v>
      </c>
    </row>
    <row r="713" ht="15.75" customHeight="1">
      <c r="A713" s="1">
        <v>2018.0</v>
      </c>
      <c r="B713" s="1" t="s">
        <v>36</v>
      </c>
      <c r="C713" s="1" t="s">
        <v>17</v>
      </c>
      <c r="D713" s="8">
        <v>2.0</v>
      </c>
      <c r="E713" s="8" t="str">
        <f t="shared" si="1"/>
        <v>Playoff Team</v>
      </c>
      <c r="F713" s="8">
        <v>8.0</v>
      </c>
      <c r="G713" s="8">
        <v>96.0</v>
      </c>
      <c r="H713" s="1" t="s">
        <v>502</v>
      </c>
      <c r="I713" s="1" t="str">
        <f t="shared" si="2"/>
        <v>#VALUE!</v>
      </c>
      <c r="J713" s="1" t="str">
        <f t="shared" si="3"/>
        <v>#VALUE!</v>
      </c>
      <c r="K713" s="1" t="str">
        <f t="shared" si="4"/>
        <v>#N/A</v>
      </c>
      <c r="L713" s="1" t="str">
        <f>IFERROR(VLOOKUP($K713,Players!$D:$E,2,FALSE),VLOOKUP($H713,Players!A:E,5,FALSE))</f>
        <v>DEF</v>
      </c>
    </row>
    <row r="714" ht="15.75" customHeight="1">
      <c r="A714" s="1">
        <v>2018.0</v>
      </c>
      <c r="B714" s="1" t="s">
        <v>36</v>
      </c>
      <c r="C714" s="1" t="s">
        <v>17</v>
      </c>
      <c r="D714" s="8">
        <v>2.0</v>
      </c>
      <c r="E714" s="8" t="str">
        <f t="shared" si="1"/>
        <v>Playoff Team</v>
      </c>
      <c r="F714" s="8">
        <v>9.0</v>
      </c>
      <c r="G714" s="8">
        <v>97.0</v>
      </c>
      <c r="H714" s="1" t="s">
        <v>1504</v>
      </c>
      <c r="I714" s="1" t="str">
        <f t="shared" si="2"/>
        <v>Jordy</v>
      </c>
      <c r="J714" s="1" t="str">
        <f t="shared" si="3"/>
        <v>Nelson</v>
      </c>
      <c r="K714" s="1" t="str">
        <f t="shared" si="4"/>
        <v>#N/A</v>
      </c>
      <c r="L714" s="1" t="str">
        <f>IFERROR(VLOOKUP($K714,Players!$D:$E,2,FALSE),VLOOKUP($H714,Players!A:E,5,FALSE))</f>
        <v>WR</v>
      </c>
    </row>
    <row r="715" ht="15.75" customHeight="1">
      <c r="A715" s="1">
        <v>2018.0</v>
      </c>
      <c r="B715" s="1" t="s">
        <v>36</v>
      </c>
      <c r="C715" s="1" t="s">
        <v>17</v>
      </c>
      <c r="D715" s="8">
        <v>2.0</v>
      </c>
      <c r="E715" s="8" t="str">
        <f t="shared" si="1"/>
        <v>Playoff Team</v>
      </c>
      <c r="F715" s="8">
        <v>10.0</v>
      </c>
      <c r="G715" s="8">
        <v>120.0</v>
      </c>
      <c r="H715" s="1" t="s">
        <v>891</v>
      </c>
      <c r="I715" s="1" t="str">
        <f t="shared" si="2"/>
        <v>Stephen</v>
      </c>
      <c r="J715" s="1" t="str">
        <f t="shared" si="3"/>
        <v>Gostkowski</v>
      </c>
      <c r="K715" s="1" t="str">
        <f t="shared" si="4"/>
        <v>#N/A</v>
      </c>
      <c r="L715" s="1" t="str">
        <f>IFERROR(VLOOKUP($K715,Players!$D:$E,2,FALSE),VLOOKUP($H715,Players!A:E,5,FALSE))</f>
        <v>K</v>
      </c>
    </row>
    <row r="716" ht="15.75" customHeight="1">
      <c r="A716" s="1">
        <v>2018.0</v>
      </c>
      <c r="B716" s="1" t="s">
        <v>36</v>
      </c>
      <c r="C716" s="1" t="s">
        <v>17</v>
      </c>
      <c r="D716" s="8">
        <v>2.0</v>
      </c>
      <c r="E716" s="8" t="str">
        <f t="shared" si="1"/>
        <v>Playoff Team</v>
      </c>
      <c r="F716" s="8">
        <v>11.0</v>
      </c>
      <c r="G716" s="8">
        <v>121.0</v>
      </c>
      <c r="H716" s="1" t="s">
        <v>247</v>
      </c>
      <c r="I716" s="1" t="str">
        <f t="shared" si="2"/>
        <v>Alfred</v>
      </c>
      <c r="J716" s="1" t="str">
        <f t="shared" si="3"/>
        <v>Morris</v>
      </c>
      <c r="K716" s="1" t="str">
        <f t="shared" si="4"/>
        <v>#N/A</v>
      </c>
      <c r="L716" s="1" t="str">
        <f>IFERROR(VLOOKUP($K716,Players!$D:$E,2,FALSE),VLOOKUP($H716,Players!A:E,5,FALSE))</f>
        <v>RB</v>
      </c>
    </row>
    <row r="717" ht="15.75" customHeight="1">
      <c r="A717" s="1">
        <v>2018.0</v>
      </c>
      <c r="B717" s="1" t="s">
        <v>36</v>
      </c>
      <c r="C717" s="1" t="s">
        <v>17</v>
      </c>
      <c r="D717" s="8">
        <v>2.0</v>
      </c>
      <c r="E717" s="8" t="str">
        <f t="shared" si="1"/>
        <v>Playoff Team</v>
      </c>
      <c r="F717" s="8">
        <v>12.0</v>
      </c>
      <c r="G717" s="8">
        <v>144.0</v>
      </c>
      <c r="H717" s="1" t="s">
        <v>1177</v>
      </c>
      <c r="I717" s="1" t="str">
        <f t="shared" si="2"/>
        <v>Devontae</v>
      </c>
      <c r="J717" s="1" t="str">
        <f t="shared" si="3"/>
        <v>Booker</v>
      </c>
      <c r="K717" s="1" t="str">
        <f t="shared" si="4"/>
        <v>#N/A</v>
      </c>
      <c r="L717" s="1" t="str">
        <f>IFERROR(VLOOKUP($K717,Players!$D:$E,2,FALSE),VLOOKUP($H717,Players!A:E,5,FALSE))</f>
        <v>RB</v>
      </c>
    </row>
    <row r="718" ht="15.75" customHeight="1">
      <c r="A718" s="1">
        <v>2018.0</v>
      </c>
      <c r="B718" s="1" t="s">
        <v>36</v>
      </c>
      <c r="C718" s="1" t="s">
        <v>17</v>
      </c>
      <c r="D718" s="8">
        <v>2.0</v>
      </c>
      <c r="E718" s="8" t="str">
        <f t="shared" si="1"/>
        <v>Playoff Team</v>
      </c>
      <c r="F718" s="8">
        <v>13.0</v>
      </c>
      <c r="G718" s="8">
        <v>145.0</v>
      </c>
      <c r="H718" s="1" t="s">
        <v>478</v>
      </c>
      <c r="I718" s="1" t="str">
        <f t="shared" si="2"/>
        <v>DeVante</v>
      </c>
      <c r="J718" s="1" t="str">
        <f t="shared" si="3"/>
        <v>Parker</v>
      </c>
      <c r="K718" s="1" t="str">
        <f t="shared" si="4"/>
        <v>#N/A</v>
      </c>
      <c r="L718" s="1" t="str">
        <f>IFERROR(VLOOKUP($K718,Players!$D:$E,2,FALSE),VLOOKUP($H718,Players!A:E,5,FALSE))</f>
        <v>WR</v>
      </c>
    </row>
    <row r="719" ht="15.75" customHeight="1">
      <c r="A719" s="1">
        <v>2018.0</v>
      </c>
      <c r="B719" s="1" t="s">
        <v>36</v>
      </c>
      <c r="C719" s="1" t="s">
        <v>17</v>
      </c>
      <c r="D719" s="8">
        <v>2.0</v>
      </c>
      <c r="E719" s="8" t="str">
        <f t="shared" si="1"/>
        <v>Playoff Team</v>
      </c>
      <c r="F719" s="8">
        <v>14.0</v>
      </c>
      <c r="G719" s="8">
        <v>168.0</v>
      </c>
      <c r="H719" s="1" t="s">
        <v>1513</v>
      </c>
      <c r="I719" s="1" t="str">
        <f t="shared" si="2"/>
        <v>Ricky</v>
      </c>
      <c r="J719" s="1" t="str">
        <f t="shared" si="3"/>
        <v>Seals-Jones</v>
      </c>
      <c r="K719" s="1" t="str">
        <f t="shared" si="4"/>
        <v>#N/A</v>
      </c>
      <c r="L719" s="1" t="str">
        <f>IFERROR(VLOOKUP($K719,Players!$D:$E,2,FALSE),VLOOKUP($H719,Players!A:E,5,FALSE))</f>
        <v>TE</v>
      </c>
    </row>
    <row r="720" ht="15.75" customHeight="1">
      <c r="A720" s="1">
        <v>2018.0</v>
      </c>
      <c r="B720" s="1" t="s">
        <v>36</v>
      </c>
      <c r="C720" s="1" t="s">
        <v>17</v>
      </c>
      <c r="D720" s="8">
        <v>2.0</v>
      </c>
      <c r="E720" s="8" t="str">
        <f t="shared" si="1"/>
        <v>Playoff Team</v>
      </c>
      <c r="F720" s="8">
        <v>15.0</v>
      </c>
      <c r="G720" s="8">
        <v>169.0</v>
      </c>
      <c r="H720" s="1" t="s">
        <v>1516</v>
      </c>
      <c r="I720" s="1" t="str">
        <f t="shared" si="2"/>
        <v>Dede</v>
      </c>
      <c r="J720" s="1" t="str">
        <f t="shared" si="3"/>
        <v>Westbrook</v>
      </c>
      <c r="K720" s="1" t="str">
        <f t="shared" si="4"/>
        <v>#N/A</v>
      </c>
      <c r="L720" s="1" t="str">
        <f>IFERROR(VLOOKUP($K720,Players!$D:$E,2,FALSE),VLOOKUP($H720,Players!A:E,5,FALSE))</f>
        <v>#N/A</v>
      </c>
    </row>
    <row r="721" ht="15.75" customHeight="1">
      <c r="A721" s="1">
        <v>2017.0</v>
      </c>
      <c r="B721" s="1" t="s">
        <v>14</v>
      </c>
      <c r="C721" s="1" t="s">
        <v>12</v>
      </c>
      <c r="D721" s="8">
        <v>6.0</v>
      </c>
      <c r="E721" s="8" t="str">
        <f t="shared" si="1"/>
        <v>Playoff Team</v>
      </c>
      <c r="F721" s="8">
        <v>1.0</v>
      </c>
      <c r="G721" s="8">
        <v>4.0</v>
      </c>
      <c r="H721" s="1" t="s">
        <v>96</v>
      </c>
      <c r="I721" s="1" t="str">
        <f t="shared" si="2"/>
        <v>Julio</v>
      </c>
      <c r="J721" s="1" t="str">
        <f t="shared" si="3"/>
        <v>Jones</v>
      </c>
      <c r="K721" s="1" t="str">
        <f t="shared" si="4"/>
        <v>#N/A</v>
      </c>
      <c r="L721" s="1" t="str">
        <f>IFERROR(VLOOKUP($K721,Players!$D:$E,2,FALSE),VLOOKUP($H721,Players!A:E,5,FALSE))</f>
        <v>WR</v>
      </c>
    </row>
    <row r="722" ht="15.75" customHeight="1">
      <c r="A722" s="1">
        <v>2017.0</v>
      </c>
      <c r="B722" s="1" t="s">
        <v>14</v>
      </c>
      <c r="C722" s="1" t="s">
        <v>12</v>
      </c>
      <c r="D722" s="8">
        <v>6.0</v>
      </c>
      <c r="E722" s="8" t="str">
        <f t="shared" si="1"/>
        <v>Playoff Team</v>
      </c>
      <c r="F722" s="8">
        <v>2.0</v>
      </c>
      <c r="G722" s="8">
        <v>21.0</v>
      </c>
      <c r="H722" s="1" t="s">
        <v>699</v>
      </c>
      <c r="I722" s="1" t="str">
        <f t="shared" si="2"/>
        <v>Jordan</v>
      </c>
      <c r="J722" s="1" t="str">
        <f t="shared" si="3"/>
        <v>Howard</v>
      </c>
      <c r="K722" s="1" t="str">
        <f t="shared" si="4"/>
        <v>#N/A</v>
      </c>
      <c r="L722" s="1" t="str">
        <f>IFERROR(VLOOKUP($K722,Players!$D:$E,2,FALSE),VLOOKUP($H722,Players!A:E,5,FALSE))</f>
        <v>RB</v>
      </c>
    </row>
    <row r="723" ht="15.75" customHeight="1">
      <c r="A723" s="1">
        <v>2017.0</v>
      </c>
      <c r="B723" s="1" t="s">
        <v>14</v>
      </c>
      <c r="C723" s="1" t="s">
        <v>12</v>
      </c>
      <c r="D723" s="8">
        <v>6.0</v>
      </c>
      <c r="E723" s="8" t="str">
        <f t="shared" si="1"/>
        <v>Playoff Team</v>
      </c>
      <c r="F723" s="8">
        <v>3.0</v>
      </c>
      <c r="G723" s="8">
        <v>28.0</v>
      </c>
      <c r="H723" s="1" t="s">
        <v>139</v>
      </c>
      <c r="I723" s="1" t="str">
        <f t="shared" si="2"/>
        <v>Travis</v>
      </c>
      <c r="J723" s="1" t="str">
        <f t="shared" si="3"/>
        <v>Kelce</v>
      </c>
      <c r="K723" s="1" t="str">
        <f t="shared" si="4"/>
        <v>#N/A</v>
      </c>
      <c r="L723" s="1" t="str">
        <f>IFERROR(VLOOKUP($K723,Players!$D:$E,2,FALSE),VLOOKUP($H723,Players!A:E,5,FALSE))</f>
        <v>TE</v>
      </c>
    </row>
    <row r="724" ht="15.75" customHeight="1">
      <c r="A724" s="1">
        <v>2017.0</v>
      </c>
      <c r="B724" s="1" t="s">
        <v>14</v>
      </c>
      <c r="C724" s="1" t="s">
        <v>12</v>
      </c>
      <c r="D724" s="8">
        <v>6.0</v>
      </c>
      <c r="E724" s="8" t="str">
        <f t="shared" si="1"/>
        <v>Playoff Team</v>
      </c>
      <c r="F724" s="8">
        <v>4.0</v>
      </c>
      <c r="G724" s="8">
        <v>45.0</v>
      </c>
      <c r="H724" s="1" t="s">
        <v>144</v>
      </c>
      <c r="I724" s="1" t="str">
        <f t="shared" si="2"/>
        <v>Russell</v>
      </c>
      <c r="J724" s="1" t="str">
        <f t="shared" si="3"/>
        <v>Wilson</v>
      </c>
      <c r="K724" s="1" t="str">
        <f t="shared" si="4"/>
        <v>#N/A</v>
      </c>
      <c r="L724" s="1" t="str">
        <f>IFERROR(VLOOKUP($K724,Players!$D:$E,2,FALSE),VLOOKUP($H724,Players!A:E,5,FALSE))</f>
        <v>QB</v>
      </c>
    </row>
    <row r="725" ht="15.75" customHeight="1">
      <c r="A725" s="1">
        <v>2017.0</v>
      </c>
      <c r="B725" s="1" t="s">
        <v>14</v>
      </c>
      <c r="C725" s="1" t="s">
        <v>12</v>
      </c>
      <c r="D725" s="8">
        <v>6.0</v>
      </c>
      <c r="E725" s="8" t="str">
        <f t="shared" si="1"/>
        <v>Playoff Team</v>
      </c>
      <c r="F725" s="8">
        <v>5.0</v>
      </c>
      <c r="G725" s="8">
        <v>52.0</v>
      </c>
      <c r="H725" s="1" t="s">
        <v>213</v>
      </c>
      <c r="I725" s="1" t="str">
        <f t="shared" si="2"/>
        <v>Davante</v>
      </c>
      <c r="J725" s="1" t="str">
        <f t="shared" si="3"/>
        <v>Adams</v>
      </c>
      <c r="K725" s="1" t="str">
        <f t="shared" si="4"/>
        <v>#N/A</v>
      </c>
      <c r="L725" s="1" t="str">
        <f>IFERROR(VLOOKUP($K725,Players!$D:$E,2,FALSE),VLOOKUP($H725,Players!A:E,5,FALSE))</f>
        <v>WR</v>
      </c>
    </row>
    <row r="726" ht="15.75" customHeight="1">
      <c r="A726" s="1">
        <v>2017.0</v>
      </c>
      <c r="B726" s="1" t="s">
        <v>14</v>
      </c>
      <c r="C726" s="1" t="s">
        <v>12</v>
      </c>
      <c r="D726" s="8">
        <v>6.0</v>
      </c>
      <c r="E726" s="8" t="str">
        <f t="shared" si="1"/>
        <v>Playoff Team</v>
      </c>
      <c r="F726" s="8">
        <v>6.0</v>
      </c>
      <c r="G726" s="8">
        <v>69.0</v>
      </c>
      <c r="H726" s="1" t="s">
        <v>724</v>
      </c>
      <c r="I726" s="1" t="str">
        <f t="shared" si="2"/>
        <v>Mark</v>
      </c>
      <c r="J726" s="1" t="str">
        <f t="shared" si="3"/>
        <v>Ingram II</v>
      </c>
      <c r="K726" s="1" t="str">
        <f t="shared" si="4"/>
        <v>#N/A</v>
      </c>
      <c r="L726" s="1" t="str">
        <f>IFERROR(VLOOKUP($K726,Players!$D:$E,2,FALSE),VLOOKUP($H726,Players!A:E,5,FALSE))</f>
        <v>#N/A</v>
      </c>
    </row>
    <row r="727" ht="15.75" customHeight="1">
      <c r="A727" s="1">
        <v>2017.0</v>
      </c>
      <c r="B727" s="1" t="s">
        <v>14</v>
      </c>
      <c r="C727" s="1" t="s">
        <v>12</v>
      </c>
      <c r="D727" s="8">
        <v>6.0</v>
      </c>
      <c r="E727" s="8" t="str">
        <f t="shared" si="1"/>
        <v>Playoff Team</v>
      </c>
      <c r="F727" s="8">
        <v>7.0</v>
      </c>
      <c r="G727" s="8">
        <v>76.0</v>
      </c>
      <c r="H727" s="1" t="s">
        <v>472</v>
      </c>
      <c r="I727" s="1" t="str">
        <f t="shared" si="2"/>
        <v>Bilal</v>
      </c>
      <c r="J727" s="1" t="str">
        <f t="shared" si="3"/>
        <v>Powell</v>
      </c>
      <c r="K727" s="1" t="str">
        <f t="shared" si="4"/>
        <v>#N/A</v>
      </c>
      <c r="L727" s="1" t="str">
        <f>IFERROR(VLOOKUP($K727,Players!$D:$E,2,FALSE),VLOOKUP($H727,Players!A:E,5,FALSE))</f>
        <v>RB</v>
      </c>
    </row>
    <row r="728" ht="15.75" customHeight="1">
      <c r="A728" s="1">
        <v>2017.0</v>
      </c>
      <c r="B728" s="1" t="s">
        <v>14</v>
      </c>
      <c r="C728" s="1" t="s">
        <v>12</v>
      </c>
      <c r="D728" s="8">
        <v>6.0</v>
      </c>
      <c r="E728" s="8" t="str">
        <f t="shared" si="1"/>
        <v>Playoff Team</v>
      </c>
      <c r="F728" s="8">
        <v>8.0</v>
      </c>
      <c r="G728" s="8">
        <v>93.0</v>
      </c>
      <c r="H728" s="1" t="s">
        <v>1533</v>
      </c>
      <c r="I728" s="1" t="str">
        <f t="shared" si="2"/>
        <v>Theo</v>
      </c>
      <c r="J728" s="1" t="str">
        <f t="shared" si="3"/>
        <v>Riddick</v>
      </c>
      <c r="K728" s="1" t="str">
        <f t="shared" si="4"/>
        <v>#N/A</v>
      </c>
      <c r="L728" s="1" t="str">
        <f>IFERROR(VLOOKUP($K728,Players!$D:$E,2,FALSE),VLOOKUP($H728,Players!A:E,5,FALSE))</f>
        <v>RB</v>
      </c>
    </row>
    <row r="729" ht="15.75" customHeight="1">
      <c r="A729" s="1">
        <v>2017.0</v>
      </c>
      <c r="B729" s="1" t="s">
        <v>14</v>
      </c>
      <c r="C729" s="1" t="s">
        <v>12</v>
      </c>
      <c r="D729" s="8">
        <v>6.0</v>
      </c>
      <c r="E729" s="8" t="str">
        <f t="shared" si="1"/>
        <v>Playoff Team</v>
      </c>
      <c r="F729" s="8">
        <v>9.0</v>
      </c>
      <c r="G729" s="8">
        <v>100.0</v>
      </c>
      <c r="H729" s="1" t="s">
        <v>105</v>
      </c>
      <c r="I729" s="1" t="str">
        <f t="shared" si="2"/>
        <v>#VALUE!</v>
      </c>
      <c r="J729" s="1" t="str">
        <f t="shared" si="3"/>
        <v>#VALUE!</v>
      </c>
      <c r="K729" s="1" t="str">
        <f t="shared" si="4"/>
        <v>#N/A</v>
      </c>
      <c r="L729" s="1" t="str">
        <f>IFERROR(VLOOKUP($K729,Players!$D:$E,2,FALSE),VLOOKUP($H729,Players!A:E,5,FALSE))</f>
        <v>DEF</v>
      </c>
    </row>
    <row r="730" ht="15.75" customHeight="1">
      <c r="A730" s="1">
        <v>2017.0</v>
      </c>
      <c r="B730" s="1" t="s">
        <v>14</v>
      </c>
      <c r="C730" s="1" t="s">
        <v>12</v>
      </c>
      <c r="D730" s="8">
        <v>6.0</v>
      </c>
      <c r="E730" s="8" t="str">
        <f t="shared" si="1"/>
        <v>Playoff Team</v>
      </c>
      <c r="F730" s="8">
        <v>10.0</v>
      </c>
      <c r="G730" s="8">
        <v>117.0</v>
      </c>
      <c r="H730" s="1" t="s">
        <v>1541</v>
      </c>
      <c r="I730" s="1" t="str">
        <f t="shared" si="2"/>
        <v>Kenny</v>
      </c>
      <c r="J730" s="1" t="str">
        <f t="shared" si="3"/>
        <v>Britt</v>
      </c>
      <c r="K730" s="1" t="str">
        <f t="shared" si="4"/>
        <v>#N/A</v>
      </c>
      <c r="L730" s="1" t="str">
        <f>IFERROR(VLOOKUP($K730,Players!$D:$E,2,FALSE),VLOOKUP($H730,Players!A:E,5,FALSE))</f>
        <v>WR</v>
      </c>
    </row>
    <row r="731" ht="15.75" customHeight="1">
      <c r="A731" s="1">
        <v>2017.0</v>
      </c>
      <c r="B731" s="1" t="s">
        <v>14</v>
      </c>
      <c r="C731" s="1" t="s">
        <v>12</v>
      </c>
      <c r="D731" s="8">
        <v>6.0</v>
      </c>
      <c r="E731" s="8" t="str">
        <f t="shared" si="1"/>
        <v>Playoff Team</v>
      </c>
      <c r="F731" s="8">
        <v>11.0</v>
      </c>
      <c r="G731" s="8">
        <v>124.0</v>
      </c>
      <c r="H731" s="1" t="s">
        <v>1351</v>
      </c>
      <c r="I731" s="1" t="str">
        <f t="shared" si="2"/>
        <v>LeGarrette</v>
      </c>
      <c r="J731" s="1" t="str">
        <f t="shared" si="3"/>
        <v>Blount</v>
      </c>
      <c r="K731" s="1" t="str">
        <f t="shared" si="4"/>
        <v>#N/A</v>
      </c>
      <c r="L731" s="1" t="str">
        <f>IFERROR(VLOOKUP($K731,Players!$D:$E,2,FALSE),VLOOKUP($H731,Players!A:E,5,FALSE))</f>
        <v>RB</v>
      </c>
    </row>
    <row r="732" ht="15.75" customHeight="1">
      <c r="A732" s="1">
        <v>2017.0</v>
      </c>
      <c r="B732" s="1" t="s">
        <v>14</v>
      </c>
      <c r="C732" s="1" t="s">
        <v>12</v>
      </c>
      <c r="D732" s="8">
        <v>6.0</v>
      </c>
      <c r="E732" s="8" t="str">
        <f t="shared" si="1"/>
        <v>Playoff Team</v>
      </c>
      <c r="F732" s="8">
        <v>12.0</v>
      </c>
      <c r="G732" s="8">
        <v>141.0</v>
      </c>
      <c r="H732" s="1" t="s">
        <v>1546</v>
      </c>
      <c r="I732" s="1" t="str">
        <f t="shared" si="2"/>
        <v>Ted</v>
      </c>
      <c r="J732" s="1" t="str">
        <f t="shared" si="3"/>
        <v>Ginn Jr</v>
      </c>
      <c r="K732" s="1" t="str">
        <f t="shared" si="4"/>
        <v>#N/A</v>
      </c>
      <c r="L732" s="1" t="str">
        <f>IFERROR(VLOOKUP($K732,Players!$D:$E,2,FALSE),VLOOKUP($H732,Players!A:E,5,FALSE))</f>
        <v>#N/A</v>
      </c>
    </row>
    <row r="733" ht="15.75" customHeight="1">
      <c r="A733" s="1">
        <v>2017.0</v>
      </c>
      <c r="B733" s="1" t="s">
        <v>14</v>
      </c>
      <c r="C733" s="1" t="s">
        <v>12</v>
      </c>
      <c r="D733" s="8">
        <v>6.0</v>
      </c>
      <c r="E733" s="8" t="str">
        <f t="shared" si="1"/>
        <v>Playoff Team</v>
      </c>
      <c r="F733" s="8">
        <v>13.0</v>
      </c>
      <c r="G733" s="8">
        <v>148.0</v>
      </c>
      <c r="H733" s="1" t="s">
        <v>1316</v>
      </c>
      <c r="I733" s="1" t="str">
        <f t="shared" si="2"/>
        <v>Eric</v>
      </c>
      <c r="J733" s="1" t="str">
        <f t="shared" si="3"/>
        <v>Ebron</v>
      </c>
      <c r="K733" s="1" t="str">
        <f t="shared" si="4"/>
        <v>#N/A</v>
      </c>
      <c r="L733" s="1" t="str">
        <f>IFERROR(VLOOKUP($K733,Players!$D:$E,2,FALSE),VLOOKUP($H733,Players!A:E,5,FALSE))</f>
        <v>TE</v>
      </c>
    </row>
    <row r="734" ht="15.75" customHeight="1">
      <c r="A734" s="1">
        <v>2017.0</v>
      </c>
      <c r="B734" s="1" t="s">
        <v>14</v>
      </c>
      <c r="C734" s="1" t="s">
        <v>12</v>
      </c>
      <c r="D734" s="8">
        <v>6.0</v>
      </c>
      <c r="E734" s="8" t="str">
        <f t="shared" si="1"/>
        <v>Playoff Team</v>
      </c>
      <c r="F734" s="8">
        <v>14.0</v>
      </c>
      <c r="G734" s="8">
        <v>165.0</v>
      </c>
      <c r="H734" s="1" t="s">
        <v>1547</v>
      </c>
      <c r="I734" s="1" t="str">
        <f t="shared" si="2"/>
        <v>Mike</v>
      </c>
      <c r="J734" s="1" t="str">
        <f t="shared" si="3"/>
        <v>Wallace</v>
      </c>
      <c r="K734" s="1" t="str">
        <f t="shared" si="4"/>
        <v>#N/A</v>
      </c>
      <c r="L734" s="1" t="str">
        <f>IFERROR(VLOOKUP($K734,Players!$D:$E,2,FALSE),VLOOKUP($H734,Players!A:E,5,FALSE))</f>
        <v>WR</v>
      </c>
    </row>
    <row r="735" ht="15.75" customHeight="1">
      <c r="A735" s="1">
        <v>2017.0</v>
      </c>
      <c r="B735" s="1" t="s">
        <v>14</v>
      </c>
      <c r="C735" s="1" t="s">
        <v>12</v>
      </c>
      <c r="D735" s="8">
        <v>6.0</v>
      </c>
      <c r="E735" s="8" t="str">
        <f t="shared" si="1"/>
        <v>Playoff Team</v>
      </c>
      <c r="F735" s="8">
        <v>15.0</v>
      </c>
      <c r="G735" s="8">
        <v>172.0</v>
      </c>
      <c r="H735" s="1" t="s">
        <v>669</v>
      </c>
      <c r="I735" s="1" t="str">
        <f t="shared" si="2"/>
        <v>Cairo</v>
      </c>
      <c r="J735" s="1" t="str">
        <f t="shared" si="3"/>
        <v>Santos</v>
      </c>
      <c r="K735" s="1" t="str">
        <f t="shared" si="4"/>
        <v>#N/A</v>
      </c>
      <c r="L735" s="1" t="str">
        <f>IFERROR(VLOOKUP($K735,Players!$D:$E,2,FALSE),VLOOKUP($H735,Players!A:E,5,FALSE))</f>
        <v>K</v>
      </c>
    </row>
    <row r="736" ht="15.75" customHeight="1">
      <c r="A736" s="1">
        <v>2017.0</v>
      </c>
      <c r="B736" s="1" t="s">
        <v>32</v>
      </c>
      <c r="C736" s="1" t="s">
        <v>25</v>
      </c>
      <c r="D736" s="8">
        <v>2.0</v>
      </c>
      <c r="E736" s="8" t="str">
        <f t="shared" si="1"/>
        <v>Playoff Team</v>
      </c>
      <c r="F736" s="8">
        <v>1.0</v>
      </c>
      <c r="G736" s="8">
        <v>8.0</v>
      </c>
      <c r="H736" s="1" t="s">
        <v>152</v>
      </c>
      <c r="I736" s="1" t="str">
        <f t="shared" si="2"/>
        <v>AJ</v>
      </c>
      <c r="J736" s="1" t="str">
        <f t="shared" si="3"/>
        <v>Green</v>
      </c>
      <c r="K736" s="1" t="str">
        <f t="shared" si="4"/>
        <v>#N/A</v>
      </c>
      <c r="L736" s="1" t="str">
        <f>IFERROR(VLOOKUP($K736,Players!$D:$E,2,FALSE),VLOOKUP($H736,Players!A:E,5,FALSE))</f>
        <v>WR</v>
      </c>
    </row>
    <row r="737" ht="15.75" customHeight="1">
      <c r="A737" s="1">
        <v>2017.0</v>
      </c>
      <c r="B737" s="1" t="s">
        <v>32</v>
      </c>
      <c r="C737" s="1" t="s">
        <v>25</v>
      </c>
      <c r="D737" s="8">
        <v>2.0</v>
      </c>
      <c r="E737" s="8" t="str">
        <f t="shared" si="1"/>
        <v>Playoff Team</v>
      </c>
      <c r="F737" s="8">
        <v>2.0</v>
      </c>
      <c r="G737" s="8">
        <v>17.0</v>
      </c>
      <c r="H737" s="1" t="s">
        <v>123</v>
      </c>
      <c r="I737" s="1" t="str">
        <f t="shared" si="2"/>
        <v>Ezekiel</v>
      </c>
      <c r="J737" s="1" t="str">
        <f t="shared" si="3"/>
        <v>Elliott</v>
      </c>
      <c r="K737" s="1" t="str">
        <f t="shared" si="4"/>
        <v>#N/A</v>
      </c>
      <c r="L737" s="1" t="str">
        <f>IFERROR(VLOOKUP($K737,Players!$D:$E,2,FALSE),VLOOKUP($H737,Players!A:E,5,FALSE))</f>
        <v>RB</v>
      </c>
    </row>
    <row r="738" ht="15.75" customHeight="1">
      <c r="A738" s="1">
        <v>2017.0</v>
      </c>
      <c r="B738" s="1" t="s">
        <v>32</v>
      </c>
      <c r="C738" s="1" t="s">
        <v>25</v>
      </c>
      <c r="D738" s="8">
        <v>2.0</v>
      </c>
      <c r="E738" s="8" t="str">
        <f t="shared" si="1"/>
        <v>Playoff Team</v>
      </c>
      <c r="F738" s="8">
        <v>3.0</v>
      </c>
      <c r="G738" s="8">
        <v>32.0</v>
      </c>
      <c r="H738" s="1" t="s">
        <v>1553</v>
      </c>
      <c r="I738" s="1" t="str">
        <f t="shared" si="2"/>
        <v>Terrelle</v>
      </c>
      <c r="J738" s="1" t="str">
        <f t="shared" si="3"/>
        <v>Pryor Sr</v>
      </c>
      <c r="K738" s="1" t="str">
        <f t="shared" si="4"/>
        <v>#N/A</v>
      </c>
      <c r="L738" s="1" t="str">
        <f>IFERROR(VLOOKUP($K738,Players!$D:$E,2,FALSE),VLOOKUP($H738,Players!A:E,5,FALSE))</f>
        <v>#N/A</v>
      </c>
    </row>
    <row r="739" ht="15.75" customHeight="1">
      <c r="A739" s="1">
        <v>2017.0</v>
      </c>
      <c r="B739" s="1" t="s">
        <v>32</v>
      </c>
      <c r="C739" s="1" t="s">
        <v>25</v>
      </c>
      <c r="D739" s="8">
        <v>2.0</v>
      </c>
      <c r="E739" s="8" t="str">
        <f t="shared" si="1"/>
        <v>Playoff Team</v>
      </c>
      <c r="F739" s="8">
        <v>4.0</v>
      </c>
      <c r="G739" s="8">
        <v>41.0</v>
      </c>
      <c r="H739" s="1" t="s">
        <v>1473</v>
      </c>
      <c r="I739" s="1" t="str">
        <f t="shared" si="2"/>
        <v>Isaiah</v>
      </c>
      <c r="J739" s="1" t="str">
        <f t="shared" si="3"/>
        <v>Crowell</v>
      </c>
      <c r="K739" s="1" t="str">
        <f t="shared" si="4"/>
        <v>#N/A</v>
      </c>
      <c r="L739" s="1" t="str">
        <f>IFERROR(VLOOKUP($K739,Players!$D:$E,2,FALSE),VLOOKUP($H739,Players!A:E,5,FALSE))</f>
        <v>RB</v>
      </c>
    </row>
    <row r="740" ht="15.75" customHeight="1">
      <c r="A740" s="1">
        <v>2017.0</v>
      </c>
      <c r="B740" s="1" t="s">
        <v>32</v>
      </c>
      <c r="C740" s="1" t="s">
        <v>25</v>
      </c>
      <c r="D740" s="8">
        <v>2.0</v>
      </c>
      <c r="E740" s="8" t="str">
        <f t="shared" si="1"/>
        <v>Playoff Team</v>
      </c>
      <c r="F740" s="8">
        <v>5.0</v>
      </c>
      <c r="G740" s="8">
        <v>56.0</v>
      </c>
      <c r="H740" s="1" t="s">
        <v>95</v>
      </c>
      <c r="I740" s="1" t="str">
        <f t="shared" si="2"/>
        <v>Allen</v>
      </c>
      <c r="J740" s="1" t="str">
        <f t="shared" si="3"/>
        <v>Robinson II</v>
      </c>
      <c r="K740" s="1" t="str">
        <f t="shared" si="4"/>
        <v>#N/A</v>
      </c>
      <c r="L740" s="1" t="str">
        <f>IFERROR(VLOOKUP($K740,Players!$D:$E,2,FALSE),VLOOKUP($H740,Players!A:E,5,FALSE))</f>
        <v>#N/A</v>
      </c>
    </row>
    <row r="741" ht="15.75" customHeight="1">
      <c r="A741" s="1">
        <v>2017.0</v>
      </c>
      <c r="B741" s="1" t="s">
        <v>32</v>
      </c>
      <c r="C741" s="1" t="s">
        <v>25</v>
      </c>
      <c r="D741" s="8">
        <v>2.0</v>
      </c>
      <c r="E741" s="8" t="str">
        <f t="shared" si="1"/>
        <v>Playoff Team</v>
      </c>
      <c r="F741" s="8">
        <v>6.0</v>
      </c>
      <c r="G741" s="8">
        <v>65.0</v>
      </c>
      <c r="H741" s="1" t="s">
        <v>1015</v>
      </c>
      <c r="I741" s="1" t="str">
        <f t="shared" si="2"/>
        <v>Darren</v>
      </c>
      <c r="J741" s="1" t="str">
        <f t="shared" si="3"/>
        <v>McFadden</v>
      </c>
      <c r="K741" s="1" t="str">
        <f t="shared" si="4"/>
        <v>#N/A</v>
      </c>
      <c r="L741" s="1" t="str">
        <f>IFERROR(VLOOKUP($K741,Players!$D:$E,2,FALSE),VLOOKUP($H741,Players!A:E,5,FALSE))</f>
        <v>RB</v>
      </c>
    </row>
    <row r="742" ht="15.75" customHeight="1">
      <c r="A742" s="1">
        <v>2017.0</v>
      </c>
      <c r="B742" s="1" t="s">
        <v>32</v>
      </c>
      <c r="C742" s="1" t="s">
        <v>25</v>
      </c>
      <c r="D742" s="8">
        <v>2.0</v>
      </c>
      <c r="E742" s="8" t="str">
        <f t="shared" si="1"/>
        <v>Playoff Team</v>
      </c>
      <c r="F742" s="8">
        <v>7.0</v>
      </c>
      <c r="G742" s="8">
        <v>80.0</v>
      </c>
      <c r="H742" s="1" t="s">
        <v>412</v>
      </c>
      <c r="I742" s="1" t="str">
        <f t="shared" si="2"/>
        <v>Kirk</v>
      </c>
      <c r="J742" s="1" t="str">
        <f t="shared" si="3"/>
        <v>Cousins</v>
      </c>
      <c r="K742" s="1" t="str">
        <f t="shared" si="4"/>
        <v>#N/A</v>
      </c>
      <c r="L742" s="1" t="str">
        <f>IFERROR(VLOOKUP($K742,Players!$D:$E,2,FALSE),VLOOKUP($H742,Players!A:E,5,FALSE))</f>
        <v>QB</v>
      </c>
    </row>
    <row r="743" ht="15.75" customHeight="1">
      <c r="A743" s="1">
        <v>2017.0</v>
      </c>
      <c r="B743" s="1" t="s">
        <v>32</v>
      </c>
      <c r="C743" s="1" t="s">
        <v>25</v>
      </c>
      <c r="D743" s="8">
        <v>2.0</v>
      </c>
      <c r="E743" s="8" t="str">
        <f t="shared" si="1"/>
        <v>Playoff Team</v>
      </c>
      <c r="F743" s="8">
        <v>8.0</v>
      </c>
      <c r="G743" s="8">
        <v>89.0</v>
      </c>
      <c r="H743" s="1" t="s">
        <v>112</v>
      </c>
      <c r="I743" s="1" t="str">
        <f t="shared" si="2"/>
        <v>Adam</v>
      </c>
      <c r="J743" s="1" t="str">
        <f t="shared" si="3"/>
        <v>Thielen</v>
      </c>
      <c r="K743" s="1" t="str">
        <f t="shared" si="4"/>
        <v>#N/A</v>
      </c>
      <c r="L743" s="1" t="str">
        <f>IFERROR(VLOOKUP($K743,Players!$D:$E,2,FALSE),VLOOKUP($H743,Players!A:E,5,FALSE))</f>
        <v>WR</v>
      </c>
    </row>
    <row r="744" ht="15.75" customHeight="1">
      <c r="A744" s="1">
        <v>2017.0</v>
      </c>
      <c r="B744" s="1" t="s">
        <v>32</v>
      </c>
      <c r="C744" s="1" t="s">
        <v>25</v>
      </c>
      <c r="D744" s="8">
        <v>2.0</v>
      </c>
      <c r="E744" s="8" t="str">
        <f t="shared" si="1"/>
        <v>Playoff Team</v>
      </c>
      <c r="F744" s="8">
        <v>9.0</v>
      </c>
      <c r="G744" s="8">
        <v>104.0</v>
      </c>
      <c r="H744" s="1" t="s">
        <v>452</v>
      </c>
      <c r="I744" s="1" t="str">
        <f t="shared" si="2"/>
        <v>James</v>
      </c>
      <c r="J744" s="1" t="str">
        <f t="shared" si="3"/>
        <v>White</v>
      </c>
      <c r="K744" s="1" t="str">
        <f t="shared" si="4"/>
        <v>#N/A</v>
      </c>
      <c r="L744" s="1" t="str">
        <f>IFERROR(VLOOKUP($K744,Players!$D:$E,2,FALSE),VLOOKUP($H744,Players!A:E,5,FALSE))</f>
        <v>RB</v>
      </c>
    </row>
    <row r="745" ht="15.75" customHeight="1">
      <c r="A745" s="1">
        <v>2017.0</v>
      </c>
      <c r="B745" s="1" t="s">
        <v>32</v>
      </c>
      <c r="C745" s="1" t="s">
        <v>25</v>
      </c>
      <c r="D745" s="8">
        <v>2.0</v>
      </c>
      <c r="E745" s="8" t="str">
        <f t="shared" si="1"/>
        <v>Playoff Team</v>
      </c>
      <c r="F745" s="8">
        <v>10.0</v>
      </c>
      <c r="G745" s="8">
        <v>113.0</v>
      </c>
      <c r="H745" s="1" t="s">
        <v>1342</v>
      </c>
      <c r="I745" s="1" t="str">
        <f t="shared" si="2"/>
        <v>Jack</v>
      </c>
      <c r="J745" s="1" t="str">
        <f t="shared" si="3"/>
        <v>Doyle</v>
      </c>
      <c r="K745" s="1" t="str">
        <f t="shared" si="4"/>
        <v>#N/A</v>
      </c>
      <c r="L745" s="1" t="str">
        <f>IFERROR(VLOOKUP($K745,Players!$D:$E,2,FALSE),VLOOKUP($H745,Players!A:E,5,FALSE))</f>
        <v>TE</v>
      </c>
    </row>
    <row r="746" ht="15.75" customHeight="1">
      <c r="A746" s="1">
        <v>2017.0</v>
      </c>
      <c r="B746" s="1" t="s">
        <v>32</v>
      </c>
      <c r="C746" s="1" t="s">
        <v>25</v>
      </c>
      <c r="D746" s="8">
        <v>2.0</v>
      </c>
      <c r="E746" s="8" t="str">
        <f t="shared" si="1"/>
        <v>Playoff Team</v>
      </c>
      <c r="F746" s="8">
        <v>11.0</v>
      </c>
      <c r="G746" s="8">
        <v>128.0</v>
      </c>
      <c r="H746" s="1" t="s">
        <v>891</v>
      </c>
      <c r="I746" s="1" t="str">
        <f t="shared" si="2"/>
        <v>Stephen</v>
      </c>
      <c r="J746" s="1" t="str">
        <f t="shared" si="3"/>
        <v>Gostkowski</v>
      </c>
      <c r="K746" s="1" t="str">
        <f t="shared" si="4"/>
        <v>#N/A</v>
      </c>
      <c r="L746" s="1" t="str">
        <f>IFERROR(VLOOKUP($K746,Players!$D:$E,2,FALSE),VLOOKUP($H746,Players!A:E,5,FALSE))</f>
        <v>K</v>
      </c>
    </row>
    <row r="747" ht="15.75" customHeight="1">
      <c r="A747" s="1">
        <v>2017.0</v>
      </c>
      <c r="B747" s="1" t="s">
        <v>32</v>
      </c>
      <c r="C747" s="1" t="s">
        <v>25</v>
      </c>
      <c r="D747" s="8">
        <v>2.0</v>
      </c>
      <c r="E747" s="8" t="str">
        <f t="shared" si="1"/>
        <v>Playoff Team</v>
      </c>
      <c r="F747" s="8">
        <v>12.0</v>
      </c>
      <c r="G747" s="8">
        <v>137.0</v>
      </c>
      <c r="H747" s="1" t="s">
        <v>368</v>
      </c>
      <c r="I747" s="1" t="str">
        <f t="shared" si="2"/>
        <v>#VALUE!</v>
      </c>
      <c r="J747" s="1" t="str">
        <f t="shared" si="3"/>
        <v>#VALUE!</v>
      </c>
      <c r="K747" s="1" t="str">
        <f t="shared" si="4"/>
        <v>#N/A</v>
      </c>
      <c r="L747" s="1" t="str">
        <f>IFERROR(VLOOKUP($K747,Players!$D:$E,2,FALSE),VLOOKUP($H747,Players!A:E,5,FALSE))</f>
        <v>DEF</v>
      </c>
    </row>
    <row r="748" ht="15.75" customHeight="1">
      <c r="A748" s="1">
        <v>2017.0</v>
      </c>
      <c r="B748" s="1" t="s">
        <v>32</v>
      </c>
      <c r="C748" s="1" t="s">
        <v>25</v>
      </c>
      <c r="D748" s="8">
        <v>2.0</v>
      </c>
      <c r="E748" s="8" t="str">
        <f t="shared" si="1"/>
        <v>Playoff Team</v>
      </c>
      <c r="F748" s="8">
        <v>13.0</v>
      </c>
      <c r="G748" s="8">
        <v>152.0</v>
      </c>
      <c r="H748" s="1" t="s">
        <v>1555</v>
      </c>
      <c r="I748" s="1" t="str">
        <f t="shared" si="2"/>
        <v>Vernon</v>
      </c>
      <c r="J748" s="1" t="str">
        <f t="shared" si="3"/>
        <v>Davis</v>
      </c>
      <c r="K748" s="1" t="str">
        <f t="shared" si="4"/>
        <v>#N/A</v>
      </c>
      <c r="L748" s="1" t="str">
        <f>IFERROR(VLOOKUP($K748,Players!$D:$E,2,FALSE),VLOOKUP($H748,Players!A:E,5,FALSE))</f>
        <v>TE</v>
      </c>
    </row>
    <row r="749" ht="15.75" customHeight="1">
      <c r="A749" s="1">
        <v>2017.0</v>
      </c>
      <c r="B749" s="1" t="s">
        <v>32</v>
      </c>
      <c r="C749" s="1" t="s">
        <v>25</v>
      </c>
      <c r="D749" s="8">
        <v>2.0</v>
      </c>
      <c r="E749" s="8" t="str">
        <f t="shared" si="1"/>
        <v>Playoff Team</v>
      </c>
      <c r="F749" s="8">
        <v>14.0</v>
      </c>
      <c r="G749" s="8">
        <v>161.0</v>
      </c>
      <c r="H749" s="1" t="s">
        <v>1556</v>
      </c>
      <c r="I749" s="1" t="str">
        <f t="shared" si="2"/>
        <v>Torrey</v>
      </c>
      <c r="J749" s="1" t="str">
        <f t="shared" si="3"/>
        <v>Smith</v>
      </c>
      <c r="K749" s="1" t="str">
        <f t="shared" si="4"/>
        <v>#N/A</v>
      </c>
      <c r="L749" s="1" t="str">
        <f>IFERROR(VLOOKUP($K749,Players!$D:$E,2,FALSE),VLOOKUP($H749,Players!A:E,5,FALSE))</f>
        <v>WR</v>
      </c>
    </row>
    <row r="750" ht="15.75" customHeight="1">
      <c r="A750" s="1">
        <v>2017.0</v>
      </c>
      <c r="B750" s="1" t="s">
        <v>32</v>
      </c>
      <c r="C750" s="1" t="s">
        <v>25</v>
      </c>
      <c r="D750" s="8">
        <v>2.0</v>
      </c>
      <c r="E750" s="8" t="str">
        <f t="shared" si="1"/>
        <v>Playoff Team</v>
      </c>
      <c r="F750" s="8">
        <v>15.0</v>
      </c>
      <c r="G750" s="8">
        <v>176.0</v>
      </c>
      <c r="H750" s="1" t="s">
        <v>1558</v>
      </c>
      <c r="I750" s="1" t="str">
        <f t="shared" si="2"/>
        <v>Dwayne</v>
      </c>
      <c r="J750" s="1" t="str">
        <f t="shared" si="3"/>
        <v>Allen</v>
      </c>
      <c r="K750" s="1" t="str">
        <f t="shared" si="4"/>
        <v>#N/A</v>
      </c>
      <c r="L750" s="1" t="str">
        <f>IFERROR(VLOOKUP($K750,Players!$D:$E,2,FALSE),VLOOKUP($H750,Players!A:E,5,FALSE))</f>
        <v>#N/A</v>
      </c>
    </row>
    <row r="751" ht="15.75" customHeight="1">
      <c r="A751" s="1">
        <v>2017.0</v>
      </c>
      <c r="B751" s="1" t="s">
        <v>57</v>
      </c>
      <c r="C751" s="1" t="s">
        <v>10</v>
      </c>
      <c r="D751" s="8">
        <v>4.0</v>
      </c>
      <c r="E751" s="8" t="str">
        <f t="shared" si="1"/>
        <v>Playoff Team</v>
      </c>
      <c r="F751" s="8">
        <v>1.0</v>
      </c>
      <c r="G751" s="8">
        <v>2.0</v>
      </c>
      <c r="H751" s="1" t="s">
        <v>788</v>
      </c>
      <c r="I751" s="1" t="str">
        <f t="shared" si="2"/>
        <v>Le'Veon</v>
      </c>
      <c r="J751" s="1" t="str">
        <f t="shared" si="3"/>
        <v>Bell</v>
      </c>
      <c r="K751" s="1" t="str">
        <f t="shared" si="4"/>
        <v>#N/A</v>
      </c>
      <c r="L751" s="1" t="str">
        <f>IFERROR(VLOOKUP($K751,Players!$D:$E,2,FALSE),VLOOKUP($H751,Players!A:E,5,FALSE))</f>
        <v>RB</v>
      </c>
    </row>
    <row r="752" ht="15.75" customHeight="1">
      <c r="A752" s="1">
        <v>2017.0</v>
      </c>
      <c r="B752" s="1" t="s">
        <v>57</v>
      </c>
      <c r="C752" s="1" t="s">
        <v>10</v>
      </c>
      <c r="D752" s="8">
        <v>4.0</v>
      </c>
      <c r="E752" s="8" t="str">
        <f t="shared" si="1"/>
        <v>Playoff Team</v>
      </c>
      <c r="F752" s="8">
        <v>2.0</v>
      </c>
      <c r="G752" s="8">
        <v>23.0</v>
      </c>
      <c r="H752" s="1" t="s">
        <v>654</v>
      </c>
      <c r="I752" s="1" t="str">
        <f t="shared" si="2"/>
        <v>Rob</v>
      </c>
      <c r="J752" s="1" t="str">
        <f t="shared" si="3"/>
        <v>Gronkowski</v>
      </c>
      <c r="K752" s="1" t="str">
        <f t="shared" si="4"/>
        <v>#N/A</v>
      </c>
      <c r="L752" s="1" t="str">
        <f>IFERROR(VLOOKUP($K752,Players!$D:$E,2,FALSE),VLOOKUP($H752,Players!A:E,5,FALSE))</f>
        <v>TE</v>
      </c>
    </row>
    <row r="753" ht="15.75" customHeight="1">
      <c r="A753" s="1">
        <v>2017.0</v>
      </c>
      <c r="B753" s="1" t="s">
        <v>57</v>
      </c>
      <c r="C753" s="1" t="s">
        <v>10</v>
      </c>
      <c r="D753" s="8">
        <v>4.0</v>
      </c>
      <c r="E753" s="8" t="str">
        <f t="shared" si="1"/>
        <v>Playoff Team</v>
      </c>
      <c r="F753" s="8">
        <v>3.0</v>
      </c>
      <c r="G753" s="8">
        <v>26.0</v>
      </c>
      <c r="H753" s="1" t="s">
        <v>822</v>
      </c>
      <c r="I753" s="1" t="str">
        <f t="shared" si="2"/>
        <v>TY</v>
      </c>
      <c r="J753" s="1" t="str">
        <f t="shared" si="3"/>
        <v>Hilton</v>
      </c>
      <c r="K753" s="1" t="str">
        <f t="shared" si="4"/>
        <v>#N/A</v>
      </c>
      <c r="L753" s="1" t="str">
        <f>IFERROR(VLOOKUP($K753,Players!$D:$E,2,FALSE),VLOOKUP($H753,Players!A:E,5,FALSE))</f>
        <v>WR</v>
      </c>
    </row>
    <row r="754" ht="15.75" customHeight="1">
      <c r="A754" s="1">
        <v>2017.0</v>
      </c>
      <c r="B754" s="1" t="s">
        <v>57</v>
      </c>
      <c r="C754" s="1" t="s">
        <v>10</v>
      </c>
      <c r="D754" s="8">
        <v>4.0</v>
      </c>
      <c r="E754" s="8" t="str">
        <f t="shared" si="1"/>
        <v>Playoff Team</v>
      </c>
      <c r="F754" s="8">
        <v>4.0</v>
      </c>
      <c r="G754" s="8">
        <v>47.0</v>
      </c>
      <c r="H754" s="1" t="s">
        <v>94</v>
      </c>
      <c r="I754" s="1" t="str">
        <f t="shared" si="2"/>
        <v>Joe</v>
      </c>
      <c r="J754" s="1" t="str">
        <f t="shared" si="3"/>
        <v>Mixon</v>
      </c>
      <c r="K754" s="1" t="str">
        <f t="shared" si="4"/>
        <v>#N/A</v>
      </c>
      <c r="L754" s="1" t="str">
        <f>IFERROR(VLOOKUP($K754,Players!$D:$E,2,FALSE),VLOOKUP($H754,Players!A:E,5,FALSE))</f>
        <v>RB</v>
      </c>
    </row>
    <row r="755" ht="15.75" customHeight="1">
      <c r="A755" s="1">
        <v>2017.0</v>
      </c>
      <c r="B755" s="1" t="s">
        <v>57</v>
      </c>
      <c r="C755" s="1" t="s">
        <v>10</v>
      </c>
      <c r="D755" s="8">
        <v>4.0</v>
      </c>
      <c r="E755" s="8" t="str">
        <f t="shared" si="1"/>
        <v>Playoff Team</v>
      </c>
      <c r="F755" s="8">
        <v>5.0</v>
      </c>
      <c r="G755" s="8">
        <v>50.0</v>
      </c>
      <c r="H755" s="1" t="s">
        <v>775</v>
      </c>
      <c r="I755" s="1" t="str">
        <f t="shared" si="2"/>
        <v>Larry</v>
      </c>
      <c r="J755" s="1" t="str">
        <f t="shared" si="3"/>
        <v>Fitzgerald</v>
      </c>
      <c r="K755" s="1" t="str">
        <f t="shared" si="4"/>
        <v>#N/A</v>
      </c>
      <c r="L755" s="1" t="str">
        <f>IFERROR(VLOOKUP($K755,Players!$D:$E,2,FALSE),VLOOKUP($H755,Players!A:E,5,FALSE))</f>
        <v>WR</v>
      </c>
    </row>
    <row r="756" ht="15.75" customHeight="1">
      <c r="A756" s="1">
        <v>2017.0</v>
      </c>
      <c r="B756" s="1" t="s">
        <v>57</v>
      </c>
      <c r="C756" s="1" t="s">
        <v>10</v>
      </c>
      <c r="D756" s="8">
        <v>4.0</v>
      </c>
      <c r="E756" s="8" t="str">
        <f t="shared" si="1"/>
        <v>Playoff Team</v>
      </c>
      <c r="F756" s="8">
        <v>6.0</v>
      </c>
      <c r="G756" s="8">
        <v>71.0</v>
      </c>
      <c r="H756" s="1" t="s">
        <v>1312</v>
      </c>
      <c r="I756" s="1" t="str">
        <f t="shared" si="2"/>
        <v>Pierre</v>
      </c>
      <c r="J756" s="1" t="str">
        <f t="shared" si="3"/>
        <v>Garcon</v>
      </c>
      <c r="K756" s="1" t="str">
        <f t="shared" si="4"/>
        <v>#N/A</v>
      </c>
      <c r="L756" s="1" t="str">
        <f>IFERROR(VLOOKUP($K756,Players!$D:$E,2,FALSE),VLOOKUP($H756,Players!A:E,5,FALSE))</f>
        <v>WR</v>
      </c>
    </row>
    <row r="757" ht="15.75" customHeight="1">
      <c r="A757" s="1">
        <v>2017.0</v>
      </c>
      <c r="B757" s="1" t="s">
        <v>57</v>
      </c>
      <c r="C757" s="1" t="s">
        <v>10</v>
      </c>
      <c r="D757" s="8">
        <v>4.0</v>
      </c>
      <c r="E757" s="8" t="str">
        <f t="shared" si="1"/>
        <v>Playoff Team</v>
      </c>
      <c r="F757" s="8">
        <v>7.0</v>
      </c>
      <c r="G757" s="8">
        <v>74.0</v>
      </c>
      <c r="H757" s="1" t="s">
        <v>1237</v>
      </c>
      <c r="I757" s="1" t="str">
        <f t="shared" si="2"/>
        <v>Doug</v>
      </c>
      <c r="J757" s="1" t="str">
        <f t="shared" si="3"/>
        <v>Martin</v>
      </c>
      <c r="K757" s="1" t="str">
        <f t="shared" si="4"/>
        <v>#N/A</v>
      </c>
      <c r="L757" s="1" t="str">
        <f>IFERROR(VLOOKUP($K757,Players!$D:$E,2,FALSE),VLOOKUP($H757,Players!A:E,5,FALSE))</f>
        <v>RB</v>
      </c>
    </row>
    <row r="758" ht="15.75" customHeight="1">
      <c r="A758" s="1">
        <v>2017.0</v>
      </c>
      <c r="B758" s="1" t="s">
        <v>57</v>
      </c>
      <c r="C758" s="1" t="s">
        <v>10</v>
      </c>
      <c r="D758" s="8">
        <v>4.0</v>
      </c>
      <c r="E758" s="8" t="str">
        <f t="shared" si="1"/>
        <v>Playoff Team</v>
      </c>
      <c r="F758" s="8">
        <v>8.0</v>
      </c>
      <c r="G758" s="8">
        <v>95.0</v>
      </c>
      <c r="H758" s="1" t="s">
        <v>1564</v>
      </c>
      <c r="I758" s="1" t="str">
        <f t="shared" si="2"/>
        <v>Rob</v>
      </c>
      <c r="J758" s="1" t="str">
        <f t="shared" si="3"/>
        <v>Kelley</v>
      </c>
      <c r="K758" s="1" t="str">
        <f t="shared" si="4"/>
        <v>#N/A</v>
      </c>
      <c r="L758" s="1" t="str">
        <f>IFERROR(VLOOKUP($K758,Players!$D:$E,2,FALSE),VLOOKUP($H758,Players!A:E,5,FALSE))</f>
        <v>RB</v>
      </c>
    </row>
    <row r="759" ht="15.75" customHeight="1">
      <c r="A759" s="1">
        <v>2017.0</v>
      </c>
      <c r="B759" s="1" t="s">
        <v>57</v>
      </c>
      <c r="C759" s="1" t="s">
        <v>10</v>
      </c>
      <c r="D759" s="8">
        <v>4.0</v>
      </c>
      <c r="E759" s="8" t="str">
        <f t="shared" si="1"/>
        <v>Playoff Team</v>
      </c>
      <c r="F759" s="8">
        <v>9.0</v>
      </c>
      <c r="G759" s="8">
        <v>98.0</v>
      </c>
      <c r="H759" s="1" t="s">
        <v>862</v>
      </c>
      <c r="I759" s="1" t="str">
        <f t="shared" si="2"/>
        <v>Philip</v>
      </c>
      <c r="J759" s="1" t="str">
        <f t="shared" si="3"/>
        <v>Rivers</v>
      </c>
      <c r="K759" s="1" t="str">
        <f t="shared" si="4"/>
        <v>#N/A</v>
      </c>
      <c r="L759" s="1" t="str">
        <f>IFERROR(VLOOKUP($K759,Players!$D:$E,2,FALSE),VLOOKUP($H759,Players!A:E,5,FALSE))</f>
        <v>QB</v>
      </c>
    </row>
    <row r="760" ht="15.75" customHeight="1">
      <c r="A760" s="1">
        <v>2017.0</v>
      </c>
      <c r="B760" s="1" t="s">
        <v>57</v>
      </c>
      <c r="C760" s="1" t="s">
        <v>10</v>
      </c>
      <c r="D760" s="8">
        <v>4.0</v>
      </c>
      <c r="E760" s="8" t="str">
        <f t="shared" si="1"/>
        <v>Playoff Team</v>
      </c>
      <c r="F760" s="8">
        <v>10.0</v>
      </c>
      <c r="G760" s="8">
        <v>119.0</v>
      </c>
      <c r="H760" s="1" t="s">
        <v>1566</v>
      </c>
      <c r="I760" s="1" t="str">
        <f t="shared" si="2"/>
        <v>Kevin</v>
      </c>
      <c r="J760" s="1" t="str">
        <f t="shared" si="3"/>
        <v>White</v>
      </c>
      <c r="K760" s="1" t="str">
        <f t="shared" si="4"/>
        <v>#N/A</v>
      </c>
      <c r="L760" s="1" t="str">
        <f>IFERROR(VLOOKUP($K760,Players!$D:$E,2,FALSE),VLOOKUP($H760,Players!A:E,5,FALSE))</f>
        <v>WR</v>
      </c>
    </row>
    <row r="761" ht="15.75" customHeight="1">
      <c r="A761" s="1">
        <v>2017.0</v>
      </c>
      <c r="B761" s="1" t="s">
        <v>57</v>
      </c>
      <c r="C761" s="1" t="s">
        <v>10</v>
      </c>
      <c r="D761" s="8">
        <v>4.0</v>
      </c>
      <c r="E761" s="8" t="str">
        <f t="shared" si="1"/>
        <v>Playoff Team</v>
      </c>
      <c r="F761" s="8">
        <v>11.0</v>
      </c>
      <c r="G761" s="8">
        <v>122.0</v>
      </c>
      <c r="H761" s="1" t="s">
        <v>1568</v>
      </c>
      <c r="I761" s="1" t="str">
        <f t="shared" si="2"/>
        <v>Zay</v>
      </c>
      <c r="J761" s="1" t="str">
        <f t="shared" si="3"/>
        <v>Jones</v>
      </c>
      <c r="K761" s="1" t="str">
        <f t="shared" si="4"/>
        <v>#N/A</v>
      </c>
      <c r="L761" s="1" t="str">
        <f>IFERROR(VLOOKUP($K761,Players!$D:$E,2,FALSE),VLOOKUP($H761,Players!A:E,5,FALSE))</f>
        <v>WR</v>
      </c>
    </row>
    <row r="762" ht="15.75" customHeight="1">
      <c r="A762" s="1">
        <v>2017.0</v>
      </c>
      <c r="B762" s="1" t="s">
        <v>57</v>
      </c>
      <c r="C762" s="1" t="s">
        <v>10</v>
      </c>
      <c r="D762" s="8">
        <v>4.0</v>
      </c>
      <c r="E762" s="8" t="str">
        <f t="shared" si="1"/>
        <v>Playoff Team</v>
      </c>
      <c r="F762" s="8">
        <v>12.0</v>
      </c>
      <c r="G762" s="8">
        <v>143.0</v>
      </c>
      <c r="H762" s="1" t="s">
        <v>1082</v>
      </c>
      <c r="I762" s="1" t="str">
        <f t="shared" si="2"/>
        <v>Derek</v>
      </c>
      <c r="J762" s="1" t="str">
        <f t="shared" si="3"/>
        <v>Carr</v>
      </c>
      <c r="K762" s="1" t="str">
        <f t="shared" si="4"/>
        <v>#N/A</v>
      </c>
      <c r="L762" s="1" t="str">
        <f>IFERROR(VLOOKUP($K762,Players!$D:$E,2,FALSE),VLOOKUP($H762,Players!A:E,5,FALSE))</f>
        <v>QB</v>
      </c>
    </row>
    <row r="763" ht="15.75" customHeight="1">
      <c r="A763" s="1">
        <v>2017.0</v>
      </c>
      <c r="B763" s="1" t="s">
        <v>57</v>
      </c>
      <c r="C763" s="1" t="s">
        <v>10</v>
      </c>
      <c r="D763" s="8">
        <v>4.0</v>
      </c>
      <c r="E763" s="8" t="str">
        <f t="shared" si="1"/>
        <v>Playoff Team</v>
      </c>
      <c r="F763" s="8">
        <v>13.0</v>
      </c>
      <c r="G763" s="8">
        <v>146.0</v>
      </c>
      <c r="H763" s="1" t="s">
        <v>1537</v>
      </c>
      <c r="I763" s="1" t="str">
        <f t="shared" si="2"/>
        <v>Jacquizz</v>
      </c>
      <c r="J763" s="1" t="str">
        <f t="shared" si="3"/>
        <v>Rodgers</v>
      </c>
      <c r="K763" s="1" t="str">
        <f t="shared" si="4"/>
        <v>#N/A</v>
      </c>
      <c r="L763" s="1" t="str">
        <f>IFERROR(VLOOKUP($K763,Players!$D:$E,2,FALSE),VLOOKUP($H763,Players!A:E,5,FALSE))</f>
        <v>RB</v>
      </c>
    </row>
    <row r="764" ht="15.75" customHeight="1">
      <c r="A764" s="1">
        <v>2017.0</v>
      </c>
      <c r="B764" s="1" t="s">
        <v>57</v>
      </c>
      <c r="C764" s="1" t="s">
        <v>10</v>
      </c>
      <c r="D764" s="8">
        <v>4.0</v>
      </c>
      <c r="E764" s="8" t="str">
        <f t="shared" si="1"/>
        <v>Playoff Team</v>
      </c>
      <c r="F764" s="8">
        <v>14.0</v>
      </c>
      <c r="G764" s="8">
        <v>167.0</v>
      </c>
      <c r="H764" s="1" t="s">
        <v>1571</v>
      </c>
      <c r="I764" s="1" t="str">
        <f t="shared" si="2"/>
        <v>Las</v>
      </c>
      <c r="J764" s="1" t="str">
        <f t="shared" si="3"/>
        <v>Vegas</v>
      </c>
      <c r="K764" s="1" t="str">
        <f t="shared" si="4"/>
        <v>#N/A</v>
      </c>
      <c r="L764" s="1" t="str">
        <f>IFERROR(VLOOKUP($K764,Players!$D:$E,2,FALSE),VLOOKUP($H764,Players!A:E,5,FALSE))</f>
        <v>DEF</v>
      </c>
    </row>
    <row r="765" ht="15.75" customHeight="1">
      <c r="A765" s="1">
        <v>2017.0</v>
      </c>
      <c r="B765" s="1" t="s">
        <v>57</v>
      </c>
      <c r="C765" s="1" t="s">
        <v>10</v>
      </c>
      <c r="D765" s="8">
        <v>4.0</v>
      </c>
      <c r="E765" s="8" t="str">
        <f t="shared" si="1"/>
        <v>Playoff Team</v>
      </c>
      <c r="F765" s="8">
        <v>15.0</v>
      </c>
      <c r="G765" s="8">
        <v>170.0</v>
      </c>
      <c r="H765" s="1" t="s">
        <v>1573</v>
      </c>
      <c r="I765" s="1" t="str">
        <f t="shared" si="2"/>
        <v>Sebastian</v>
      </c>
      <c r="J765" s="1" t="str">
        <f t="shared" si="3"/>
        <v>Janikowski</v>
      </c>
      <c r="K765" s="1" t="str">
        <f t="shared" si="4"/>
        <v>#N/A</v>
      </c>
      <c r="L765" s="1" t="str">
        <f>IFERROR(VLOOKUP($K765,Players!$D:$E,2,FALSE),VLOOKUP($H765,Players!A:E,5,FALSE))</f>
        <v>K</v>
      </c>
    </row>
    <row r="766" ht="15.75" customHeight="1">
      <c r="A766" s="1">
        <v>2017.0</v>
      </c>
      <c r="B766" s="1" t="s">
        <v>49</v>
      </c>
      <c r="C766" s="1" t="s">
        <v>19</v>
      </c>
      <c r="D766" s="8">
        <v>1.0</v>
      </c>
      <c r="E766" s="8" t="str">
        <f t="shared" si="1"/>
        <v>Playoff Team</v>
      </c>
      <c r="F766" s="8">
        <v>1.0</v>
      </c>
      <c r="G766" s="8">
        <v>5.0</v>
      </c>
      <c r="H766" s="1" t="s">
        <v>1504</v>
      </c>
      <c r="I766" s="1" t="str">
        <f t="shared" si="2"/>
        <v>Jordy</v>
      </c>
      <c r="J766" s="1" t="str">
        <f t="shared" si="3"/>
        <v>Nelson</v>
      </c>
      <c r="K766" s="1" t="str">
        <f t="shared" si="4"/>
        <v>#N/A</v>
      </c>
      <c r="L766" s="1" t="str">
        <f>IFERROR(VLOOKUP($K766,Players!$D:$E,2,FALSE),VLOOKUP($H766,Players!A:E,5,FALSE))</f>
        <v>WR</v>
      </c>
    </row>
    <row r="767" ht="15.75" customHeight="1">
      <c r="A767" s="1">
        <v>2017.0</v>
      </c>
      <c r="B767" s="1" t="s">
        <v>49</v>
      </c>
      <c r="C767" s="1" t="s">
        <v>19</v>
      </c>
      <c r="D767" s="8">
        <v>1.0</v>
      </c>
      <c r="E767" s="8" t="str">
        <f t="shared" si="1"/>
        <v>Playoff Team</v>
      </c>
      <c r="F767" s="8">
        <v>2.0</v>
      </c>
      <c r="G767" s="8">
        <v>20.0</v>
      </c>
      <c r="H767" s="1" t="s">
        <v>1387</v>
      </c>
      <c r="I767" s="1" t="str">
        <f t="shared" si="2"/>
        <v>Jay</v>
      </c>
      <c r="J767" s="1" t="str">
        <f t="shared" si="3"/>
        <v>Ajayi</v>
      </c>
      <c r="K767" s="1" t="str">
        <f t="shared" si="4"/>
        <v>#N/A</v>
      </c>
      <c r="L767" s="1" t="str">
        <f>IFERROR(VLOOKUP($K767,Players!$D:$E,2,FALSE),VLOOKUP($H767,Players!A:E,5,FALSE))</f>
        <v>RB</v>
      </c>
    </row>
    <row r="768" ht="15.75" customHeight="1">
      <c r="A768" s="1">
        <v>2017.0</v>
      </c>
      <c r="B768" s="1" t="s">
        <v>49</v>
      </c>
      <c r="C768" s="1" t="s">
        <v>19</v>
      </c>
      <c r="D768" s="8">
        <v>1.0</v>
      </c>
      <c r="E768" s="8" t="str">
        <f t="shared" si="1"/>
        <v>Playoff Team</v>
      </c>
      <c r="F768" s="8">
        <v>3.0</v>
      </c>
      <c r="G768" s="8">
        <v>29.0</v>
      </c>
      <c r="H768" s="1" t="s">
        <v>1465</v>
      </c>
      <c r="I768" s="1" t="str">
        <f t="shared" si="2"/>
        <v>Lamar</v>
      </c>
      <c r="J768" s="1" t="str">
        <f t="shared" si="3"/>
        <v>Miller</v>
      </c>
      <c r="K768" s="1" t="str">
        <f t="shared" si="4"/>
        <v>#N/A</v>
      </c>
      <c r="L768" s="1" t="str">
        <f>IFERROR(VLOOKUP($K768,Players!$D:$E,2,FALSE),VLOOKUP($H768,Players!A:E,5,FALSE))</f>
        <v>RB</v>
      </c>
    </row>
    <row r="769" ht="15.75" customHeight="1">
      <c r="A769" s="1">
        <v>2017.0</v>
      </c>
      <c r="B769" s="1" t="s">
        <v>49</v>
      </c>
      <c r="C769" s="1" t="s">
        <v>19</v>
      </c>
      <c r="D769" s="8">
        <v>1.0</v>
      </c>
      <c r="E769" s="8" t="str">
        <f t="shared" si="1"/>
        <v>Playoff Team</v>
      </c>
      <c r="F769" s="8">
        <v>4.0</v>
      </c>
      <c r="G769" s="8">
        <v>44.0</v>
      </c>
      <c r="H769" s="1" t="s">
        <v>944</v>
      </c>
      <c r="I769" s="1" t="str">
        <f t="shared" si="2"/>
        <v>Golden</v>
      </c>
      <c r="J769" s="1" t="str">
        <f t="shared" si="3"/>
        <v>Tate</v>
      </c>
      <c r="K769" s="1" t="str">
        <f t="shared" si="4"/>
        <v>#N/A</v>
      </c>
      <c r="L769" s="1" t="str">
        <f>IFERROR(VLOOKUP($K769,Players!$D:$E,2,FALSE),VLOOKUP($H769,Players!A:E,5,FALSE))</f>
        <v>WR</v>
      </c>
    </row>
    <row r="770" ht="15.75" customHeight="1">
      <c r="A770" s="1">
        <v>2017.0</v>
      </c>
      <c r="B770" s="1" t="s">
        <v>49</v>
      </c>
      <c r="C770" s="1" t="s">
        <v>19</v>
      </c>
      <c r="D770" s="8">
        <v>1.0</v>
      </c>
      <c r="E770" s="8" t="str">
        <f t="shared" si="1"/>
        <v>Playoff Team</v>
      </c>
      <c r="F770" s="8">
        <v>5.0</v>
      </c>
      <c r="G770" s="8">
        <v>53.0</v>
      </c>
      <c r="H770" s="1" t="s">
        <v>422</v>
      </c>
      <c r="I770" s="1" t="str">
        <f t="shared" si="2"/>
        <v>Stefon</v>
      </c>
      <c r="J770" s="1" t="str">
        <f t="shared" si="3"/>
        <v>Diggs</v>
      </c>
      <c r="K770" s="1" t="str">
        <f t="shared" si="4"/>
        <v>#N/A</v>
      </c>
      <c r="L770" s="1" t="str">
        <f>IFERROR(VLOOKUP($K770,Players!$D:$E,2,FALSE),VLOOKUP($H770,Players!A:E,5,FALSE))</f>
        <v>WR</v>
      </c>
    </row>
    <row r="771" ht="15.75" customHeight="1">
      <c r="A771" s="1">
        <v>2017.0</v>
      </c>
      <c r="B771" s="1" t="s">
        <v>49</v>
      </c>
      <c r="C771" s="1" t="s">
        <v>19</v>
      </c>
      <c r="D771" s="8">
        <v>1.0</v>
      </c>
      <c r="E771" s="8" t="str">
        <f t="shared" si="1"/>
        <v>Playoff Team</v>
      </c>
      <c r="F771" s="8">
        <v>6.0</v>
      </c>
      <c r="G771" s="8">
        <v>68.0</v>
      </c>
      <c r="H771" s="1" t="s">
        <v>1578</v>
      </c>
      <c r="I771" s="1" t="str">
        <f t="shared" si="2"/>
        <v>Willie</v>
      </c>
      <c r="J771" s="1" t="str">
        <f t="shared" si="3"/>
        <v>Snead IV</v>
      </c>
      <c r="K771" s="1" t="str">
        <f t="shared" si="4"/>
        <v>#N/A</v>
      </c>
      <c r="L771" s="1" t="str">
        <f>IFERROR(VLOOKUP($K771,Players!$D:$E,2,FALSE),VLOOKUP($H771,Players!A:E,5,FALSE))</f>
        <v>#N/A</v>
      </c>
    </row>
    <row r="772" ht="15.75" customHeight="1">
      <c r="A772" s="1">
        <v>2017.0</v>
      </c>
      <c r="B772" s="1" t="s">
        <v>49</v>
      </c>
      <c r="C772" s="1" t="s">
        <v>19</v>
      </c>
      <c r="D772" s="8">
        <v>1.0</v>
      </c>
      <c r="E772" s="8" t="str">
        <f t="shared" si="1"/>
        <v>Playoff Team</v>
      </c>
      <c r="F772" s="8">
        <v>7.0</v>
      </c>
      <c r="G772" s="8">
        <v>77.0</v>
      </c>
      <c r="H772" s="1" t="s">
        <v>983</v>
      </c>
      <c r="I772" s="1" t="str">
        <f t="shared" si="2"/>
        <v>Danny</v>
      </c>
      <c r="J772" s="1" t="str">
        <f t="shared" si="3"/>
        <v>Woodhead</v>
      </c>
      <c r="K772" s="1" t="str">
        <f t="shared" si="4"/>
        <v>#N/A</v>
      </c>
      <c r="L772" s="1" t="str">
        <f>IFERROR(VLOOKUP($K772,Players!$D:$E,2,FALSE),VLOOKUP($H772,Players!A:E,5,FALSE))</f>
        <v>RB</v>
      </c>
    </row>
    <row r="773" ht="15.75" customHeight="1">
      <c r="A773" s="1">
        <v>2017.0</v>
      </c>
      <c r="B773" s="1" t="s">
        <v>49</v>
      </c>
      <c r="C773" s="1" t="s">
        <v>19</v>
      </c>
      <c r="D773" s="8">
        <v>1.0</v>
      </c>
      <c r="E773" s="8" t="str">
        <f t="shared" si="1"/>
        <v>Playoff Team</v>
      </c>
      <c r="F773" s="8">
        <v>8.0</v>
      </c>
      <c r="G773" s="8">
        <v>92.0</v>
      </c>
      <c r="H773" s="1" t="s">
        <v>1350</v>
      </c>
      <c r="I773" s="1" t="str">
        <f t="shared" si="2"/>
        <v>Frank</v>
      </c>
      <c r="J773" s="1" t="str">
        <f t="shared" si="3"/>
        <v>Gore</v>
      </c>
      <c r="K773" s="1" t="str">
        <f t="shared" si="4"/>
        <v>#N/A</v>
      </c>
      <c r="L773" s="1" t="str">
        <f>IFERROR(VLOOKUP($K773,Players!$D:$E,2,FALSE),VLOOKUP($H773,Players!A:E,5,FALSE))</f>
        <v>RB</v>
      </c>
    </row>
    <row r="774" ht="15.75" customHeight="1">
      <c r="A774" s="1">
        <v>2017.0</v>
      </c>
      <c r="B774" s="1" t="s">
        <v>49</v>
      </c>
      <c r="C774" s="1" t="s">
        <v>19</v>
      </c>
      <c r="D774" s="8">
        <v>1.0</v>
      </c>
      <c r="E774" s="8" t="str">
        <f t="shared" si="1"/>
        <v>Playoff Team</v>
      </c>
      <c r="F774" s="8">
        <v>9.0</v>
      </c>
      <c r="G774" s="8">
        <v>101.0</v>
      </c>
      <c r="H774" s="1" t="s">
        <v>1308</v>
      </c>
      <c r="I774" s="1" t="str">
        <f t="shared" si="2"/>
        <v>Kyle</v>
      </c>
      <c r="J774" s="1" t="str">
        <f t="shared" si="3"/>
        <v>Rudolph</v>
      </c>
      <c r="K774" s="1" t="str">
        <f t="shared" si="4"/>
        <v>#N/A</v>
      </c>
      <c r="L774" s="1" t="str">
        <f>IFERROR(VLOOKUP($K774,Players!$D:$E,2,FALSE),VLOOKUP($H774,Players!A:E,5,FALSE))</f>
        <v>TE</v>
      </c>
    </row>
    <row r="775" ht="15.75" customHeight="1">
      <c r="A775" s="1">
        <v>2017.0</v>
      </c>
      <c r="B775" s="1" t="s">
        <v>49</v>
      </c>
      <c r="C775" s="1" t="s">
        <v>19</v>
      </c>
      <c r="D775" s="8">
        <v>1.0</v>
      </c>
      <c r="E775" s="8" t="str">
        <f t="shared" si="1"/>
        <v>Playoff Team</v>
      </c>
      <c r="F775" s="8">
        <v>10.0</v>
      </c>
      <c r="G775" s="8">
        <v>116.0</v>
      </c>
      <c r="H775" s="1" t="s">
        <v>366</v>
      </c>
      <c r="I775" s="1" t="str">
        <f t="shared" si="2"/>
        <v>Matthew</v>
      </c>
      <c r="J775" s="1" t="str">
        <f t="shared" si="3"/>
        <v>Stafford</v>
      </c>
      <c r="K775" s="1" t="str">
        <f t="shared" si="4"/>
        <v>#N/A</v>
      </c>
      <c r="L775" s="1" t="str">
        <f>IFERROR(VLOOKUP($K775,Players!$D:$E,2,FALSE),VLOOKUP($H775,Players!A:E,5,FALSE))</f>
        <v>QB</v>
      </c>
    </row>
    <row r="776" ht="15.75" customHeight="1">
      <c r="A776" s="1">
        <v>2017.0</v>
      </c>
      <c r="B776" s="1" t="s">
        <v>49</v>
      </c>
      <c r="C776" s="1" t="s">
        <v>19</v>
      </c>
      <c r="D776" s="8">
        <v>1.0</v>
      </c>
      <c r="E776" s="8" t="str">
        <f t="shared" si="1"/>
        <v>Playoff Team</v>
      </c>
      <c r="F776" s="8">
        <v>11.0</v>
      </c>
      <c r="G776" s="8">
        <v>125.0</v>
      </c>
      <c r="H776" s="1" t="s">
        <v>99</v>
      </c>
      <c r="I776" s="1" t="str">
        <f t="shared" si="2"/>
        <v>Robbie</v>
      </c>
      <c r="J776" s="1" t="str">
        <f t="shared" si="3"/>
        <v>Anderson</v>
      </c>
      <c r="K776" s="1" t="str">
        <f t="shared" si="4"/>
        <v>#N/A</v>
      </c>
      <c r="L776" s="1" t="str">
        <f>IFERROR(VLOOKUP($K776,Players!$D:$E,2,FALSE),VLOOKUP($H776,Players!A:E,5,FALSE))</f>
        <v>WR</v>
      </c>
    </row>
    <row r="777" ht="15.75" customHeight="1">
      <c r="A777" s="1">
        <v>2017.0</v>
      </c>
      <c r="B777" s="1" t="s">
        <v>49</v>
      </c>
      <c r="C777" s="1" t="s">
        <v>19</v>
      </c>
      <c r="D777" s="8">
        <v>1.0</v>
      </c>
      <c r="E777" s="8" t="str">
        <f t="shared" si="1"/>
        <v>Playoff Team</v>
      </c>
      <c r="F777" s="8">
        <v>12.0</v>
      </c>
      <c r="G777" s="8">
        <v>140.0</v>
      </c>
      <c r="H777" s="1" t="s">
        <v>653</v>
      </c>
      <c r="I777" s="1" t="str">
        <f t="shared" si="2"/>
        <v>CJ</v>
      </c>
      <c r="J777" s="1" t="str">
        <f t="shared" si="3"/>
        <v>Prosise</v>
      </c>
      <c r="K777" s="1" t="str">
        <f t="shared" si="4"/>
        <v>#N/A</v>
      </c>
      <c r="L777" s="1" t="str">
        <f>IFERROR(VLOOKUP($K777,Players!$D:$E,2,FALSE),VLOOKUP($H777,Players!A:E,5,FALSE))</f>
        <v>RB</v>
      </c>
    </row>
    <row r="778" ht="15.75" customHeight="1">
      <c r="A778" s="1">
        <v>2017.0</v>
      </c>
      <c r="B778" s="1" t="s">
        <v>49</v>
      </c>
      <c r="C778" s="1" t="s">
        <v>19</v>
      </c>
      <c r="D778" s="8">
        <v>1.0</v>
      </c>
      <c r="E778" s="8" t="str">
        <f t="shared" si="1"/>
        <v>Playoff Team</v>
      </c>
      <c r="F778" s="8">
        <v>13.0</v>
      </c>
      <c r="G778" s="8">
        <v>149.0</v>
      </c>
      <c r="H778" s="1" t="s">
        <v>108</v>
      </c>
      <c r="I778" s="1" t="str">
        <f t="shared" si="2"/>
        <v>Alvin</v>
      </c>
      <c r="J778" s="1" t="str">
        <f t="shared" si="3"/>
        <v>Kamara</v>
      </c>
      <c r="K778" s="1" t="str">
        <f t="shared" si="4"/>
        <v>#N/A</v>
      </c>
      <c r="L778" s="1" t="str">
        <f>IFERROR(VLOOKUP($K778,Players!$D:$E,2,FALSE),VLOOKUP($H778,Players!A:E,5,FALSE))</f>
        <v>RB</v>
      </c>
    </row>
    <row r="779" ht="15.75" customHeight="1">
      <c r="A779" s="1">
        <v>2017.0</v>
      </c>
      <c r="B779" s="1" t="s">
        <v>49</v>
      </c>
      <c r="C779" s="1" t="s">
        <v>19</v>
      </c>
      <c r="D779" s="8">
        <v>1.0</v>
      </c>
      <c r="E779" s="8" t="str">
        <f t="shared" si="1"/>
        <v>Playoff Team</v>
      </c>
      <c r="F779" s="8">
        <v>14.0</v>
      </c>
      <c r="G779" s="8">
        <v>164.0</v>
      </c>
      <c r="H779" s="1" t="s">
        <v>573</v>
      </c>
      <c r="I779" s="1" t="str">
        <f t="shared" si="2"/>
        <v>#VALUE!</v>
      </c>
      <c r="J779" s="1" t="str">
        <f t="shared" si="3"/>
        <v>#VALUE!</v>
      </c>
      <c r="K779" s="1" t="str">
        <f t="shared" si="4"/>
        <v>#N/A</v>
      </c>
      <c r="L779" s="1" t="str">
        <f>IFERROR(VLOOKUP($K779,Players!$D:$E,2,FALSE),VLOOKUP($H779,Players!A:E,5,FALSE))</f>
        <v>DEF</v>
      </c>
    </row>
    <row r="780" ht="15.75" customHeight="1">
      <c r="A780" s="1">
        <v>2017.0</v>
      </c>
      <c r="B780" s="1" t="s">
        <v>49</v>
      </c>
      <c r="C780" s="1" t="s">
        <v>19</v>
      </c>
      <c r="D780" s="8">
        <v>1.0</v>
      </c>
      <c r="E780" s="8" t="str">
        <f t="shared" si="1"/>
        <v>Playoff Team</v>
      </c>
      <c r="F780" s="8">
        <v>15.0</v>
      </c>
      <c r="G780" s="8">
        <v>173.0</v>
      </c>
      <c r="H780" s="1" t="s">
        <v>1586</v>
      </c>
      <c r="I780" s="1" t="str">
        <f t="shared" si="2"/>
        <v>Wil</v>
      </c>
      <c r="J780" s="1" t="str">
        <f t="shared" si="3"/>
        <v>Lutz</v>
      </c>
      <c r="K780" s="1" t="str">
        <f t="shared" si="4"/>
        <v>#N/A</v>
      </c>
      <c r="L780" s="1" t="str">
        <f>IFERROR(VLOOKUP($K780,Players!$D:$E,2,FALSE),VLOOKUP($H780,Players!A:E,5,FALSE))</f>
        <v>K</v>
      </c>
    </row>
    <row r="781" ht="15.75" customHeight="1">
      <c r="A781" s="1">
        <v>2017.0</v>
      </c>
      <c r="B781" s="1" t="s">
        <v>30</v>
      </c>
      <c r="C781" s="1" t="s">
        <v>31</v>
      </c>
      <c r="D781" s="8">
        <v>3.0</v>
      </c>
      <c r="E781" s="8" t="str">
        <f t="shared" si="1"/>
        <v>Playoff Team</v>
      </c>
      <c r="F781" s="8">
        <v>1.0</v>
      </c>
      <c r="G781" s="8">
        <v>1.0</v>
      </c>
      <c r="H781" s="1" t="s">
        <v>133</v>
      </c>
      <c r="I781" s="1" t="str">
        <f t="shared" si="2"/>
        <v>David</v>
      </c>
      <c r="J781" s="1" t="str">
        <f t="shared" si="3"/>
        <v>Johnson</v>
      </c>
      <c r="K781" s="1" t="str">
        <f t="shared" si="4"/>
        <v>#N/A</v>
      </c>
      <c r="L781" s="1" t="str">
        <f>IFERROR(VLOOKUP($K781,Players!$D:$E,2,FALSE),VLOOKUP($H781,Players!A:E,5,FALSE))</f>
        <v>RB</v>
      </c>
    </row>
    <row r="782" ht="15.75" customHeight="1">
      <c r="A782" s="1">
        <v>2017.0</v>
      </c>
      <c r="B782" s="1" t="s">
        <v>30</v>
      </c>
      <c r="C782" s="1" t="s">
        <v>31</v>
      </c>
      <c r="D782" s="8">
        <v>3.0</v>
      </c>
      <c r="E782" s="8" t="str">
        <f t="shared" si="1"/>
        <v>Playoff Team</v>
      </c>
      <c r="F782" s="8">
        <v>2.0</v>
      </c>
      <c r="G782" s="8">
        <v>24.0</v>
      </c>
      <c r="H782" s="1" t="s">
        <v>298</v>
      </c>
      <c r="I782" s="1" t="str">
        <f t="shared" si="2"/>
        <v>DeAndre</v>
      </c>
      <c r="J782" s="1" t="str">
        <f t="shared" si="3"/>
        <v>Hopkins</v>
      </c>
      <c r="K782" s="1" t="str">
        <f t="shared" si="4"/>
        <v>#N/A</v>
      </c>
      <c r="L782" s="1" t="str">
        <f>IFERROR(VLOOKUP($K782,Players!$D:$E,2,FALSE),VLOOKUP($H782,Players!A:E,5,FALSE))</f>
        <v>WR</v>
      </c>
    </row>
    <row r="783" ht="15.75" customHeight="1">
      <c r="A783" s="1">
        <v>2017.0</v>
      </c>
      <c r="B783" s="1" t="s">
        <v>30</v>
      </c>
      <c r="C783" s="1" t="s">
        <v>31</v>
      </c>
      <c r="D783" s="8">
        <v>3.0</v>
      </c>
      <c r="E783" s="8" t="str">
        <f t="shared" si="1"/>
        <v>Playoff Team</v>
      </c>
      <c r="F783" s="8">
        <v>3.0</v>
      </c>
      <c r="G783" s="8">
        <v>25.0</v>
      </c>
      <c r="H783" s="1" t="s">
        <v>267</v>
      </c>
      <c r="I783" s="1" t="str">
        <f t="shared" si="2"/>
        <v>Tom</v>
      </c>
      <c r="J783" s="1" t="str">
        <f t="shared" si="3"/>
        <v>Brady</v>
      </c>
      <c r="K783" s="1" t="str">
        <f t="shared" si="4"/>
        <v>#N/A</v>
      </c>
      <c r="L783" s="1" t="str">
        <f>IFERROR(VLOOKUP($K783,Players!$D:$E,2,FALSE),VLOOKUP($H783,Players!A:E,5,FALSE))</f>
        <v>QB</v>
      </c>
    </row>
    <row r="784" ht="15.75" customHeight="1">
      <c r="A784" s="1">
        <v>2017.0</v>
      </c>
      <c r="B784" s="1" t="s">
        <v>30</v>
      </c>
      <c r="C784" s="1" t="s">
        <v>31</v>
      </c>
      <c r="D784" s="8">
        <v>3.0</v>
      </c>
      <c r="E784" s="8" t="str">
        <f t="shared" si="1"/>
        <v>Playoff Team</v>
      </c>
      <c r="F784" s="8">
        <v>4.0</v>
      </c>
      <c r="G784" s="8">
        <v>48.0</v>
      </c>
      <c r="H784" s="1" t="s">
        <v>1315</v>
      </c>
      <c r="I784" s="1" t="str">
        <f t="shared" si="2"/>
        <v>Kelvin</v>
      </c>
      <c r="J784" s="1" t="str">
        <f t="shared" si="3"/>
        <v>Benjamin</v>
      </c>
      <c r="K784" s="1" t="str">
        <f t="shared" si="4"/>
        <v>#N/A</v>
      </c>
      <c r="L784" s="1" t="str">
        <f>IFERROR(VLOOKUP($K784,Players!$D:$E,2,FALSE),VLOOKUP($H784,Players!A:E,5,FALSE))</f>
        <v>WR</v>
      </c>
    </row>
    <row r="785" ht="15.75" customHeight="1">
      <c r="A785" s="1">
        <v>2017.0</v>
      </c>
      <c r="B785" s="1" t="s">
        <v>30</v>
      </c>
      <c r="C785" s="1" t="s">
        <v>31</v>
      </c>
      <c r="D785" s="8">
        <v>3.0</v>
      </c>
      <c r="E785" s="8" t="str">
        <f t="shared" si="1"/>
        <v>Playoff Team</v>
      </c>
      <c r="F785" s="8">
        <v>5.0</v>
      </c>
      <c r="G785" s="8">
        <v>49.0</v>
      </c>
      <c r="H785" s="1" t="s">
        <v>835</v>
      </c>
      <c r="I785" s="1" t="str">
        <f t="shared" si="2"/>
        <v>Sammy</v>
      </c>
      <c r="J785" s="1" t="str">
        <f t="shared" si="3"/>
        <v>Watkins</v>
      </c>
      <c r="K785" s="1" t="str">
        <f t="shared" si="4"/>
        <v>#N/A</v>
      </c>
      <c r="L785" s="1" t="str">
        <f>IFERROR(VLOOKUP($K785,Players!$D:$E,2,FALSE),VLOOKUP($H785,Players!A:E,5,FALSE))</f>
        <v>WR</v>
      </c>
    </row>
    <row r="786" ht="15.75" customHeight="1">
      <c r="A786" s="1">
        <v>2017.0</v>
      </c>
      <c r="B786" s="1" t="s">
        <v>30</v>
      </c>
      <c r="C786" s="1" t="s">
        <v>31</v>
      </c>
      <c r="D786" s="8">
        <v>3.0</v>
      </c>
      <c r="E786" s="8" t="str">
        <f t="shared" si="1"/>
        <v>Playoff Team</v>
      </c>
      <c r="F786" s="8">
        <v>6.0</v>
      </c>
      <c r="G786" s="8">
        <v>72.0</v>
      </c>
      <c r="H786" s="1" t="s">
        <v>1592</v>
      </c>
      <c r="I786" s="1" t="str">
        <f t="shared" si="2"/>
        <v>Mike</v>
      </c>
      <c r="J786" s="1" t="str">
        <f t="shared" si="3"/>
        <v>Gillislee</v>
      </c>
      <c r="K786" s="1" t="str">
        <f t="shared" si="4"/>
        <v>#N/A</v>
      </c>
      <c r="L786" s="1" t="str">
        <f>IFERROR(VLOOKUP($K786,Players!$D:$E,2,FALSE),VLOOKUP($H786,Players!A:E,5,FALSE))</f>
        <v>RB</v>
      </c>
    </row>
    <row r="787" ht="15.75" customHeight="1">
      <c r="A787" s="1">
        <v>2017.0</v>
      </c>
      <c r="B787" s="1" t="s">
        <v>30</v>
      </c>
      <c r="C787" s="1" t="s">
        <v>31</v>
      </c>
      <c r="D787" s="8">
        <v>3.0</v>
      </c>
      <c r="E787" s="8" t="str">
        <f t="shared" si="1"/>
        <v>Playoff Team</v>
      </c>
      <c r="F787" s="8">
        <v>7.0</v>
      </c>
      <c r="G787" s="8">
        <v>73.0</v>
      </c>
      <c r="H787" s="1" t="s">
        <v>701</v>
      </c>
      <c r="I787" s="1" t="str">
        <f t="shared" si="2"/>
        <v>DeSean</v>
      </c>
      <c r="J787" s="1" t="str">
        <f t="shared" si="3"/>
        <v>Jackson</v>
      </c>
      <c r="K787" s="1" t="str">
        <f t="shared" si="4"/>
        <v>#N/A</v>
      </c>
      <c r="L787" s="1" t="str">
        <f>IFERROR(VLOOKUP($K787,Players!$D:$E,2,FALSE),VLOOKUP($H787,Players!A:E,5,FALSE))</f>
        <v>WR</v>
      </c>
    </row>
    <row r="788" ht="15.75" customHeight="1">
      <c r="A788" s="1">
        <v>2017.0</v>
      </c>
      <c r="B788" s="1" t="s">
        <v>30</v>
      </c>
      <c r="C788" s="1" t="s">
        <v>31</v>
      </c>
      <c r="D788" s="8">
        <v>3.0</v>
      </c>
      <c r="E788" s="8" t="str">
        <f t="shared" si="1"/>
        <v>Playoff Team</v>
      </c>
      <c r="F788" s="8">
        <v>8.0</v>
      </c>
      <c r="G788" s="8">
        <v>96.0</v>
      </c>
      <c r="H788" s="1" t="s">
        <v>932</v>
      </c>
      <c r="I788" s="1" t="str">
        <f t="shared" si="2"/>
        <v>OJ</v>
      </c>
      <c r="J788" s="1" t="str">
        <f t="shared" si="3"/>
        <v>Howard</v>
      </c>
      <c r="K788" s="1" t="str">
        <f t="shared" si="4"/>
        <v>#N/A</v>
      </c>
      <c r="L788" s="1" t="str">
        <f>IFERROR(VLOOKUP($K788,Players!$D:$E,2,FALSE),VLOOKUP($H788,Players!A:E,5,FALSE))</f>
        <v>TE</v>
      </c>
    </row>
    <row r="789" ht="15.75" customHeight="1">
      <c r="A789" s="1">
        <v>2017.0</v>
      </c>
      <c r="B789" s="1" t="s">
        <v>30</v>
      </c>
      <c r="C789" s="1" t="s">
        <v>31</v>
      </c>
      <c r="D789" s="8">
        <v>3.0</v>
      </c>
      <c r="E789" s="8" t="str">
        <f t="shared" si="1"/>
        <v>Playoff Team</v>
      </c>
      <c r="F789" s="8">
        <v>9.0</v>
      </c>
      <c r="G789" s="8">
        <v>97.0</v>
      </c>
      <c r="H789" s="1" t="s">
        <v>819</v>
      </c>
      <c r="I789" s="1" t="str">
        <f t="shared" si="2"/>
        <v>Zach</v>
      </c>
      <c r="J789" s="1" t="str">
        <f t="shared" si="3"/>
        <v>Ertz</v>
      </c>
      <c r="K789" s="1" t="str">
        <f t="shared" si="4"/>
        <v>#N/A</v>
      </c>
      <c r="L789" s="1" t="str">
        <f>IFERROR(VLOOKUP($K789,Players!$D:$E,2,FALSE),VLOOKUP($H789,Players!A:E,5,FALSE))</f>
        <v>TE</v>
      </c>
    </row>
    <row r="790" ht="15.75" customHeight="1">
      <c r="A790" s="1">
        <v>2017.0</v>
      </c>
      <c r="B790" s="1" t="s">
        <v>30</v>
      </c>
      <c r="C790" s="1" t="s">
        <v>31</v>
      </c>
      <c r="D790" s="8">
        <v>3.0</v>
      </c>
      <c r="E790" s="8" t="str">
        <f t="shared" si="1"/>
        <v>Playoff Team</v>
      </c>
      <c r="F790" s="8">
        <v>10.0</v>
      </c>
      <c r="G790" s="8">
        <v>120.0</v>
      </c>
      <c r="H790" s="1" t="s">
        <v>1597</v>
      </c>
      <c r="I790" s="1" t="str">
        <f t="shared" si="2"/>
        <v>Matt</v>
      </c>
      <c r="J790" s="1" t="str">
        <f t="shared" si="3"/>
        <v>Forte</v>
      </c>
      <c r="K790" s="1" t="str">
        <f t="shared" si="4"/>
        <v>#N/A</v>
      </c>
      <c r="L790" s="1" t="str">
        <f>IFERROR(VLOOKUP($K790,Players!$D:$E,2,FALSE),VLOOKUP($H790,Players!A:E,5,FALSE))</f>
        <v>RB</v>
      </c>
    </row>
    <row r="791" ht="15.75" customHeight="1">
      <c r="A791" s="1">
        <v>2017.0</v>
      </c>
      <c r="B791" s="1" t="s">
        <v>30</v>
      </c>
      <c r="C791" s="1" t="s">
        <v>31</v>
      </c>
      <c r="D791" s="8">
        <v>3.0</v>
      </c>
      <c r="E791" s="8" t="str">
        <f t="shared" si="1"/>
        <v>Playoff Team</v>
      </c>
      <c r="F791" s="8">
        <v>11.0</v>
      </c>
      <c r="G791" s="8">
        <v>121.0</v>
      </c>
      <c r="H791" s="1" t="s">
        <v>485</v>
      </c>
      <c r="I791" s="1" t="str">
        <f t="shared" si="2"/>
        <v>John</v>
      </c>
      <c r="J791" s="1" t="str">
        <f t="shared" si="3"/>
        <v>Brown</v>
      </c>
      <c r="K791" s="1" t="str">
        <f t="shared" si="4"/>
        <v>#N/A</v>
      </c>
      <c r="L791" s="1" t="str">
        <f>IFERROR(VLOOKUP($K791,Players!$D:$E,2,FALSE),VLOOKUP($H791,Players!A:E,5,FALSE))</f>
        <v>WR</v>
      </c>
    </row>
    <row r="792" ht="15.75" customHeight="1">
      <c r="A792" s="1">
        <v>2017.0</v>
      </c>
      <c r="B792" s="1" t="s">
        <v>30</v>
      </c>
      <c r="C792" s="1" t="s">
        <v>31</v>
      </c>
      <c r="D792" s="8">
        <v>3.0</v>
      </c>
      <c r="E792" s="8" t="str">
        <f t="shared" si="1"/>
        <v>Playoff Team</v>
      </c>
      <c r="F792" s="8">
        <v>12.0</v>
      </c>
      <c r="G792" s="8">
        <v>144.0</v>
      </c>
      <c r="H792" s="1" t="s">
        <v>1598</v>
      </c>
      <c r="I792" s="1" t="str">
        <f t="shared" si="2"/>
        <v>New</v>
      </c>
      <c r="J792" s="1" t="str">
        <f t="shared" si="3"/>
        <v>York</v>
      </c>
      <c r="K792" s="1" t="str">
        <f t="shared" si="4"/>
        <v>#N/A</v>
      </c>
      <c r="L792" s="1" t="str">
        <f>IFERROR(VLOOKUP($K792,Players!$D:$E,2,FALSE),VLOOKUP($H792,Players!A:E,5,FALSE))</f>
        <v>DEF</v>
      </c>
    </row>
    <row r="793" ht="15.75" customHeight="1">
      <c r="A793" s="1">
        <v>2017.0</v>
      </c>
      <c r="B793" s="1" t="s">
        <v>30</v>
      </c>
      <c r="C793" s="1" t="s">
        <v>31</v>
      </c>
      <c r="D793" s="8">
        <v>3.0</v>
      </c>
      <c r="E793" s="8" t="str">
        <f t="shared" si="1"/>
        <v>Playoff Team</v>
      </c>
      <c r="F793" s="8">
        <v>13.0</v>
      </c>
      <c r="G793" s="8">
        <v>145.0</v>
      </c>
      <c r="H793" s="1" t="s">
        <v>188</v>
      </c>
      <c r="I793" s="1" t="str">
        <f t="shared" si="2"/>
        <v>Adam</v>
      </c>
      <c r="J793" s="1" t="str">
        <f t="shared" si="3"/>
        <v>Vinatieri</v>
      </c>
      <c r="K793" s="1" t="str">
        <f t="shared" si="4"/>
        <v>#N/A</v>
      </c>
      <c r="L793" s="1" t="str">
        <f>IFERROR(VLOOKUP($K793,Players!$D:$E,2,FALSE),VLOOKUP($H793,Players!A:E,5,FALSE))</f>
        <v>K</v>
      </c>
    </row>
    <row r="794" ht="15.75" customHeight="1">
      <c r="A794" s="1">
        <v>2017.0</v>
      </c>
      <c r="B794" s="1" t="s">
        <v>30</v>
      </c>
      <c r="C794" s="1" t="s">
        <v>31</v>
      </c>
      <c r="D794" s="8">
        <v>3.0</v>
      </c>
      <c r="E794" s="8" t="str">
        <f t="shared" si="1"/>
        <v>Playoff Team</v>
      </c>
      <c r="F794" s="8">
        <v>14.0</v>
      </c>
      <c r="G794" s="8">
        <v>168.0</v>
      </c>
      <c r="H794" s="1" t="s">
        <v>705</v>
      </c>
      <c r="I794" s="1" t="str">
        <f t="shared" si="2"/>
        <v>Carson</v>
      </c>
      <c r="J794" s="1" t="str">
        <f t="shared" si="3"/>
        <v>Palmer</v>
      </c>
      <c r="K794" s="1" t="str">
        <f t="shared" si="4"/>
        <v>#N/A</v>
      </c>
      <c r="L794" s="1" t="str">
        <f>IFERROR(VLOOKUP($K794,Players!$D:$E,2,FALSE),VLOOKUP($H794,Players!A:E,5,FALSE))</f>
        <v>QB</v>
      </c>
    </row>
    <row r="795" ht="15.75" customHeight="1">
      <c r="A795" s="1">
        <v>2017.0</v>
      </c>
      <c r="B795" s="1" t="s">
        <v>30</v>
      </c>
      <c r="C795" s="1" t="s">
        <v>31</v>
      </c>
      <c r="D795" s="8">
        <v>3.0</v>
      </c>
      <c r="E795" s="8" t="str">
        <f t="shared" si="1"/>
        <v>Playoff Team</v>
      </c>
      <c r="F795" s="8">
        <v>15.0</v>
      </c>
      <c r="G795" s="8">
        <v>169.0</v>
      </c>
      <c r="H795" s="1" t="s">
        <v>509</v>
      </c>
      <c r="I795" s="1" t="str">
        <f t="shared" si="2"/>
        <v>Matt</v>
      </c>
      <c r="J795" s="1" t="str">
        <f t="shared" si="3"/>
        <v>Prater</v>
      </c>
      <c r="K795" s="1" t="str">
        <f t="shared" si="4"/>
        <v>#N/A</v>
      </c>
      <c r="L795" s="1" t="str">
        <f>IFERROR(VLOOKUP($K795,Players!$D:$E,2,FALSE),VLOOKUP($H795,Players!A:E,5,FALSE))</f>
        <v>K</v>
      </c>
    </row>
    <row r="796" ht="15.75" customHeight="1">
      <c r="A796" s="1">
        <v>2017.0</v>
      </c>
      <c r="B796" s="1" t="s">
        <v>46</v>
      </c>
      <c r="C796" s="1" t="s">
        <v>13</v>
      </c>
      <c r="D796" s="8">
        <v>9.0</v>
      </c>
      <c r="E796" s="8" t="str">
        <f t="shared" si="1"/>
        <v>Non-Playoff Team</v>
      </c>
      <c r="F796" s="8">
        <v>1.0</v>
      </c>
      <c r="G796" s="8">
        <v>10.0</v>
      </c>
      <c r="H796" s="1" t="s">
        <v>841</v>
      </c>
      <c r="I796" s="1" t="str">
        <f t="shared" si="2"/>
        <v>Devonta</v>
      </c>
      <c r="J796" s="1" t="str">
        <f t="shared" si="3"/>
        <v>Freeman</v>
      </c>
      <c r="K796" s="1" t="str">
        <f t="shared" si="4"/>
        <v>#N/A</v>
      </c>
      <c r="L796" s="1" t="str">
        <f>IFERROR(VLOOKUP($K796,Players!$D:$E,2,FALSE),VLOOKUP($H796,Players!A:E,5,FALSE))</f>
        <v>RB</v>
      </c>
    </row>
    <row r="797" ht="15.75" customHeight="1">
      <c r="A797" s="1">
        <v>2017.0</v>
      </c>
      <c r="B797" s="1" t="s">
        <v>46</v>
      </c>
      <c r="C797" s="1" t="s">
        <v>13</v>
      </c>
      <c r="D797" s="8">
        <v>9.0</v>
      </c>
      <c r="E797" s="8" t="str">
        <f t="shared" si="1"/>
        <v>Non-Playoff Team</v>
      </c>
      <c r="F797" s="8">
        <v>2.0</v>
      </c>
      <c r="G797" s="8">
        <v>15.0</v>
      </c>
      <c r="H797" s="1" t="s">
        <v>263</v>
      </c>
      <c r="I797" s="1" t="str">
        <f t="shared" si="2"/>
        <v>Amari</v>
      </c>
      <c r="J797" s="1" t="str">
        <f t="shared" si="3"/>
        <v>Cooper</v>
      </c>
      <c r="K797" s="1" t="str">
        <f t="shared" si="4"/>
        <v>#N/A</v>
      </c>
      <c r="L797" s="1" t="str">
        <f>IFERROR(VLOOKUP($K797,Players!$D:$E,2,FALSE),VLOOKUP($H797,Players!A:E,5,FALSE))</f>
        <v>WR</v>
      </c>
    </row>
    <row r="798" ht="15.75" customHeight="1">
      <c r="A798" s="1">
        <v>2017.0</v>
      </c>
      <c r="B798" s="1" t="s">
        <v>46</v>
      </c>
      <c r="C798" s="1" t="s">
        <v>13</v>
      </c>
      <c r="D798" s="8">
        <v>9.0</v>
      </c>
      <c r="E798" s="8" t="str">
        <f t="shared" si="1"/>
        <v>Non-Playoff Team</v>
      </c>
      <c r="F798" s="8">
        <v>3.0</v>
      </c>
      <c r="G798" s="8">
        <v>34.0</v>
      </c>
      <c r="H798" s="1" t="s">
        <v>260</v>
      </c>
      <c r="I798" s="1" t="str">
        <f t="shared" si="2"/>
        <v>Alshon</v>
      </c>
      <c r="J798" s="1" t="str">
        <f t="shared" si="3"/>
        <v>Jeffery</v>
      </c>
      <c r="K798" s="1" t="str">
        <f t="shared" si="4"/>
        <v>#N/A</v>
      </c>
      <c r="L798" s="1" t="str">
        <f>IFERROR(VLOOKUP($K798,Players!$D:$E,2,FALSE),VLOOKUP($H798,Players!A:E,5,FALSE))</f>
        <v>WR</v>
      </c>
    </row>
    <row r="799" ht="15.75" customHeight="1">
      <c r="A799" s="1">
        <v>2017.0</v>
      </c>
      <c r="B799" s="1" t="s">
        <v>46</v>
      </c>
      <c r="C799" s="1" t="s">
        <v>13</v>
      </c>
      <c r="D799" s="8">
        <v>9.0</v>
      </c>
      <c r="E799" s="8" t="str">
        <f t="shared" si="1"/>
        <v>Non-Playoff Team</v>
      </c>
      <c r="F799" s="8">
        <v>4.0</v>
      </c>
      <c r="G799" s="8">
        <v>39.0</v>
      </c>
      <c r="H799" s="1" t="s">
        <v>1604</v>
      </c>
      <c r="I799" s="1" t="str">
        <f t="shared" si="2"/>
        <v>Ty</v>
      </c>
      <c r="J799" s="1" t="str">
        <f t="shared" si="3"/>
        <v>Montgomery</v>
      </c>
      <c r="K799" s="1" t="str">
        <f t="shared" si="4"/>
        <v>#N/A</v>
      </c>
      <c r="L799" s="1" t="str">
        <f>IFERROR(VLOOKUP($K799,Players!$D:$E,2,FALSE),VLOOKUP($H799,Players!A:E,5,FALSE))</f>
        <v>RB</v>
      </c>
    </row>
    <row r="800" ht="15.75" customHeight="1">
      <c r="A800" s="1">
        <v>2017.0</v>
      </c>
      <c r="B800" s="1" t="s">
        <v>46</v>
      </c>
      <c r="C800" s="1" t="s">
        <v>13</v>
      </c>
      <c r="D800" s="8">
        <v>9.0</v>
      </c>
      <c r="E800" s="8" t="str">
        <f t="shared" si="1"/>
        <v>Non-Playoff Team</v>
      </c>
      <c r="F800" s="8">
        <v>5.0</v>
      </c>
      <c r="G800" s="8">
        <v>58.0</v>
      </c>
      <c r="H800" s="1" t="s">
        <v>1443</v>
      </c>
      <c r="I800" s="1" t="str">
        <f t="shared" si="2"/>
        <v>Jordan</v>
      </c>
      <c r="J800" s="1" t="str">
        <f t="shared" si="3"/>
        <v>Reed</v>
      </c>
      <c r="K800" s="1" t="str">
        <f t="shared" si="4"/>
        <v>#N/A</v>
      </c>
      <c r="L800" s="1" t="str">
        <f>IFERROR(VLOOKUP($K800,Players!$D:$E,2,FALSE),VLOOKUP($H800,Players!A:E,5,FALSE))</f>
        <v>TE</v>
      </c>
    </row>
    <row r="801" ht="15.75" customHeight="1">
      <c r="A801" s="1">
        <v>2017.0</v>
      </c>
      <c r="B801" s="1" t="s">
        <v>46</v>
      </c>
      <c r="C801" s="1" t="s">
        <v>13</v>
      </c>
      <c r="D801" s="8">
        <v>9.0</v>
      </c>
      <c r="E801" s="8" t="str">
        <f t="shared" si="1"/>
        <v>Non-Playoff Team</v>
      </c>
      <c r="F801" s="8">
        <v>6.0</v>
      </c>
      <c r="G801" s="8">
        <v>63.0</v>
      </c>
      <c r="H801" s="1" t="s">
        <v>117</v>
      </c>
      <c r="I801" s="1" t="str">
        <f t="shared" si="2"/>
        <v>Jarvis</v>
      </c>
      <c r="J801" s="1" t="str">
        <f t="shared" si="3"/>
        <v>Landry</v>
      </c>
      <c r="K801" s="1" t="str">
        <f t="shared" si="4"/>
        <v>#N/A</v>
      </c>
      <c r="L801" s="1" t="str">
        <f>IFERROR(VLOOKUP($K801,Players!$D:$E,2,FALSE),VLOOKUP($H801,Players!A:E,5,FALSE))</f>
        <v>WR</v>
      </c>
    </row>
    <row r="802" ht="15.75" customHeight="1">
      <c r="A802" s="1">
        <v>2017.0</v>
      </c>
      <c r="B802" s="1" t="s">
        <v>46</v>
      </c>
      <c r="C802" s="1" t="s">
        <v>13</v>
      </c>
      <c r="D802" s="8">
        <v>9.0</v>
      </c>
      <c r="E802" s="8" t="str">
        <f t="shared" si="1"/>
        <v>Non-Playoff Team</v>
      </c>
      <c r="F802" s="8">
        <v>7.0</v>
      </c>
      <c r="G802" s="8">
        <v>82.0</v>
      </c>
      <c r="H802" s="1" t="s">
        <v>1610</v>
      </c>
      <c r="I802" s="1" t="str">
        <f t="shared" si="2"/>
        <v>Marcus</v>
      </c>
      <c r="J802" s="1" t="str">
        <f t="shared" si="3"/>
        <v>Mariota</v>
      </c>
      <c r="K802" s="1" t="str">
        <f t="shared" si="4"/>
        <v>#N/A</v>
      </c>
      <c r="L802" s="1" t="str">
        <f>IFERROR(VLOOKUP($K802,Players!$D:$E,2,FALSE),VLOOKUP($H802,Players!A:E,5,FALSE))</f>
        <v>QB</v>
      </c>
    </row>
    <row r="803" ht="15.75" customHeight="1">
      <c r="A803" s="1">
        <v>2017.0</v>
      </c>
      <c r="B803" s="1" t="s">
        <v>46</v>
      </c>
      <c r="C803" s="1" t="s">
        <v>13</v>
      </c>
      <c r="D803" s="8">
        <v>9.0</v>
      </c>
      <c r="E803" s="8" t="str">
        <f t="shared" si="1"/>
        <v>Non-Playoff Team</v>
      </c>
      <c r="F803" s="8">
        <v>8.0</v>
      </c>
      <c r="G803" s="8">
        <v>87.0</v>
      </c>
      <c r="H803" s="1" t="s">
        <v>741</v>
      </c>
      <c r="I803" s="1" t="str">
        <f t="shared" si="2"/>
        <v>Emmanuel</v>
      </c>
      <c r="J803" s="1" t="str">
        <f t="shared" si="3"/>
        <v>Sanders</v>
      </c>
      <c r="K803" s="1" t="str">
        <f t="shared" si="4"/>
        <v>#N/A</v>
      </c>
      <c r="L803" s="1" t="str">
        <f>IFERROR(VLOOKUP($K803,Players!$D:$E,2,FALSE),VLOOKUP($H803,Players!A:E,5,FALSE))</f>
        <v>WR</v>
      </c>
    </row>
    <row r="804" ht="15.75" customHeight="1">
      <c r="A804" s="1">
        <v>2017.0</v>
      </c>
      <c r="B804" s="1" t="s">
        <v>46</v>
      </c>
      <c r="C804" s="1" t="s">
        <v>13</v>
      </c>
      <c r="D804" s="8">
        <v>9.0</v>
      </c>
      <c r="E804" s="8" t="str">
        <f t="shared" si="1"/>
        <v>Non-Playoff Team</v>
      </c>
      <c r="F804" s="8">
        <v>9.0</v>
      </c>
      <c r="G804" s="8">
        <v>106.0</v>
      </c>
      <c r="H804" s="1" t="s">
        <v>331</v>
      </c>
      <c r="I804" s="1" t="str">
        <f t="shared" si="2"/>
        <v>Kansas</v>
      </c>
      <c r="J804" s="1" t="str">
        <f t="shared" si="3"/>
        <v>City</v>
      </c>
      <c r="K804" s="1" t="str">
        <f t="shared" si="4"/>
        <v>#N/A</v>
      </c>
      <c r="L804" s="1" t="str">
        <f>IFERROR(VLOOKUP($K804,Players!$D:$E,2,FALSE),VLOOKUP($H804,Players!A:E,5,FALSE))</f>
        <v>DEF</v>
      </c>
    </row>
    <row r="805" ht="15.75" customHeight="1">
      <c r="A805" s="1">
        <v>2017.0</v>
      </c>
      <c r="B805" s="1" t="s">
        <v>46</v>
      </c>
      <c r="C805" s="1" t="s">
        <v>13</v>
      </c>
      <c r="D805" s="8">
        <v>9.0</v>
      </c>
      <c r="E805" s="8" t="str">
        <f t="shared" si="1"/>
        <v>Non-Playoff Team</v>
      </c>
      <c r="F805" s="8">
        <v>10.0</v>
      </c>
      <c r="G805" s="8">
        <v>111.0</v>
      </c>
      <c r="H805" s="1" t="s">
        <v>498</v>
      </c>
      <c r="I805" s="1" t="str">
        <f t="shared" si="2"/>
        <v>Duke</v>
      </c>
      <c r="J805" s="1" t="str">
        <f t="shared" si="3"/>
        <v>Johnson</v>
      </c>
      <c r="K805" s="1" t="str">
        <f t="shared" si="4"/>
        <v>#N/A</v>
      </c>
      <c r="L805" s="1" t="str">
        <f>IFERROR(VLOOKUP($K805,Players!$D:$E,2,FALSE),VLOOKUP($H805,Players!A:E,5,FALSE))</f>
        <v>RB</v>
      </c>
    </row>
    <row r="806" ht="15.75" customHeight="1">
      <c r="A806" s="1">
        <v>2017.0</v>
      </c>
      <c r="B806" s="1" t="s">
        <v>46</v>
      </c>
      <c r="C806" s="1" t="s">
        <v>13</v>
      </c>
      <c r="D806" s="8">
        <v>9.0</v>
      </c>
      <c r="E806" s="8" t="str">
        <f t="shared" si="1"/>
        <v>Non-Playoff Team</v>
      </c>
      <c r="F806" s="8">
        <v>11.0</v>
      </c>
      <c r="G806" s="8">
        <v>130.0</v>
      </c>
      <c r="H806" s="1" t="s">
        <v>430</v>
      </c>
      <c r="I806" s="1" t="str">
        <f t="shared" si="2"/>
        <v>Cooper</v>
      </c>
      <c r="J806" s="1" t="str">
        <f t="shared" si="3"/>
        <v>Kupp</v>
      </c>
      <c r="K806" s="1" t="str">
        <f t="shared" si="4"/>
        <v>#N/A</v>
      </c>
      <c r="L806" s="1" t="str">
        <f>IFERROR(VLOOKUP($K806,Players!$D:$E,2,FALSE),VLOOKUP($H806,Players!A:E,5,FALSE))</f>
        <v>WR</v>
      </c>
    </row>
    <row r="807" ht="15.75" customHeight="1">
      <c r="A807" s="1">
        <v>2017.0</v>
      </c>
      <c r="B807" s="1" t="s">
        <v>46</v>
      </c>
      <c r="C807" s="1" t="s">
        <v>13</v>
      </c>
      <c r="D807" s="8">
        <v>9.0</v>
      </c>
      <c r="E807" s="8" t="str">
        <f t="shared" si="1"/>
        <v>Non-Playoff Team</v>
      </c>
      <c r="F807" s="8">
        <v>12.0</v>
      </c>
      <c r="G807" s="8">
        <v>135.0</v>
      </c>
      <c r="H807" s="1" t="s">
        <v>318</v>
      </c>
      <c r="I807" s="1" t="str">
        <f t="shared" si="2"/>
        <v>Will</v>
      </c>
      <c r="J807" s="1" t="str">
        <f t="shared" si="3"/>
        <v>Fuller V</v>
      </c>
      <c r="K807" s="1" t="str">
        <f t="shared" si="4"/>
        <v>#N/A</v>
      </c>
      <c r="L807" s="1" t="str">
        <f>IFERROR(VLOOKUP($K807,Players!$D:$E,2,FALSE),VLOOKUP($H807,Players!A:E,5,FALSE))</f>
        <v>#N/A</v>
      </c>
    </row>
    <row r="808" ht="15.75" customHeight="1">
      <c r="A808" s="1">
        <v>2017.0</v>
      </c>
      <c r="B808" s="1" t="s">
        <v>46</v>
      </c>
      <c r="C808" s="1" t="s">
        <v>13</v>
      </c>
      <c r="D808" s="8">
        <v>9.0</v>
      </c>
      <c r="E808" s="8" t="str">
        <f t="shared" si="1"/>
        <v>Non-Playoff Team</v>
      </c>
      <c r="F808" s="8">
        <v>13.0</v>
      </c>
      <c r="G808" s="8">
        <v>154.0</v>
      </c>
      <c r="H808" s="1" t="s">
        <v>1403</v>
      </c>
      <c r="I808" s="1" t="str">
        <f t="shared" si="2"/>
        <v>Mason</v>
      </c>
      <c r="J808" s="1" t="str">
        <f t="shared" si="3"/>
        <v>Crosby</v>
      </c>
      <c r="K808" s="1" t="str">
        <f t="shared" si="4"/>
        <v>#N/A</v>
      </c>
      <c r="L808" s="1" t="str">
        <f>IFERROR(VLOOKUP($K808,Players!$D:$E,2,FALSE),VLOOKUP($H808,Players!A:E,5,FALSE))</f>
        <v>K</v>
      </c>
    </row>
    <row r="809" ht="15.75" customHeight="1">
      <c r="A809" s="1">
        <v>2017.0</v>
      </c>
      <c r="B809" s="1" t="s">
        <v>46</v>
      </c>
      <c r="C809" s="1" t="s">
        <v>13</v>
      </c>
      <c r="D809" s="8">
        <v>9.0</v>
      </c>
      <c r="E809" s="8" t="str">
        <f t="shared" si="1"/>
        <v>Non-Playoff Team</v>
      </c>
      <c r="F809" s="8">
        <v>14.0</v>
      </c>
      <c r="G809" s="8">
        <v>159.0</v>
      </c>
      <c r="H809" s="1" t="s">
        <v>1623</v>
      </c>
      <c r="I809" s="1" t="str">
        <f t="shared" si="2"/>
        <v>Wendell</v>
      </c>
      <c r="J809" s="1" t="str">
        <f t="shared" si="3"/>
        <v>Smallwood</v>
      </c>
      <c r="K809" s="1" t="str">
        <f t="shared" si="4"/>
        <v>#N/A</v>
      </c>
      <c r="L809" s="1" t="str">
        <f>IFERROR(VLOOKUP($K809,Players!$D:$E,2,FALSE),VLOOKUP($H809,Players!A:E,5,FALSE))</f>
        <v>RB</v>
      </c>
    </row>
    <row r="810" ht="15.75" customHeight="1">
      <c r="A810" s="1">
        <v>2017.0</v>
      </c>
      <c r="B810" s="1" t="s">
        <v>46</v>
      </c>
      <c r="C810" s="1" t="s">
        <v>13</v>
      </c>
      <c r="D810" s="8">
        <v>9.0</v>
      </c>
      <c r="E810" s="8" t="str">
        <f t="shared" si="1"/>
        <v>Non-Playoff Team</v>
      </c>
      <c r="F810" s="8">
        <v>15.0</v>
      </c>
      <c r="G810" s="8">
        <v>178.0</v>
      </c>
      <c r="H810" s="1" t="s">
        <v>1625</v>
      </c>
      <c r="I810" s="1" t="str">
        <f t="shared" si="2"/>
        <v>Mike</v>
      </c>
      <c r="J810" s="1" t="str">
        <f t="shared" si="3"/>
        <v>Williams</v>
      </c>
      <c r="K810" s="1" t="str">
        <f t="shared" si="4"/>
        <v>#N/A</v>
      </c>
      <c r="L810" s="1" t="str">
        <f>IFERROR(VLOOKUP($K810,Players!$D:$E,2,FALSE),VLOOKUP($H810,Players!A:E,5,FALSE))</f>
        <v>#N/A</v>
      </c>
    </row>
    <row r="811" ht="15.75" customHeight="1">
      <c r="A811" s="1">
        <v>2017.0</v>
      </c>
      <c r="B811" s="1" t="s">
        <v>44</v>
      </c>
      <c r="C811" s="1" t="s">
        <v>23</v>
      </c>
      <c r="D811" s="8">
        <v>10.0</v>
      </c>
      <c r="E811" s="8" t="str">
        <f t="shared" si="1"/>
        <v>Non-Playoff Team</v>
      </c>
      <c r="F811" s="8">
        <v>1.0</v>
      </c>
      <c r="G811" s="8">
        <v>3.0</v>
      </c>
      <c r="H811" s="1" t="s">
        <v>229</v>
      </c>
      <c r="I811" s="1" t="str">
        <f t="shared" si="2"/>
        <v>Antonio</v>
      </c>
      <c r="J811" s="1" t="str">
        <f t="shared" si="3"/>
        <v>Brown</v>
      </c>
      <c r="K811" s="1" t="str">
        <f t="shared" si="4"/>
        <v>#N/A</v>
      </c>
      <c r="L811" s="1" t="str">
        <f>IFERROR(VLOOKUP($K811,Players!$D:$E,2,FALSE),VLOOKUP($H811,Players!A:E,5,FALSE))</f>
        <v>WR</v>
      </c>
    </row>
    <row r="812" ht="15.75" customHeight="1">
      <c r="A812" s="1">
        <v>2017.0</v>
      </c>
      <c r="B812" s="1" t="s">
        <v>44</v>
      </c>
      <c r="C812" s="1" t="s">
        <v>23</v>
      </c>
      <c r="D812" s="8">
        <v>10.0</v>
      </c>
      <c r="E812" s="8" t="str">
        <f t="shared" si="1"/>
        <v>Non-Playoff Team</v>
      </c>
      <c r="F812" s="8">
        <v>2.0</v>
      </c>
      <c r="G812" s="8">
        <v>22.0</v>
      </c>
      <c r="H812" s="1" t="s">
        <v>176</v>
      </c>
      <c r="I812" s="1" t="str">
        <f t="shared" si="2"/>
        <v>Aaron</v>
      </c>
      <c r="J812" s="1" t="str">
        <f t="shared" si="3"/>
        <v>Rodgers</v>
      </c>
      <c r="K812" s="1" t="str">
        <f t="shared" si="4"/>
        <v>#N/A</v>
      </c>
      <c r="L812" s="1" t="str">
        <f>IFERROR(VLOOKUP($K812,Players!$D:$E,2,FALSE),VLOOKUP($H812,Players!A:E,5,FALSE))</f>
        <v>QB</v>
      </c>
    </row>
    <row r="813" ht="15.75" customHeight="1">
      <c r="A813" s="1">
        <v>2017.0</v>
      </c>
      <c r="B813" s="1" t="s">
        <v>44</v>
      </c>
      <c r="C813" s="1" t="s">
        <v>23</v>
      </c>
      <c r="D813" s="8">
        <v>10.0</v>
      </c>
      <c r="E813" s="8" t="str">
        <f t="shared" si="1"/>
        <v>Non-Playoff Team</v>
      </c>
      <c r="F813" s="8">
        <v>3.0</v>
      </c>
      <c r="G813" s="8">
        <v>27.0</v>
      </c>
      <c r="H813" s="1" t="s">
        <v>402</v>
      </c>
      <c r="I813" s="1" t="str">
        <f t="shared" si="2"/>
        <v>Leonard</v>
      </c>
      <c r="J813" s="1" t="str">
        <f t="shared" si="3"/>
        <v>Fournette</v>
      </c>
      <c r="K813" s="1" t="str">
        <f t="shared" si="4"/>
        <v>#N/A</v>
      </c>
      <c r="L813" s="1" t="str">
        <f>IFERROR(VLOOKUP($K813,Players!$D:$E,2,FALSE),VLOOKUP($H813,Players!A:E,5,FALSE))</f>
        <v>RB</v>
      </c>
    </row>
    <row r="814" ht="15.75" customHeight="1">
      <c r="A814" s="1">
        <v>2017.0</v>
      </c>
      <c r="B814" s="1" t="s">
        <v>44</v>
      </c>
      <c r="C814" s="1" t="s">
        <v>23</v>
      </c>
      <c r="D814" s="8">
        <v>10.0</v>
      </c>
      <c r="E814" s="8" t="str">
        <f t="shared" si="1"/>
        <v>Non-Playoff Team</v>
      </c>
      <c r="F814" s="8">
        <v>4.0</v>
      </c>
      <c r="G814" s="8">
        <v>46.0</v>
      </c>
      <c r="H814" s="1" t="s">
        <v>271</v>
      </c>
      <c r="I814" s="1" t="str">
        <f t="shared" si="2"/>
        <v>Ameer</v>
      </c>
      <c r="J814" s="1" t="str">
        <f t="shared" si="3"/>
        <v>Abdullah</v>
      </c>
      <c r="K814" s="1" t="str">
        <f t="shared" si="4"/>
        <v>#N/A</v>
      </c>
      <c r="L814" s="1" t="str">
        <f>IFERROR(VLOOKUP($K814,Players!$D:$E,2,FALSE),VLOOKUP($H814,Players!A:E,5,FALSE))</f>
        <v>RB</v>
      </c>
    </row>
    <row r="815" ht="15.75" customHeight="1">
      <c r="A815" s="1">
        <v>2017.0</v>
      </c>
      <c r="B815" s="1" t="s">
        <v>44</v>
      </c>
      <c r="C815" s="1" t="s">
        <v>23</v>
      </c>
      <c r="D815" s="8">
        <v>10.0</v>
      </c>
      <c r="E815" s="8" t="str">
        <f t="shared" si="1"/>
        <v>Non-Playoff Team</v>
      </c>
      <c r="F815" s="8">
        <v>5.0</v>
      </c>
      <c r="G815" s="8">
        <v>51.0</v>
      </c>
      <c r="H815" s="1" t="s">
        <v>1028</v>
      </c>
      <c r="I815" s="1" t="str">
        <f t="shared" si="2"/>
        <v>Greg</v>
      </c>
      <c r="J815" s="1" t="str">
        <f t="shared" si="3"/>
        <v>Olsen</v>
      </c>
      <c r="K815" s="1" t="str">
        <f t="shared" si="4"/>
        <v>#N/A</v>
      </c>
      <c r="L815" s="1" t="str">
        <f>IFERROR(VLOOKUP($K815,Players!$D:$E,2,FALSE),VLOOKUP($H815,Players!A:E,5,FALSE))</f>
        <v>TE</v>
      </c>
    </row>
    <row r="816" ht="15.75" customHeight="1">
      <c r="A816" s="1">
        <v>2017.0</v>
      </c>
      <c r="B816" s="1" t="s">
        <v>44</v>
      </c>
      <c r="C816" s="1" t="s">
        <v>23</v>
      </c>
      <c r="D816" s="8">
        <v>10.0</v>
      </c>
      <c r="E816" s="8" t="str">
        <f t="shared" si="1"/>
        <v>Non-Playoff Team</v>
      </c>
      <c r="F816" s="8">
        <v>6.0</v>
      </c>
      <c r="G816" s="8">
        <v>70.0</v>
      </c>
      <c r="H816" s="1" t="s">
        <v>536</v>
      </c>
      <c r="I816" s="1" t="str">
        <f t="shared" si="2"/>
        <v>Brandon</v>
      </c>
      <c r="J816" s="1" t="str">
        <f t="shared" si="3"/>
        <v>Marshall</v>
      </c>
      <c r="K816" s="1" t="str">
        <f t="shared" si="4"/>
        <v>#N/A</v>
      </c>
      <c r="L816" s="1" t="str">
        <f>IFERROR(VLOOKUP($K816,Players!$D:$E,2,FALSE),VLOOKUP($H816,Players!A:E,5,FALSE))</f>
        <v>WR</v>
      </c>
    </row>
    <row r="817" ht="15.75" customHeight="1">
      <c r="A817" s="1">
        <v>2017.0</v>
      </c>
      <c r="B817" s="1" t="s">
        <v>44</v>
      </c>
      <c r="C817" s="1" t="s">
        <v>23</v>
      </c>
      <c r="D817" s="8">
        <v>10.0</v>
      </c>
      <c r="E817" s="8" t="str">
        <f t="shared" si="1"/>
        <v>Non-Playoff Team</v>
      </c>
      <c r="F817" s="8">
        <v>7.0</v>
      </c>
      <c r="G817" s="8">
        <v>75.0</v>
      </c>
      <c r="H817" s="1" t="s">
        <v>790</v>
      </c>
      <c r="I817" s="1" t="str">
        <f t="shared" si="2"/>
        <v>Chris</v>
      </c>
      <c r="J817" s="1" t="str">
        <f t="shared" si="3"/>
        <v>Hogan</v>
      </c>
      <c r="K817" s="1" t="str">
        <f t="shared" si="4"/>
        <v>#N/A</v>
      </c>
      <c r="L817" s="1" t="str">
        <f>IFERROR(VLOOKUP($K817,Players!$D:$E,2,FALSE),VLOOKUP($H817,Players!A:E,5,FALSE))</f>
        <v>WR</v>
      </c>
    </row>
    <row r="818" ht="15.75" customHeight="1">
      <c r="A818" s="1">
        <v>2017.0</v>
      </c>
      <c r="B818" s="1" t="s">
        <v>44</v>
      </c>
      <c r="C818" s="1" t="s">
        <v>23</v>
      </c>
      <c r="D818" s="8">
        <v>10.0</v>
      </c>
      <c r="E818" s="8" t="str">
        <f t="shared" si="1"/>
        <v>Non-Playoff Team</v>
      </c>
      <c r="F818" s="8">
        <v>8.0</v>
      </c>
      <c r="G818" s="8">
        <v>94.0</v>
      </c>
      <c r="H818" s="1" t="s">
        <v>197</v>
      </c>
      <c r="I818" s="1" t="str">
        <f t="shared" si="2"/>
        <v>Adrian</v>
      </c>
      <c r="J818" s="1" t="str">
        <f t="shared" si="3"/>
        <v>Peterson</v>
      </c>
      <c r="K818" s="1" t="str">
        <f t="shared" si="4"/>
        <v>#N/A</v>
      </c>
      <c r="L818" s="1" t="str">
        <f>IFERROR(VLOOKUP($K818,Players!$D:$E,2,FALSE),VLOOKUP($H818,Players!A:E,5,FALSE))</f>
        <v>RB</v>
      </c>
    </row>
    <row r="819" ht="15.75" customHeight="1">
      <c r="A819" s="1">
        <v>2017.0</v>
      </c>
      <c r="B819" s="1" t="s">
        <v>44</v>
      </c>
      <c r="C819" s="1" t="s">
        <v>23</v>
      </c>
      <c r="D819" s="8">
        <v>10.0</v>
      </c>
      <c r="E819" s="8" t="str">
        <f t="shared" si="1"/>
        <v>Non-Playoff Team</v>
      </c>
      <c r="F819" s="8">
        <v>9.0</v>
      </c>
      <c r="G819" s="8">
        <v>99.0</v>
      </c>
      <c r="H819" s="1" t="s">
        <v>335</v>
      </c>
      <c r="I819" s="1" t="str">
        <f t="shared" si="2"/>
        <v>Randall</v>
      </c>
      <c r="J819" s="1" t="str">
        <f t="shared" si="3"/>
        <v>Cobb</v>
      </c>
      <c r="K819" s="1" t="str">
        <f t="shared" si="4"/>
        <v>#N/A</v>
      </c>
      <c r="L819" s="1" t="str">
        <f>IFERROR(VLOOKUP($K819,Players!$D:$E,2,FALSE),VLOOKUP($H819,Players!A:E,5,FALSE))</f>
        <v>WR</v>
      </c>
    </row>
    <row r="820" ht="15.75" customHeight="1">
      <c r="A820" s="1">
        <v>2017.0</v>
      </c>
      <c r="B820" s="1" t="s">
        <v>44</v>
      </c>
      <c r="C820" s="1" t="s">
        <v>23</v>
      </c>
      <c r="D820" s="8">
        <v>10.0</v>
      </c>
      <c r="E820" s="8" t="str">
        <f t="shared" si="1"/>
        <v>Non-Playoff Team</v>
      </c>
      <c r="F820" s="8">
        <v>10.0</v>
      </c>
      <c r="G820" s="8">
        <v>118.0</v>
      </c>
      <c r="H820" s="1" t="s">
        <v>864</v>
      </c>
      <c r="I820" s="1" t="str">
        <f t="shared" si="2"/>
        <v>Mohamed</v>
      </c>
      <c r="J820" s="1" t="str">
        <f t="shared" si="3"/>
        <v>Sanu Sr</v>
      </c>
      <c r="K820" s="1" t="str">
        <f t="shared" si="4"/>
        <v>#N/A</v>
      </c>
      <c r="L820" s="1" t="str">
        <f>IFERROR(VLOOKUP($K820,Players!$D:$E,2,FALSE),VLOOKUP($H820,Players!A:E,5,FALSE))</f>
        <v>#N/A</v>
      </c>
    </row>
    <row r="821" ht="15.75" customHeight="1">
      <c r="A821" s="1">
        <v>2017.0</v>
      </c>
      <c r="B821" s="1" t="s">
        <v>44</v>
      </c>
      <c r="C821" s="1" t="s">
        <v>23</v>
      </c>
      <c r="D821" s="8">
        <v>10.0</v>
      </c>
      <c r="E821" s="8" t="str">
        <f t="shared" si="1"/>
        <v>Non-Playoff Team</v>
      </c>
      <c r="F821" s="8">
        <v>11.0</v>
      </c>
      <c r="G821" s="8">
        <v>123.0</v>
      </c>
      <c r="H821" s="1" t="s">
        <v>502</v>
      </c>
      <c r="I821" s="1" t="str">
        <f t="shared" si="2"/>
        <v>#VALUE!</v>
      </c>
      <c r="J821" s="1" t="str">
        <f t="shared" si="3"/>
        <v>#VALUE!</v>
      </c>
      <c r="K821" s="1" t="str">
        <f t="shared" si="4"/>
        <v>#N/A</v>
      </c>
      <c r="L821" s="1" t="str">
        <f>IFERROR(VLOOKUP($K821,Players!$D:$E,2,FALSE),VLOOKUP($H821,Players!A:E,5,FALSE))</f>
        <v>DEF</v>
      </c>
    </row>
    <row r="822" ht="15.75" customHeight="1">
      <c r="A822" s="1">
        <v>2017.0</v>
      </c>
      <c r="B822" s="1" t="s">
        <v>44</v>
      </c>
      <c r="C822" s="1" t="s">
        <v>23</v>
      </c>
      <c r="D822" s="8">
        <v>10.0</v>
      </c>
      <c r="E822" s="8" t="str">
        <f t="shared" si="1"/>
        <v>Non-Playoff Team</v>
      </c>
      <c r="F822" s="8">
        <v>12.0</v>
      </c>
      <c r="G822" s="8">
        <v>142.0</v>
      </c>
      <c r="H822" s="1" t="s">
        <v>1647</v>
      </c>
      <c r="I822" s="1" t="str">
        <f t="shared" si="2"/>
        <v>Jason</v>
      </c>
      <c r="J822" s="1" t="str">
        <f t="shared" si="3"/>
        <v>Witten</v>
      </c>
      <c r="K822" s="1" t="str">
        <f t="shared" si="4"/>
        <v>#N/A</v>
      </c>
      <c r="L822" s="1" t="str">
        <f>IFERROR(VLOOKUP($K822,Players!$D:$E,2,FALSE),VLOOKUP($H822,Players!A:E,5,FALSE))</f>
        <v>TE</v>
      </c>
    </row>
    <row r="823" ht="15.75" customHeight="1">
      <c r="A823" s="1">
        <v>2017.0</v>
      </c>
      <c r="B823" s="1" t="s">
        <v>44</v>
      </c>
      <c r="C823" s="1" t="s">
        <v>23</v>
      </c>
      <c r="D823" s="8">
        <v>10.0</v>
      </c>
      <c r="E823" s="8" t="str">
        <f t="shared" si="1"/>
        <v>Non-Playoff Team</v>
      </c>
      <c r="F823" s="8">
        <v>13.0</v>
      </c>
      <c r="G823" s="8">
        <v>147.0</v>
      </c>
      <c r="H823" s="1" t="s">
        <v>306</v>
      </c>
      <c r="I823" s="1" t="str">
        <f t="shared" si="2"/>
        <v>Dak</v>
      </c>
      <c r="J823" s="1" t="str">
        <f t="shared" si="3"/>
        <v>Prescott</v>
      </c>
      <c r="K823" s="1" t="str">
        <f t="shared" si="4"/>
        <v>#N/A</v>
      </c>
      <c r="L823" s="1" t="str">
        <f>IFERROR(VLOOKUP($K823,Players!$D:$E,2,FALSE),VLOOKUP($H823,Players!A:E,5,FALSE))</f>
        <v>QB</v>
      </c>
    </row>
    <row r="824" ht="15.75" customHeight="1">
      <c r="A824" s="1">
        <v>2017.0</v>
      </c>
      <c r="B824" s="1" t="s">
        <v>44</v>
      </c>
      <c r="C824" s="1" t="s">
        <v>23</v>
      </c>
      <c r="D824" s="8">
        <v>10.0</v>
      </c>
      <c r="E824" s="8" t="str">
        <f t="shared" si="1"/>
        <v>Non-Playoff Team</v>
      </c>
      <c r="F824" s="8">
        <v>14.0</v>
      </c>
      <c r="G824" s="8">
        <v>166.0</v>
      </c>
      <c r="H824" s="1" t="s">
        <v>674</v>
      </c>
      <c r="I824" s="1" t="str">
        <f t="shared" si="2"/>
        <v>Caleb</v>
      </c>
      <c r="J824" s="1" t="str">
        <f t="shared" si="3"/>
        <v>Sturgis</v>
      </c>
      <c r="K824" s="1" t="str">
        <f t="shared" si="4"/>
        <v>#N/A</v>
      </c>
      <c r="L824" s="1" t="str">
        <f>IFERROR(VLOOKUP($K824,Players!$D:$E,2,FALSE),VLOOKUP($H824,Players!A:E,5,FALSE))</f>
        <v>K</v>
      </c>
    </row>
    <row r="825" ht="15.75" customHeight="1">
      <c r="A825" s="1">
        <v>2017.0</v>
      </c>
      <c r="B825" s="1" t="s">
        <v>44</v>
      </c>
      <c r="C825" s="1" t="s">
        <v>23</v>
      </c>
      <c r="D825" s="8">
        <v>10.0</v>
      </c>
      <c r="E825" s="8" t="str">
        <f t="shared" si="1"/>
        <v>Non-Playoff Team</v>
      </c>
      <c r="F825" s="8">
        <v>15.0</v>
      </c>
      <c r="G825" s="8">
        <v>171.0</v>
      </c>
      <c r="H825" s="1" t="s">
        <v>1651</v>
      </c>
      <c r="I825" s="1" t="str">
        <f t="shared" si="2"/>
        <v>Jonathan</v>
      </c>
      <c r="J825" s="1" t="str">
        <f t="shared" si="3"/>
        <v>Stewart</v>
      </c>
      <c r="K825" s="1" t="str">
        <f t="shared" si="4"/>
        <v>#N/A</v>
      </c>
      <c r="L825" s="1" t="str">
        <f>IFERROR(VLOOKUP($K825,Players!$D:$E,2,FALSE),VLOOKUP($H825,Players!A:E,5,FALSE))</f>
        <v>RB</v>
      </c>
    </row>
    <row r="826" ht="15.75" customHeight="1">
      <c r="A826" s="1">
        <v>2017.0</v>
      </c>
      <c r="B826" s="1" t="s">
        <v>50</v>
      </c>
      <c r="C826" s="1" t="s">
        <v>8</v>
      </c>
      <c r="D826" s="8">
        <v>7.0</v>
      </c>
      <c r="E826" s="8" t="str">
        <f t="shared" si="1"/>
        <v>Non-Playoff Team</v>
      </c>
      <c r="F826" s="8">
        <v>1.0</v>
      </c>
      <c r="G826" s="8">
        <v>12.0</v>
      </c>
      <c r="H826" s="1" t="s">
        <v>270</v>
      </c>
      <c r="I826" s="1" t="str">
        <f t="shared" si="2"/>
        <v>Michael</v>
      </c>
      <c r="J826" s="1" t="str">
        <f t="shared" si="3"/>
        <v>Thomas</v>
      </c>
      <c r="K826" s="1" t="str">
        <f t="shared" si="4"/>
        <v>#N/A</v>
      </c>
      <c r="L826" s="1" t="str">
        <f>IFERROR(VLOOKUP($K826,Players!$D:$E,2,FALSE),VLOOKUP($H826,Players!A:E,5,FALSE))</f>
        <v>WR</v>
      </c>
    </row>
    <row r="827" ht="15.75" customHeight="1">
      <c r="A827" s="1">
        <v>2017.0</v>
      </c>
      <c r="B827" s="1" t="s">
        <v>50</v>
      </c>
      <c r="C827" s="1" t="s">
        <v>8</v>
      </c>
      <c r="D827" s="8">
        <v>7.0</v>
      </c>
      <c r="E827" s="8" t="str">
        <f t="shared" si="1"/>
        <v>Non-Playoff Team</v>
      </c>
      <c r="F827" s="8">
        <v>2.0</v>
      </c>
      <c r="G827" s="8">
        <v>13.0</v>
      </c>
      <c r="H827" s="1" t="s">
        <v>360</v>
      </c>
      <c r="I827" s="1" t="str">
        <f t="shared" si="2"/>
        <v>Melvin</v>
      </c>
      <c r="J827" s="1" t="str">
        <f t="shared" si="3"/>
        <v>Gordon III</v>
      </c>
      <c r="K827" s="1" t="str">
        <f t="shared" si="4"/>
        <v>#N/A</v>
      </c>
      <c r="L827" s="1" t="str">
        <f>IFERROR(VLOOKUP($K827,Players!$D:$E,2,FALSE),VLOOKUP($H827,Players!A:E,5,FALSE))</f>
        <v>#N/A</v>
      </c>
    </row>
    <row r="828" ht="15.75" customHeight="1">
      <c r="A828" s="1">
        <v>2017.0</v>
      </c>
      <c r="B828" s="1" t="s">
        <v>50</v>
      </c>
      <c r="C828" s="1" t="s">
        <v>8</v>
      </c>
      <c r="D828" s="8">
        <v>7.0</v>
      </c>
      <c r="E828" s="8" t="str">
        <f t="shared" si="1"/>
        <v>Non-Playoff Team</v>
      </c>
      <c r="F828" s="8">
        <v>3.0</v>
      </c>
      <c r="G828" s="8">
        <v>36.0</v>
      </c>
      <c r="H828" s="1" t="s">
        <v>209</v>
      </c>
      <c r="I828" s="1" t="str">
        <f t="shared" si="2"/>
        <v>Carlos</v>
      </c>
      <c r="J828" s="1" t="str">
        <f t="shared" si="3"/>
        <v>Hyde</v>
      </c>
      <c r="K828" s="1" t="str">
        <f t="shared" si="4"/>
        <v>#N/A</v>
      </c>
      <c r="L828" s="1" t="str">
        <f>IFERROR(VLOOKUP($K828,Players!$D:$E,2,FALSE),VLOOKUP($H828,Players!A:E,5,FALSE))</f>
        <v>RB</v>
      </c>
    </row>
    <row r="829" ht="15.75" customHeight="1">
      <c r="A829" s="1">
        <v>2017.0</v>
      </c>
      <c r="B829" s="1" t="s">
        <v>50</v>
      </c>
      <c r="C829" s="1" t="s">
        <v>8</v>
      </c>
      <c r="D829" s="8">
        <v>7.0</v>
      </c>
      <c r="E829" s="8" t="str">
        <f t="shared" si="1"/>
        <v>Non-Playoff Team</v>
      </c>
      <c r="F829" s="8">
        <v>4.0</v>
      </c>
      <c r="G829" s="8">
        <v>37.0</v>
      </c>
      <c r="H829" s="1" t="s">
        <v>714</v>
      </c>
      <c r="I829" s="1" t="str">
        <f t="shared" si="2"/>
        <v>Drew</v>
      </c>
      <c r="J829" s="1" t="str">
        <f t="shared" si="3"/>
        <v>Brees</v>
      </c>
      <c r="K829" s="1" t="str">
        <f t="shared" si="4"/>
        <v>#N/A</v>
      </c>
      <c r="L829" s="1" t="str">
        <f>IFERROR(VLOOKUP($K829,Players!$D:$E,2,FALSE),VLOOKUP($H829,Players!A:E,5,FALSE))</f>
        <v>QB</v>
      </c>
    </row>
    <row r="830" ht="15.75" customHeight="1">
      <c r="A830" s="1">
        <v>2017.0</v>
      </c>
      <c r="B830" s="1" t="s">
        <v>50</v>
      </c>
      <c r="C830" s="1" t="s">
        <v>8</v>
      </c>
      <c r="D830" s="8">
        <v>7.0</v>
      </c>
      <c r="E830" s="8" t="str">
        <f t="shared" si="1"/>
        <v>Non-Playoff Team</v>
      </c>
      <c r="F830" s="8">
        <v>5.0</v>
      </c>
      <c r="G830" s="8">
        <v>60.0</v>
      </c>
      <c r="H830" s="1" t="s">
        <v>478</v>
      </c>
      <c r="I830" s="1" t="str">
        <f t="shared" si="2"/>
        <v>DeVante</v>
      </c>
      <c r="J830" s="1" t="str">
        <f t="shared" si="3"/>
        <v>Parker</v>
      </c>
      <c r="K830" s="1" t="str">
        <f t="shared" si="4"/>
        <v>#N/A</v>
      </c>
      <c r="L830" s="1" t="str">
        <f>IFERROR(VLOOKUP($K830,Players!$D:$E,2,FALSE),VLOOKUP($H830,Players!A:E,5,FALSE))</f>
        <v>WR</v>
      </c>
    </row>
    <row r="831" ht="15.75" customHeight="1">
      <c r="A831" s="1">
        <v>2017.0</v>
      </c>
      <c r="B831" s="1" t="s">
        <v>50</v>
      </c>
      <c r="C831" s="1" t="s">
        <v>8</v>
      </c>
      <c r="D831" s="8">
        <v>7.0</v>
      </c>
      <c r="E831" s="8" t="str">
        <f t="shared" si="1"/>
        <v>Non-Playoff Team</v>
      </c>
      <c r="F831" s="8">
        <v>6.0</v>
      </c>
      <c r="G831" s="8">
        <v>61.0</v>
      </c>
      <c r="H831" s="1" t="s">
        <v>488</v>
      </c>
      <c r="I831" s="1" t="str">
        <f t="shared" si="2"/>
        <v>Jamison</v>
      </c>
      <c r="J831" s="1" t="str">
        <f t="shared" si="3"/>
        <v>Crowder</v>
      </c>
      <c r="K831" s="1" t="str">
        <f t="shared" si="4"/>
        <v>#N/A</v>
      </c>
      <c r="L831" s="1" t="str">
        <f>IFERROR(VLOOKUP($K831,Players!$D:$E,2,FALSE),VLOOKUP($H831,Players!A:E,5,FALSE))</f>
        <v>WR</v>
      </c>
    </row>
    <row r="832" ht="15.75" customHeight="1">
      <c r="A832" s="1">
        <v>2017.0</v>
      </c>
      <c r="B832" s="1" t="s">
        <v>50</v>
      </c>
      <c r="C832" s="1" t="s">
        <v>8</v>
      </c>
      <c r="D832" s="8">
        <v>7.0</v>
      </c>
      <c r="E832" s="8" t="str">
        <f t="shared" si="1"/>
        <v>Non-Playoff Team</v>
      </c>
      <c r="F832" s="8">
        <v>7.0</v>
      </c>
      <c r="G832" s="8">
        <v>84.0</v>
      </c>
      <c r="H832" s="1" t="s">
        <v>1661</v>
      </c>
      <c r="I832" s="1" t="str">
        <f t="shared" si="2"/>
        <v>Martellus</v>
      </c>
      <c r="J832" s="1" t="str">
        <f t="shared" si="3"/>
        <v>Bennett</v>
      </c>
      <c r="K832" s="1" t="str">
        <f t="shared" si="4"/>
        <v>#N/A</v>
      </c>
      <c r="L832" s="1" t="str">
        <f>IFERROR(VLOOKUP($K832,Players!$D:$E,2,FALSE),VLOOKUP($H832,Players!A:E,5,FALSE))</f>
        <v>TE</v>
      </c>
    </row>
    <row r="833" ht="15.75" customHeight="1">
      <c r="A833" s="1">
        <v>2017.0</v>
      </c>
      <c r="B833" s="1" t="s">
        <v>50</v>
      </c>
      <c r="C833" s="1" t="s">
        <v>8</v>
      </c>
      <c r="D833" s="8">
        <v>7.0</v>
      </c>
      <c r="E833" s="8" t="str">
        <f t="shared" si="1"/>
        <v>Non-Playoff Team</v>
      </c>
      <c r="F833" s="8">
        <v>8.0</v>
      </c>
      <c r="G833" s="8">
        <v>85.0</v>
      </c>
      <c r="H833" s="1" t="s">
        <v>1016</v>
      </c>
      <c r="I833" s="1" t="str">
        <f t="shared" si="2"/>
        <v>Darren</v>
      </c>
      <c r="J833" s="1" t="str">
        <f t="shared" si="3"/>
        <v>Sproles</v>
      </c>
      <c r="K833" s="1" t="str">
        <f t="shared" si="4"/>
        <v>#N/A</v>
      </c>
      <c r="L833" s="1" t="str">
        <f>IFERROR(VLOOKUP($K833,Players!$D:$E,2,FALSE),VLOOKUP($H833,Players!A:E,5,FALSE))</f>
        <v>RB</v>
      </c>
    </row>
    <row r="834" ht="15.75" customHeight="1">
      <c r="A834" s="1">
        <v>2017.0</v>
      </c>
      <c r="B834" s="1" t="s">
        <v>50</v>
      </c>
      <c r="C834" s="1" t="s">
        <v>8</v>
      </c>
      <c r="D834" s="8">
        <v>7.0</v>
      </c>
      <c r="E834" s="8" t="str">
        <f t="shared" si="1"/>
        <v>Non-Playoff Team</v>
      </c>
      <c r="F834" s="8">
        <v>9.0</v>
      </c>
      <c r="G834" s="8">
        <v>108.0</v>
      </c>
      <c r="H834" s="1" t="s">
        <v>91</v>
      </c>
      <c r="I834" s="1" t="str">
        <f t="shared" si="2"/>
        <v>Tyrell</v>
      </c>
      <c r="J834" s="1" t="str">
        <f t="shared" si="3"/>
        <v>Williams</v>
      </c>
      <c r="K834" s="1" t="str">
        <f t="shared" si="4"/>
        <v>#N/A</v>
      </c>
      <c r="L834" s="1" t="str">
        <f>IFERROR(VLOOKUP($K834,Players!$D:$E,2,FALSE),VLOOKUP($H834,Players!A:E,5,FALSE))</f>
        <v>WR</v>
      </c>
    </row>
    <row r="835" ht="15.75" customHeight="1">
      <c r="A835" s="1">
        <v>2017.0</v>
      </c>
      <c r="B835" s="1" t="s">
        <v>50</v>
      </c>
      <c r="C835" s="1" t="s">
        <v>8</v>
      </c>
      <c r="D835" s="8">
        <v>7.0</v>
      </c>
      <c r="E835" s="8" t="str">
        <f t="shared" si="1"/>
        <v>Non-Playoff Team</v>
      </c>
      <c r="F835" s="8">
        <v>10.0</v>
      </c>
      <c r="G835" s="8">
        <v>109.0</v>
      </c>
      <c r="H835" s="1" t="s">
        <v>1665</v>
      </c>
      <c r="I835" s="1" t="str">
        <f t="shared" si="2"/>
        <v>Jordan</v>
      </c>
      <c r="J835" s="1" t="str">
        <f t="shared" si="3"/>
        <v>Matthews</v>
      </c>
      <c r="K835" s="1" t="str">
        <f t="shared" si="4"/>
        <v>#N/A</v>
      </c>
      <c r="L835" s="1" t="str">
        <f>IFERROR(VLOOKUP($K835,Players!$D:$E,2,FALSE),VLOOKUP($H835,Players!A:E,5,FALSE))</f>
        <v>TE</v>
      </c>
    </row>
    <row r="836" ht="15.75" customHeight="1">
      <c r="A836" s="1">
        <v>2017.0</v>
      </c>
      <c r="B836" s="1" t="s">
        <v>50</v>
      </c>
      <c r="C836" s="1" t="s">
        <v>8</v>
      </c>
      <c r="D836" s="8">
        <v>7.0</v>
      </c>
      <c r="E836" s="8" t="str">
        <f t="shared" si="1"/>
        <v>Non-Playoff Team</v>
      </c>
      <c r="F836" s="8">
        <v>11.0</v>
      </c>
      <c r="G836" s="8">
        <v>132.0</v>
      </c>
      <c r="H836" s="1" t="s">
        <v>369</v>
      </c>
      <c r="I836" s="1" t="str">
        <f t="shared" si="2"/>
        <v>New</v>
      </c>
      <c r="J836" s="1" t="str">
        <f t="shared" si="3"/>
        <v>England</v>
      </c>
      <c r="K836" s="1" t="str">
        <f t="shared" si="4"/>
        <v>#N/A</v>
      </c>
      <c r="L836" s="1" t="str">
        <f>IFERROR(VLOOKUP($K836,Players!$D:$E,2,FALSE),VLOOKUP($H836,Players!A:E,5,FALSE))</f>
        <v>DEF</v>
      </c>
    </row>
    <row r="837" ht="15.75" customHeight="1">
      <c r="A837" s="1">
        <v>2017.0</v>
      </c>
      <c r="B837" s="1" t="s">
        <v>50</v>
      </c>
      <c r="C837" s="1" t="s">
        <v>8</v>
      </c>
      <c r="D837" s="8">
        <v>7.0</v>
      </c>
      <c r="E837" s="8" t="str">
        <f t="shared" si="1"/>
        <v>Non-Playoff Team</v>
      </c>
      <c r="F837" s="8">
        <v>12.0</v>
      </c>
      <c r="G837" s="8">
        <v>133.0</v>
      </c>
      <c r="H837" s="1" t="s">
        <v>130</v>
      </c>
      <c r="I837" s="1" t="str">
        <f t="shared" si="2"/>
        <v>Kenny</v>
      </c>
      <c r="J837" s="1" t="str">
        <f t="shared" si="3"/>
        <v>Golladay</v>
      </c>
      <c r="K837" s="1" t="str">
        <f t="shared" si="4"/>
        <v>#N/A</v>
      </c>
      <c r="L837" s="1" t="str">
        <f>IFERROR(VLOOKUP($K837,Players!$D:$E,2,FALSE),VLOOKUP($H837,Players!A:E,5,FALSE))</f>
        <v>WR</v>
      </c>
    </row>
    <row r="838" ht="15.75" customHeight="1">
      <c r="A838" s="1">
        <v>2017.0</v>
      </c>
      <c r="B838" s="1" t="s">
        <v>50</v>
      </c>
      <c r="C838" s="1" t="s">
        <v>8</v>
      </c>
      <c r="D838" s="8">
        <v>7.0</v>
      </c>
      <c r="E838" s="8" t="str">
        <f t="shared" si="1"/>
        <v>Non-Playoff Team</v>
      </c>
      <c r="F838" s="8">
        <v>13.0</v>
      </c>
      <c r="G838" s="8">
        <v>156.0</v>
      </c>
      <c r="H838" s="1" t="s">
        <v>1276</v>
      </c>
      <c r="I838" s="1" t="str">
        <f t="shared" si="2"/>
        <v>Rex</v>
      </c>
      <c r="J838" s="1" t="str">
        <f t="shared" si="3"/>
        <v>Burkhead</v>
      </c>
      <c r="K838" s="1" t="str">
        <f t="shared" si="4"/>
        <v>#N/A</v>
      </c>
      <c r="L838" s="1" t="str">
        <f>IFERROR(VLOOKUP($K838,Players!$D:$E,2,FALSE),VLOOKUP($H838,Players!A:E,5,FALSE))</f>
        <v>RB</v>
      </c>
    </row>
    <row r="839" ht="15.75" customHeight="1">
      <c r="A839" s="1">
        <v>2017.0</v>
      </c>
      <c r="B839" s="1" t="s">
        <v>50</v>
      </c>
      <c r="C839" s="1" t="s">
        <v>8</v>
      </c>
      <c r="D839" s="8">
        <v>7.0</v>
      </c>
      <c r="E839" s="8" t="str">
        <f t="shared" si="1"/>
        <v>Non-Playoff Team</v>
      </c>
      <c r="F839" s="8">
        <v>14.0</v>
      </c>
      <c r="G839" s="8">
        <v>157.0</v>
      </c>
      <c r="H839" s="1" t="s">
        <v>307</v>
      </c>
      <c r="I839" s="1" t="str">
        <f t="shared" si="2"/>
        <v>Andy</v>
      </c>
      <c r="J839" s="1" t="str">
        <f t="shared" si="3"/>
        <v>Dalton</v>
      </c>
      <c r="K839" s="1" t="str">
        <f t="shared" si="4"/>
        <v>#N/A</v>
      </c>
      <c r="L839" s="1" t="str">
        <f>IFERROR(VLOOKUP($K839,Players!$D:$E,2,FALSE),VLOOKUP($H839,Players!A:E,5,FALSE))</f>
        <v>QB</v>
      </c>
    </row>
    <row r="840" ht="15.75" customHeight="1">
      <c r="A840" s="1">
        <v>2017.0</v>
      </c>
      <c r="B840" s="1" t="s">
        <v>50</v>
      </c>
      <c r="C840" s="1" t="s">
        <v>8</v>
      </c>
      <c r="D840" s="8">
        <v>7.0</v>
      </c>
      <c r="E840" s="8" t="str">
        <f t="shared" si="1"/>
        <v>Non-Playoff Team</v>
      </c>
      <c r="F840" s="8">
        <v>15.0</v>
      </c>
      <c r="G840" s="8">
        <v>180.0</v>
      </c>
      <c r="H840" s="1" t="s">
        <v>537</v>
      </c>
      <c r="I840" s="1" t="str">
        <f t="shared" si="2"/>
        <v>Brandon</v>
      </c>
      <c r="J840" s="1" t="str">
        <f t="shared" si="3"/>
        <v>McManus</v>
      </c>
      <c r="K840" s="1" t="str">
        <f t="shared" si="4"/>
        <v>#N/A</v>
      </c>
      <c r="L840" s="1" t="str">
        <f>IFERROR(VLOOKUP($K840,Players!$D:$E,2,FALSE),VLOOKUP($H840,Players!A:E,5,FALSE))</f>
        <v>K</v>
      </c>
    </row>
    <row r="841" ht="15.75" customHeight="1">
      <c r="A841" s="1">
        <v>2017.0</v>
      </c>
      <c r="B841" s="1" t="s">
        <v>16</v>
      </c>
      <c r="C841" s="1" t="s">
        <v>15</v>
      </c>
      <c r="D841" s="8">
        <v>8.0</v>
      </c>
      <c r="E841" s="8" t="str">
        <f t="shared" si="1"/>
        <v>Non-Playoff Team</v>
      </c>
      <c r="F841" s="8">
        <v>1.0</v>
      </c>
      <c r="G841" s="8">
        <v>9.0</v>
      </c>
      <c r="H841" s="1" t="s">
        <v>751</v>
      </c>
      <c r="I841" s="1" t="str">
        <f t="shared" si="2"/>
        <v>LeSean</v>
      </c>
      <c r="J841" s="1" t="str">
        <f t="shared" si="3"/>
        <v>McCoy</v>
      </c>
      <c r="K841" s="1" t="str">
        <f t="shared" si="4"/>
        <v>#N/A</v>
      </c>
      <c r="L841" s="1" t="str">
        <f>IFERROR(VLOOKUP($K841,Players!$D:$E,2,FALSE),VLOOKUP($H841,Players!A:E,5,FALSE))</f>
        <v>RB</v>
      </c>
    </row>
    <row r="842" ht="15.75" customHeight="1">
      <c r="A842" s="1">
        <v>2017.0</v>
      </c>
      <c r="B842" s="1" t="s">
        <v>16</v>
      </c>
      <c r="C842" s="1" t="s">
        <v>15</v>
      </c>
      <c r="D842" s="8">
        <v>8.0</v>
      </c>
      <c r="E842" s="8" t="str">
        <f t="shared" si="1"/>
        <v>Non-Playoff Team</v>
      </c>
      <c r="F842" s="8">
        <v>2.0</v>
      </c>
      <c r="G842" s="8">
        <v>16.0</v>
      </c>
      <c r="H842" s="1" t="s">
        <v>147</v>
      </c>
      <c r="I842" s="1" t="str">
        <f t="shared" si="2"/>
        <v>Brandin</v>
      </c>
      <c r="J842" s="1" t="str">
        <f t="shared" si="3"/>
        <v>Cooks</v>
      </c>
      <c r="K842" s="1" t="str">
        <f t="shared" si="4"/>
        <v>#N/A</v>
      </c>
      <c r="L842" s="1" t="str">
        <f>IFERROR(VLOOKUP($K842,Players!$D:$E,2,FALSE),VLOOKUP($H842,Players!A:E,5,FALSE))</f>
        <v>WR</v>
      </c>
    </row>
    <row r="843" ht="15.75" customHeight="1">
      <c r="A843" s="1">
        <v>2017.0</v>
      </c>
      <c r="B843" s="1" t="s">
        <v>16</v>
      </c>
      <c r="C843" s="1" t="s">
        <v>15</v>
      </c>
      <c r="D843" s="8">
        <v>8.0</v>
      </c>
      <c r="E843" s="8" t="str">
        <f t="shared" si="1"/>
        <v>Non-Playoff Team</v>
      </c>
      <c r="F843" s="8">
        <v>3.0</v>
      </c>
      <c r="G843" s="8">
        <v>33.0</v>
      </c>
      <c r="H843" s="1" t="s">
        <v>78</v>
      </c>
      <c r="I843" s="1" t="str">
        <f t="shared" si="2"/>
        <v>Christian</v>
      </c>
      <c r="J843" s="1" t="str">
        <f t="shared" si="3"/>
        <v>McCaffrey</v>
      </c>
      <c r="K843" s="1" t="str">
        <f t="shared" si="4"/>
        <v>#N/A</v>
      </c>
      <c r="L843" s="1" t="str">
        <f>IFERROR(VLOOKUP($K843,Players!$D:$E,2,FALSE),VLOOKUP($H843,Players!A:E,5,FALSE))</f>
        <v>RB</v>
      </c>
    </row>
    <row r="844" ht="15.75" customHeight="1">
      <c r="A844" s="1">
        <v>2017.0</v>
      </c>
      <c r="B844" s="1" t="s">
        <v>16</v>
      </c>
      <c r="C844" s="1" t="s">
        <v>15</v>
      </c>
      <c r="D844" s="8">
        <v>8.0</v>
      </c>
      <c r="E844" s="8" t="str">
        <f t="shared" si="1"/>
        <v>Non-Playoff Team</v>
      </c>
      <c r="F844" s="8">
        <v>4.0</v>
      </c>
      <c r="G844" s="8">
        <v>40.0</v>
      </c>
      <c r="H844" s="1" t="s">
        <v>80</v>
      </c>
      <c r="I844" s="1" t="str">
        <f t="shared" si="2"/>
        <v>Keenan</v>
      </c>
      <c r="J844" s="1" t="str">
        <f t="shared" si="3"/>
        <v>Allen</v>
      </c>
      <c r="K844" s="1" t="str">
        <f t="shared" si="4"/>
        <v>#N/A</v>
      </c>
      <c r="L844" s="1" t="str">
        <f>IFERROR(VLOOKUP($K844,Players!$D:$E,2,FALSE),VLOOKUP($H844,Players!A:E,5,FALSE))</f>
        <v>WR</v>
      </c>
    </row>
    <row r="845" ht="15.75" customHeight="1">
      <c r="A845" s="1">
        <v>2017.0</v>
      </c>
      <c r="B845" s="1" t="s">
        <v>16</v>
      </c>
      <c r="C845" s="1" t="s">
        <v>15</v>
      </c>
      <c r="D845" s="8">
        <v>8.0</v>
      </c>
      <c r="E845" s="8" t="str">
        <f t="shared" si="1"/>
        <v>Non-Playoff Team</v>
      </c>
      <c r="F845" s="8">
        <v>5.0</v>
      </c>
      <c r="G845" s="8">
        <v>57.0</v>
      </c>
      <c r="H845" s="1" t="s">
        <v>1682</v>
      </c>
      <c r="I845" s="1" t="str">
        <f t="shared" si="2"/>
        <v>Jeremy</v>
      </c>
      <c r="J845" s="1" t="str">
        <f t="shared" si="3"/>
        <v>Maclin</v>
      </c>
      <c r="K845" s="1" t="str">
        <f t="shared" si="4"/>
        <v>#N/A</v>
      </c>
      <c r="L845" s="1" t="str">
        <f>IFERROR(VLOOKUP($K845,Players!$D:$E,2,FALSE),VLOOKUP($H845,Players!A:E,5,FALSE))</f>
        <v>WR</v>
      </c>
    </row>
    <row r="846" ht="15.75" customHeight="1">
      <c r="A846" s="1">
        <v>2017.0</v>
      </c>
      <c r="B846" s="1" t="s">
        <v>16</v>
      </c>
      <c r="C846" s="1" t="s">
        <v>15</v>
      </c>
      <c r="D846" s="8">
        <v>8.0</v>
      </c>
      <c r="E846" s="8" t="str">
        <f t="shared" si="1"/>
        <v>Non-Playoff Team</v>
      </c>
      <c r="F846" s="8">
        <v>6.0</v>
      </c>
      <c r="G846" s="8">
        <v>64.0</v>
      </c>
      <c r="H846" s="1" t="s">
        <v>888</v>
      </c>
      <c r="I846" s="1" t="str">
        <f t="shared" si="2"/>
        <v>Corey</v>
      </c>
      <c r="J846" s="1" t="str">
        <f t="shared" si="3"/>
        <v>Coleman</v>
      </c>
      <c r="K846" s="1" t="str">
        <f t="shared" si="4"/>
        <v>#N/A</v>
      </c>
      <c r="L846" s="1" t="str">
        <f>IFERROR(VLOOKUP($K846,Players!$D:$E,2,FALSE),VLOOKUP($H846,Players!A:E,5,FALSE))</f>
        <v>WR</v>
      </c>
    </row>
    <row r="847" ht="15.75" customHeight="1">
      <c r="A847" s="1">
        <v>2017.0</v>
      </c>
      <c r="B847" s="1" t="s">
        <v>16</v>
      </c>
      <c r="C847" s="1" t="s">
        <v>15</v>
      </c>
      <c r="D847" s="8">
        <v>8.0</v>
      </c>
      <c r="E847" s="8" t="str">
        <f t="shared" si="1"/>
        <v>Non-Playoff Team</v>
      </c>
      <c r="F847" s="8">
        <v>7.0</v>
      </c>
      <c r="G847" s="8">
        <v>81.0</v>
      </c>
      <c r="H847" s="1" t="s">
        <v>1105</v>
      </c>
      <c r="I847" s="1" t="str">
        <f t="shared" si="2"/>
        <v>Jameis</v>
      </c>
      <c r="J847" s="1" t="str">
        <f t="shared" si="3"/>
        <v>Winston</v>
      </c>
      <c r="K847" s="1" t="str">
        <f t="shared" si="4"/>
        <v>#N/A</v>
      </c>
      <c r="L847" s="1" t="str">
        <f>IFERROR(VLOOKUP($K847,Players!$D:$E,2,FALSE),VLOOKUP($H847,Players!A:E,5,FALSE))</f>
        <v>QB</v>
      </c>
    </row>
    <row r="848" ht="15.75" customHeight="1">
      <c r="A848" s="1">
        <v>2017.0</v>
      </c>
      <c r="B848" s="1" t="s">
        <v>16</v>
      </c>
      <c r="C848" s="1" t="s">
        <v>15</v>
      </c>
      <c r="D848" s="8">
        <v>8.0</v>
      </c>
      <c r="E848" s="8" t="str">
        <f t="shared" si="1"/>
        <v>Non-Playoff Team</v>
      </c>
      <c r="F848" s="8">
        <v>8.0</v>
      </c>
      <c r="G848" s="8">
        <v>88.0</v>
      </c>
      <c r="H848" s="1" t="s">
        <v>527</v>
      </c>
      <c r="I848" s="1" t="str">
        <f t="shared" si="2"/>
        <v>Hunter</v>
      </c>
      <c r="J848" s="1" t="str">
        <f t="shared" si="3"/>
        <v>Henry</v>
      </c>
      <c r="K848" s="1" t="str">
        <f t="shared" si="4"/>
        <v>#N/A</v>
      </c>
      <c r="L848" s="1" t="str">
        <f>IFERROR(VLOOKUP($K848,Players!$D:$E,2,FALSE),VLOOKUP($H848,Players!A:E,5,FALSE))</f>
        <v>TE</v>
      </c>
    </row>
    <row r="849" ht="15.75" customHeight="1">
      <c r="A849" s="1">
        <v>2017.0</v>
      </c>
      <c r="B849" s="1" t="s">
        <v>16</v>
      </c>
      <c r="C849" s="1" t="s">
        <v>15</v>
      </c>
      <c r="D849" s="8">
        <v>8.0</v>
      </c>
      <c r="E849" s="8" t="str">
        <f t="shared" si="1"/>
        <v>Non-Playoff Team</v>
      </c>
      <c r="F849" s="8">
        <v>9.0</v>
      </c>
      <c r="G849" s="8">
        <v>105.0</v>
      </c>
      <c r="H849" s="1" t="s">
        <v>168</v>
      </c>
      <c r="I849" s="1" t="str">
        <f t="shared" si="2"/>
        <v>Derrick</v>
      </c>
      <c r="J849" s="1" t="str">
        <f t="shared" si="3"/>
        <v>Henry</v>
      </c>
      <c r="K849" s="1" t="str">
        <f t="shared" si="4"/>
        <v>#N/A</v>
      </c>
      <c r="L849" s="1" t="str">
        <f>IFERROR(VLOOKUP($K849,Players!$D:$E,2,FALSE),VLOOKUP($H849,Players!A:E,5,FALSE))</f>
        <v>RB</v>
      </c>
    </row>
    <row r="850" ht="15.75" customHeight="1">
      <c r="A850" s="1">
        <v>2017.0</v>
      </c>
      <c r="B850" s="1" t="s">
        <v>16</v>
      </c>
      <c r="C850" s="1" t="s">
        <v>15</v>
      </c>
      <c r="D850" s="8">
        <v>8.0</v>
      </c>
      <c r="E850" s="8" t="str">
        <f t="shared" si="1"/>
        <v>Non-Playoff Team</v>
      </c>
      <c r="F850" s="8">
        <v>10.0</v>
      </c>
      <c r="G850" s="8">
        <v>112.0</v>
      </c>
      <c r="H850" s="1" t="s">
        <v>273</v>
      </c>
      <c r="I850" s="1" t="str">
        <f t="shared" si="2"/>
        <v>Corey</v>
      </c>
      <c r="J850" s="1" t="str">
        <f t="shared" si="3"/>
        <v>Davis</v>
      </c>
      <c r="K850" s="1" t="str">
        <f t="shared" si="4"/>
        <v>#N/A</v>
      </c>
      <c r="L850" s="1" t="str">
        <f>IFERROR(VLOOKUP($K850,Players!$D:$E,2,FALSE),VLOOKUP($H850,Players!A:E,5,FALSE))</f>
        <v>WR</v>
      </c>
    </row>
    <row r="851" ht="15.75" customHeight="1">
      <c r="A851" s="1">
        <v>2017.0</v>
      </c>
      <c r="B851" s="1" t="s">
        <v>16</v>
      </c>
      <c r="C851" s="1" t="s">
        <v>15</v>
      </c>
      <c r="D851" s="8">
        <v>8.0</v>
      </c>
      <c r="E851" s="8" t="str">
        <f t="shared" si="1"/>
        <v>Non-Playoff Team</v>
      </c>
      <c r="F851" s="8">
        <v>11.0</v>
      </c>
      <c r="G851" s="8">
        <v>129.0</v>
      </c>
      <c r="H851" s="1" t="s">
        <v>196</v>
      </c>
      <c r="I851" s="1" t="str">
        <f t="shared" si="2"/>
        <v>Curtis</v>
      </c>
      <c r="J851" s="1" t="str">
        <f t="shared" si="3"/>
        <v>Samuel</v>
      </c>
      <c r="K851" s="1" t="str">
        <f t="shared" si="4"/>
        <v>#N/A</v>
      </c>
      <c r="L851" s="1" t="str">
        <f>IFERROR(VLOOKUP($K851,Players!$D:$E,2,FALSE),VLOOKUP($H851,Players!A:E,5,FALSE))</f>
        <v>WR</v>
      </c>
    </row>
    <row r="852" ht="15.75" customHeight="1">
      <c r="A852" s="1">
        <v>2017.0</v>
      </c>
      <c r="B852" s="1" t="s">
        <v>16</v>
      </c>
      <c r="C852" s="1" t="s">
        <v>15</v>
      </c>
      <c r="D852" s="8">
        <v>8.0</v>
      </c>
      <c r="E852" s="8" t="str">
        <f t="shared" si="1"/>
        <v>Non-Playoff Team</v>
      </c>
      <c r="F852" s="8">
        <v>12.0</v>
      </c>
      <c r="G852" s="8">
        <v>136.0</v>
      </c>
      <c r="H852" s="1" t="s">
        <v>703</v>
      </c>
      <c r="I852" s="1" t="str">
        <f t="shared" si="2"/>
        <v>#VALUE!</v>
      </c>
      <c r="J852" s="1" t="str">
        <f t="shared" si="3"/>
        <v>#VALUE!</v>
      </c>
      <c r="K852" s="1" t="str">
        <f t="shared" si="4"/>
        <v>#N/A</v>
      </c>
      <c r="L852" s="1" t="str">
        <f>IFERROR(VLOOKUP($K852,Players!$D:$E,2,FALSE),VLOOKUP($H852,Players!A:E,5,FALSE))</f>
        <v>DEF</v>
      </c>
    </row>
    <row r="853" ht="15.75" customHeight="1">
      <c r="A853" s="1">
        <v>2017.0</v>
      </c>
      <c r="B853" s="1" t="s">
        <v>16</v>
      </c>
      <c r="C853" s="1" t="s">
        <v>15</v>
      </c>
      <c r="D853" s="8">
        <v>8.0</v>
      </c>
      <c r="E853" s="8" t="str">
        <f t="shared" si="1"/>
        <v>Non-Playoff Team</v>
      </c>
      <c r="F853" s="8">
        <v>13.0</v>
      </c>
      <c r="G853" s="8">
        <v>153.0</v>
      </c>
      <c r="H853" s="1" t="s">
        <v>959</v>
      </c>
      <c r="I853" s="1" t="str">
        <f t="shared" si="2"/>
        <v>Dan</v>
      </c>
      <c r="J853" s="1" t="str">
        <f t="shared" si="3"/>
        <v>Bailey</v>
      </c>
      <c r="K853" s="1" t="str">
        <f t="shared" si="4"/>
        <v>#N/A</v>
      </c>
      <c r="L853" s="1" t="str">
        <f>IFERROR(VLOOKUP($K853,Players!$D:$E,2,FALSE),VLOOKUP($H853,Players!A:E,5,FALSE))</f>
        <v>K</v>
      </c>
    </row>
    <row r="854" ht="15.75" customHeight="1">
      <c r="A854" s="1">
        <v>2017.0</v>
      </c>
      <c r="B854" s="1" t="s">
        <v>16</v>
      </c>
      <c r="C854" s="1" t="s">
        <v>15</v>
      </c>
      <c r="D854" s="8">
        <v>8.0</v>
      </c>
      <c r="E854" s="8" t="str">
        <f t="shared" si="1"/>
        <v>Non-Playoff Team</v>
      </c>
      <c r="F854" s="8">
        <v>14.0</v>
      </c>
      <c r="G854" s="8">
        <v>160.0</v>
      </c>
      <c r="H854" s="1" t="s">
        <v>687</v>
      </c>
      <c r="I854" s="1" t="str">
        <f t="shared" si="2"/>
        <v>Cameron</v>
      </c>
      <c r="J854" s="1" t="str">
        <f t="shared" si="3"/>
        <v>Brate</v>
      </c>
      <c r="K854" s="1" t="str">
        <f t="shared" si="4"/>
        <v>#N/A</v>
      </c>
      <c r="L854" s="1" t="str">
        <f>IFERROR(VLOOKUP($K854,Players!$D:$E,2,FALSE),VLOOKUP($H854,Players!A:E,5,FALSE))</f>
        <v>TE</v>
      </c>
    </row>
    <row r="855" ht="15.75" customHeight="1">
      <c r="A855" s="1">
        <v>2017.0</v>
      </c>
      <c r="B855" s="1" t="s">
        <v>16</v>
      </c>
      <c r="C855" s="1" t="s">
        <v>15</v>
      </c>
      <c r="D855" s="8">
        <v>8.0</v>
      </c>
      <c r="E855" s="8" t="str">
        <f t="shared" si="1"/>
        <v>Non-Playoff Team</v>
      </c>
      <c r="F855" s="8">
        <v>15.0</v>
      </c>
      <c r="G855" s="8">
        <v>177.0</v>
      </c>
      <c r="H855" s="1" t="s">
        <v>1695</v>
      </c>
      <c r="I855" s="1" t="str">
        <f t="shared" si="2"/>
        <v>Tyrod</v>
      </c>
      <c r="J855" s="1" t="str">
        <f t="shared" si="3"/>
        <v>Taylor</v>
      </c>
      <c r="K855" s="1" t="str">
        <f t="shared" si="4"/>
        <v>#N/A</v>
      </c>
      <c r="L855" s="1" t="str">
        <f>IFERROR(VLOOKUP($K855,Players!$D:$E,2,FALSE),VLOOKUP($H855,Players!A:E,5,FALSE))</f>
        <v>QB</v>
      </c>
    </row>
    <row r="856" ht="15.75" customHeight="1">
      <c r="A856" s="1">
        <v>2017.0</v>
      </c>
      <c r="B856" s="1" t="s">
        <v>67</v>
      </c>
      <c r="C856" s="1" t="s">
        <v>22</v>
      </c>
      <c r="D856" s="8">
        <v>12.0</v>
      </c>
      <c r="E856" s="8" t="str">
        <f t="shared" si="1"/>
        <v>Non-Playoff Team</v>
      </c>
      <c r="F856" s="8">
        <v>1.0</v>
      </c>
      <c r="G856" s="8">
        <v>7.0</v>
      </c>
      <c r="H856" s="1" t="s">
        <v>181</v>
      </c>
      <c r="I856" s="1" t="str">
        <f t="shared" si="2"/>
        <v>Odell</v>
      </c>
      <c r="J856" s="1" t="str">
        <f t="shared" si="3"/>
        <v>Beckham Jr</v>
      </c>
      <c r="K856" s="1" t="str">
        <f t="shared" si="4"/>
        <v>#N/A</v>
      </c>
      <c r="L856" s="1" t="str">
        <f>IFERROR(VLOOKUP($K856,Players!$D:$E,2,FALSE),VLOOKUP($H856,Players!A:E,5,FALSE))</f>
        <v>#N/A</v>
      </c>
    </row>
    <row r="857" ht="15.75" customHeight="1">
      <c r="A857" s="1">
        <v>2017.0</v>
      </c>
      <c r="B857" s="1" t="s">
        <v>67</v>
      </c>
      <c r="C857" s="1" t="s">
        <v>22</v>
      </c>
      <c r="D857" s="8">
        <v>12.0</v>
      </c>
      <c r="E857" s="8" t="str">
        <f t="shared" si="1"/>
        <v>Non-Playoff Team</v>
      </c>
      <c r="F857" s="8">
        <v>2.0</v>
      </c>
      <c r="G857" s="8">
        <v>18.0</v>
      </c>
      <c r="H857" s="1" t="s">
        <v>760</v>
      </c>
      <c r="I857" s="1" t="str">
        <f t="shared" si="2"/>
        <v>Todd</v>
      </c>
      <c r="J857" s="1" t="str">
        <f t="shared" si="3"/>
        <v>Gurley II</v>
      </c>
      <c r="K857" s="1" t="str">
        <f t="shared" si="4"/>
        <v>#N/A</v>
      </c>
      <c r="L857" s="1" t="str">
        <f>IFERROR(VLOOKUP($K857,Players!$D:$E,2,FALSE),VLOOKUP($H857,Players!A:E,5,FALSE))</f>
        <v>#N/A</v>
      </c>
    </row>
    <row r="858" ht="15.75" customHeight="1">
      <c r="A858" s="1">
        <v>2017.0</v>
      </c>
      <c r="B858" s="1" t="s">
        <v>67</v>
      </c>
      <c r="C858" s="1" t="s">
        <v>22</v>
      </c>
      <c r="D858" s="8">
        <v>12.0</v>
      </c>
      <c r="E858" s="8" t="str">
        <f t="shared" si="1"/>
        <v>Non-Playoff Team</v>
      </c>
      <c r="F858" s="8">
        <v>3.0</v>
      </c>
      <c r="G858" s="8">
        <v>31.0</v>
      </c>
      <c r="H858" s="1" t="s">
        <v>1096</v>
      </c>
      <c r="I858" s="1" t="str">
        <f t="shared" si="2"/>
        <v>Demaryius</v>
      </c>
      <c r="J858" s="1" t="str">
        <f t="shared" si="3"/>
        <v>Thomas</v>
      </c>
      <c r="K858" s="1" t="str">
        <f t="shared" si="4"/>
        <v>#N/A</v>
      </c>
      <c r="L858" s="1" t="str">
        <f>IFERROR(VLOOKUP($K858,Players!$D:$E,2,FALSE),VLOOKUP($H858,Players!A:E,5,FALSE))</f>
        <v>WR</v>
      </c>
    </row>
    <row r="859" ht="15.75" customHeight="1">
      <c r="A859" s="1">
        <v>2017.0</v>
      </c>
      <c r="B859" s="1" t="s">
        <v>67</v>
      </c>
      <c r="C859" s="1" t="s">
        <v>22</v>
      </c>
      <c r="D859" s="8">
        <v>12.0</v>
      </c>
      <c r="E859" s="8" t="str">
        <f t="shared" si="1"/>
        <v>Non-Playoff Team</v>
      </c>
      <c r="F859" s="8">
        <v>4.0</v>
      </c>
      <c r="G859" s="8">
        <v>42.0</v>
      </c>
      <c r="H859" s="1" t="s">
        <v>1336</v>
      </c>
      <c r="I859" s="1" t="str">
        <f t="shared" si="2"/>
        <v>Marshawn</v>
      </c>
      <c r="J859" s="1" t="str">
        <f t="shared" si="3"/>
        <v>Lynch</v>
      </c>
      <c r="K859" s="1" t="str">
        <f t="shared" si="4"/>
        <v>#N/A</v>
      </c>
      <c r="L859" s="1" t="str">
        <f>IFERROR(VLOOKUP($K859,Players!$D:$E,2,FALSE),VLOOKUP($H859,Players!A:E,5,FALSE))</f>
        <v>RB</v>
      </c>
    </row>
    <row r="860" ht="15.75" customHeight="1">
      <c r="A860" s="1">
        <v>2017.0</v>
      </c>
      <c r="B860" s="1" t="s">
        <v>67</v>
      </c>
      <c r="C860" s="1" t="s">
        <v>22</v>
      </c>
      <c r="D860" s="8">
        <v>12.0</v>
      </c>
      <c r="E860" s="8" t="str">
        <f t="shared" si="1"/>
        <v>Non-Playoff Team</v>
      </c>
      <c r="F860" s="8">
        <v>5.0</v>
      </c>
      <c r="G860" s="8">
        <v>55.0</v>
      </c>
      <c r="H860" s="1" t="s">
        <v>1467</v>
      </c>
      <c r="I860" s="1" t="str">
        <f t="shared" si="2"/>
        <v>Jimmy</v>
      </c>
      <c r="J860" s="1" t="str">
        <f t="shared" si="3"/>
        <v>Graham</v>
      </c>
      <c r="K860" s="1" t="str">
        <f t="shared" si="4"/>
        <v>#N/A</v>
      </c>
      <c r="L860" s="1" t="str">
        <f>IFERROR(VLOOKUP($K860,Players!$D:$E,2,FALSE),VLOOKUP($H860,Players!A:E,5,FALSE))</f>
        <v>TE</v>
      </c>
    </row>
    <row r="861" ht="15.75" customHeight="1">
      <c r="A861" s="1">
        <v>2017.0</v>
      </c>
      <c r="B861" s="1" t="s">
        <v>67</v>
      </c>
      <c r="C861" s="1" t="s">
        <v>22</v>
      </c>
      <c r="D861" s="8">
        <v>12.0</v>
      </c>
      <c r="E861" s="8" t="str">
        <f t="shared" si="1"/>
        <v>Non-Playoff Team</v>
      </c>
      <c r="F861" s="8">
        <v>6.0</v>
      </c>
      <c r="G861" s="8">
        <v>66.0</v>
      </c>
      <c r="H861" s="1" t="s">
        <v>1703</v>
      </c>
      <c r="I861" s="1" t="str">
        <f t="shared" si="2"/>
        <v>Paul</v>
      </c>
      <c r="J861" s="1" t="str">
        <f t="shared" si="3"/>
        <v>Perkins</v>
      </c>
      <c r="K861" s="1" t="str">
        <f t="shared" si="4"/>
        <v>#N/A</v>
      </c>
      <c r="L861" s="1" t="str">
        <f>IFERROR(VLOOKUP($K861,Players!$D:$E,2,FALSE),VLOOKUP($H861,Players!A:E,5,FALSE))</f>
        <v>RB</v>
      </c>
    </row>
    <row r="862" ht="15.75" customHeight="1">
      <c r="A862" s="1">
        <v>2017.0</v>
      </c>
      <c r="B862" s="1" t="s">
        <v>67</v>
      </c>
      <c r="C862" s="1" t="s">
        <v>22</v>
      </c>
      <c r="D862" s="8">
        <v>12.0</v>
      </c>
      <c r="E862" s="8" t="str">
        <f t="shared" si="1"/>
        <v>Non-Playoff Team</v>
      </c>
      <c r="F862" s="8">
        <v>7.0</v>
      </c>
      <c r="G862" s="8">
        <v>79.0</v>
      </c>
      <c r="H862" s="1" t="s">
        <v>972</v>
      </c>
      <c r="I862" s="1" t="str">
        <f t="shared" si="2"/>
        <v>Donte</v>
      </c>
      <c r="J862" s="1" t="str">
        <f t="shared" si="3"/>
        <v>Moncrief</v>
      </c>
      <c r="K862" s="1" t="str">
        <f t="shared" si="4"/>
        <v>#N/A</v>
      </c>
      <c r="L862" s="1" t="str">
        <f>IFERROR(VLOOKUP($K862,Players!$D:$E,2,FALSE),VLOOKUP($H862,Players!A:E,5,FALSE))</f>
        <v>WR</v>
      </c>
    </row>
    <row r="863" ht="15.75" customHeight="1">
      <c r="A863" s="1">
        <v>2017.0</v>
      </c>
      <c r="B863" s="1" t="s">
        <v>67</v>
      </c>
      <c r="C863" s="1" t="s">
        <v>22</v>
      </c>
      <c r="D863" s="8">
        <v>12.0</v>
      </c>
      <c r="E863" s="8" t="str">
        <f t="shared" si="1"/>
        <v>Non-Playoff Team</v>
      </c>
      <c r="F863" s="8">
        <v>8.0</v>
      </c>
      <c r="G863" s="8">
        <v>90.0</v>
      </c>
      <c r="H863" s="1" t="s">
        <v>299</v>
      </c>
      <c r="I863" s="1" t="str">
        <f t="shared" si="2"/>
        <v>Andrew</v>
      </c>
      <c r="J863" s="1" t="str">
        <f t="shared" si="3"/>
        <v>Luck</v>
      </c>
      <c r="K863" s="1" t="str">
        <f t="shared" si="4"/>
        <v>#N/A</v>
      </c>
      <c r="L863" s="1" t="str">
        <f>IFERROR(VLOOKUP($K863,Players!$D:$E,2,FALSE),VLOOKUP($H863,Players!A:E,5,FALSE))</f>
        <v>QB</v>
      </c>
    </row>
    <row r="864" ht="15.75" customHeight="1">
      <c r="A864" s="1">
        <v>2017.0</v>
      </c>
      <c r="B864" s="1" t="s">
        <v>67</v>
      </c>
      <c r="C864" s="1" t="s">
        <v>22</v>
      </c>
      <c r="D864" s="8">
        <v>12.0</v>
      </c>
      <c r="E864" s="8" t="str">
        <f t="shared" si="1"/>
        <v>Non-Playoff Team</v>
      </c>
      <c r="F864" s="8">
        <v>9.0</v>
      </c>
      <c r="G864" s="8">
        <v>103.0</v>
      </c>
      <c r="H864" s="1" t="s">
        <v>1314</v>
      </c>
      <c r="I864" s="1" t="str">
        <f t="shared" si="2"/>
        <v>Eric</v>
      </c>
      <c r="J864" s="1" t="str">
        <f t="shared" si="3"/>
        <v>Decker</v>
      </c>
      <c r="K864" s="1" t="str">
        <f t="shared" si="4"/>
        <v>#N/A</v>
      </c>
      <c r="L864" s="1" t="str">
        <f>IFERROR(VLOOKUP($K864,Players!$D:$E,2,FALSE),VLOOKUP($H864,Players!A:E,5,FALSE))</f>
        <v>WR</v>
      </c>
    </row>
    <row r="865" ht="15.75" customHeight="1">
      <c r="A865" s="1">
        <v>2017.0</v>
      </c>
      <c r="B865" s="1" t="s">
        <v>67</v>
      </c>
      <c r="C865" s="1" t="s">
        <v>22</v>
      </c>
      <c r="D865" s="8">
        <v>12.0</v>
      </c>
      <c r="E865" s="8" t="str">
        <f t="shared" si="1"/>
        <v>Non-Playoff Team</v>
      </c>
      <c r="F865" s="8">
        <v>10.0</v>
      </c>
      <c r="G865" s="8">
        <v>114.0</v>
      </c>
      <c r="H865" s="1" t="s">
        <v>1706</v>
      </c>
      <c r="I865" s="1" t="str">
        <f t="shared" si="2"/>
        <v>Terrance</v>
      </c>
      <c r="J865" s="1" t="str">
        <f t="shared" si="3"/>
        <v>West</v>
      </c>
      <c r="K865" s="1" t="str">
        <f t="shared" si="4"/>
        <v>#N/A</v>
      </c>
      <c r="L865" s="1" t="str">
        <f>IFERROR(VLOOKUP($K865,Players!$D:$E,2,FALSE),VLOOKUP($H865,Players!A:E,5,FALSE))</f>
        <v>RB</v>
      </c>
    </row>
    <row r="866" ht="15.75" customHeight="1">
      <c r="A866" s="1">
        <v>2017.0</v>
      </c>
      <c r="B866" s="1" t="s">
        <v>67</v>
      </c>
      <c r="C866" s="1" t="s">
        <v>22</v>
      </c>
      <c r="D866" s="8">
        <v>12.0</v>
      </c>
      <c r="E866" s="8" t="str">
        <f t="shared" si="1"/>
        <v>Non-Playoff Team</v>
      </c>
      <c r="F866" s="8">
        <v>11.0</v>
      </c>
      <c r="G866" s="8">
        <v>127.0</v>
      </c>
      <c r="H866" s="1" t="s">
        <v>1291</v>
      </c>
      <c r="I866" s="1" t="str">
        <f t="shared" si="2"/>
        <v>Eli</v>
      </c>
      <c r="J866" s="1" t="str">
        <f t="shared" si="3"/>
        <v>Manning</v>
      </c>
      <c r="K866" s="1" t="str">
        <f t="shared" si="4"/>
        <v>#N/A</v>
      </c>
      <c r="L866" s="1" t="str">
        <f>IFERROR(VLOOKUP($K866,Players!$D:$E,2,FALSE),VLOOKUP($H866,Players!A:E,5,FALSE))</f>
        <v>QB</v>
      </c>
    </row>
    <row r="867" ht="15.75" customHeight="1">
      <c r="A867" s="1">
        <v>2017.0</v>
      </c>
      <c r="B867" s="1" t="s">
        <v>67</v>
      </c>
      <c r="C867" s="1" t="s">
        <v>22</v>
      </c>
      <c r="D867" s="8">
        <v>12.0</v>
      </c>
      <c r="E867" s="8" t="str">
        <f t="shared" si="1"/>
        <v>Non-Playoff Team</v>
      </c>
      <c r="F867" s="8">
        <v>12.0</v>
      </c>
      <c r="G867" s="8">
        <v>138.0</v>
      </c>
      <c r="H867" s="1" t="s">
        <v>1707</v>
      </c>
      <c r="I867" s="1" t="str">
        <f t="shared" si="2"/>
        <v>Jeremy</v>
      </c>
      <c r="J867" s="1" t="str">
        <f t="shared" si="3"/>
        <v>Hill</v>
      </c>
      <c r="K867" s="1" t="str">
        <f t="shared" si="4"/>
        <v>#N/A</v>
      </c>
      <c r="L867" s="1" t="str">
        <f>IFERROR(VLOOKUP($K867,Players!$D:$E,2,FALSE),VLOOKUP($H867,Players!A:E,5,FALSE))</f>
        <v>RB</v>
      </c>
    </row>
    <row r="868" ht="15.75" customHeight="1">
      <c r="A868" s="1">
        <v>2017.0</v>
      </c>
      <c r="B868" s="1" t="s">
        <v>67</v>
      </c>
      <c r="C868" s="1" t="s">
        <v>22</v>
      </c>
      <c r="D868" s="8">
        <v>12.0</v>
      </c>
      <c r="E868" s="8" t="str">
        <f t="shared" si="1"/>
        <v>Non-Playoff Team</v>
      </c>
      <c r="F868" s="8">
        <v>13.0</v>
      </c>
      <c r="G868" s="8">
        <v>151.0</v>
      </c>
      <c r="H868" s="1" t="s">
        <v>1709</v>
      </c>
      <c r="I868" s="1" t="str">
        <f t="shared" si="2"/>
        <v>Josh</v>
      </c>
      <c r="J868" s="1" t="str">
        <f t="shared" si="3"/>
        <v>Doctson</v>
      </c>
      <c r="K868" s="1" t="str">
        <f t="shared" si="4"/>
        <v>#N/A</v>
      </c>
      <c r="L868" s="1" t="str">
        <f>IFERROR(VLOOKUP($K868,Players!$D:$E,2,FALSE),VLOOKUP($H868,Players!A:E,5,FALSE))</f>
        <v>WR</v>
      </c>
    </row>
    <row r="869" ht="15.75" customHeight="1">
      <c r="A869" s="1">
        <v>2017.0</v>
      </c>
      <c r="B869" s="1" t="s">
        <v>67</v>
      </c>
      <c r="C869" s="1" t="s">
        <v>22</v>
      </c>
      <c r="D869" s="8">
        <v>12.0</v>
      </c>
      <c r="E869" s="8" t="str">
        <f t="shared" si="1"/>
        <v>Non-Playoff Team</v>
      </c>
      <c r="F869" s="8">
        <v>14.0</v>
      </c>
      <c r="G869" s="8">
        <v>162.0</v>
      </c>
      <c r="H869" s="1" t="s">
        <v>132</v>
      </c>
      <c r="I869" s="1" t="str">
        <f t="shared" si="2"/>
        <v>#VALUE!</v>
      </c>
      <c r="J869" s="1" t="str">
        <f t="shared" si="3"/>
        <v>#VALUE!</v>
      </c>
      <c r="K869" s="1" t="str">
        <f t="shared" si="4"/>
        <v>#N/A</v>
      </c>
      <c r="L869" s="1" t="str">
        <f>IFERROR(VLOOKUP($K869,Players!$D:$E,2,FALSE),VLOOKUP($H869,Players!A:E,5,FALSE))</f>
        <v>DEF</v>
      </c>
    </row>
    <row r="870" ht="15.75" customHeight="1">
      <c r="A870" s="1">
        <v>2017.0</v>
      </c>
      <c r="B870" s="1" t="s">
        <v>67</v>
      </c>
      <c r="C870" s="1" t="s">
        <v>22</v>
      </c>
      <c r="D870" s="8">
        <v>12.0</v>
      </c>
      <c r="E870" s="8" t="str">
        <f t="shared" si="1"/>
        <v>Non-Playoff Team</v>
      </c>
      <c r="F870" s="8">
        <v>15.0</v>
      </c>
      <c r="G870" s="8">
        <v>175.0</v>
      </c>
      <c r="H870" s="1" t="s">
        <v>771</v>
      </c>
      <c r="I870" s="1" t="str">
        <f t="shared" si="2"/>
        <v>Chris</v>
      </c>
      <c r="J870" s="1" t="str">
        <f t="shared" si="3"/>
        <v>Boswell</v>
      </c>
      <c r="K870" s="1" t="str">
        <f t="shared" si="4"/>
        <v>#N/A</v>
      </c>
      <c r="L870" s="1" t="str">
        <f>IFERROR(VLOOKUP($K870,Players!$D:$E,2,FALSE),VLOOKUP($H870,Players!A:E,5,FALSE))</f>
        <v>K</v>
      </c>
    </row>
    <row r="871" ht="15.75" customHeight="1">
      <c r="A871" s="1">
        <v>2017.0</v>
      </c>
      <c r="B871" s="1" t="s">
        <v>41</v>
      </c>
      <c r="C871" s="1" t="s">
        <v>26</v>
      </c>
      <c r="D871" s="8">
        <v>11.0</v>
      </c>
      <c r="E871" s="8" t="str">
        <f t="shared" si="1"/>
        <v>Non-Playoff Team</v>
      </c>
      <c r="F871" s="8">
        <v>1.0</v>
      </c>
      <c r="G871" s="8">
        <v>6.0</v>
      </c>
      <c r="H871" s="1" t="s">
        <v>391</v>
      </c>
      <c r="I871" s="1" t="str">
        <f t="shared" si="2"/>
        <v>Mike</v>
      </c>
      <c r="J871" s="1" t="str">
        <f t="shared" si="3"/>
        <v>Evans</v>
      </c>
      <c r="K871" s="1" t="str">
        <f t="shared" si="4"/>
        <v>#N/A</v>
      </c>
      <c r="L871" s="1" t="str">
        <f>IFERROR(VLOOKUP($K871,Players!$D:$E,2,FALSE),VLOOKUP($H871,Players!A:E,5,FALSE))</f>
        <v>WR</v>
      </c>
    </row>
    <row r="872" ht="15.75" customHeight="1">
      <c r="A872" s="1">
        <v>2017.0</v>
      </c>
      <c r="B872" s="1" t="s">
        <v>41</v>
      </c>
      <c r="C872" s="1" t="s">
        <v>26</v>
      </c>
      <c r="D872" s="8">
        <v>11.0</v>
      </c>
      <c r="E872" s="8" t="str">
        <f t="shared" si="1"/>
        <v>Non-Playoff Team</v>
      </c>
      <c r="F872" s="8">
        <v>2.0</v>
      </c>
      <c r="G872" s="8">
        <v>19.0</v>
      </c>
      <c r="H872" s="1" t="s">
        <v>1092</v>
      </c>
      <c r="I872" s="1" t="str">
        <f t="shared" si="2"/>
        <v>DeMarco</v>
      </c>
      <c r="J872" s="1" t="str">
        <f t="shared" si="3"/>
        <v>Murray</v>
      </c>
      <c r="K872" s="1" t="str">
        <f t="shared" si="4"/>
        <v>#N/A</v>
      </c>
      <c r="L872" s="1" t="str">
        <f>IFERROR(VLOOKUP($K872,Players!$D:$E,2,FALSE),VLOOKUP($H872,Players!A:E,5,FALSE))</f>
        <v>RB</v>
      </c>
    </row>
    <row r="873" ht="15.75" customHeight="1">
      <c r="A873" s="1">
        <v>2017.0</v>
      </c>
      <c r="B873" s="1" t="s">
        <v>41</v>
      </c>
      <c r="C873" s="1" t="s">
        <v>26</v>
      </c>
      <c r="D873" s="8">
        <v>11.0</v>
      </c>
      <c r="E873" s="8" t="str">
        <f t="shared" si="1"/>
        <v>Non-Playoff Team</v>
      </c>
      <c r="F873" s="8">
        <v>3.0</v>
      </c>
      <c r="G873" s="8">
        <v>30.0</v>
      </c>
      <c r="H873" s="1" t="s">
        <v>524</v>
      </c>
      <c r="I873" s="1" t="str">
        <f t="shared" si="2"/>
        <v>Matt</v>
      </c>
      <c r="J873" s="1" t="str">
        <f t="shared" si="3"/>
        <v>Ryan</v>
      </c>
      <c r="K873" s="1" t="str">
        <f t="shared" si="4"/>
        <v>#N/A</v>
      </c>
      <c r="L873" s="1" t="str">
        <f>IFERROR(VLOOKUP($K873,Players!$D:$E,2,FALSE),VLOOKUP($H873,Players!A:E,5,FALSE))</f>
        <v>QB</v>
      </c>
    </row>
    <row r="874" ht="15.75" customHeight="1">
      <c r="A874" s="1">
        <v>2017.0</v>
      </c>
      <c r="B874" s="1" t="s">
        <v>41</v>
      </c>
      <c r="C874" s="1" t="s">
        <v>26</v>
      </c>
      <c r="D874" s="8">
        <v>11.0</v>
      </c>
      <c r="E874" s="8" t="str">
        <f t="shared" si="1"/>
        <v>Non-Playoff Team</v>
      </c>
      <c r="F874" s="8">
        <v>4.0</v>
      </c>
      <c r="G874" s="8">
        <v>43.0</v>
      </c>
      <c r="H874" s="1" t="s">
        <v>1390</v>
      </c>
      <c r="I874" s="1" t="str">
        <f t="shared" si="2"/>
        <v>Michael</v>
      </c>
      <c r="J874" s="1" t="str">
        <f t="shared" si="3"/>
        <v>Crabtree</v>
      </c>
      <c r="K874" s="1" t="str">
        <f t="shared" si="4"/>
        <v>#N/A</v>
      </c>
      <c r="L874" s="1" t="str">
        <f>IFERROR(VLOOKUP($K874,Players!$D:$E,2,FALSE),VLOOKUP($H874,Players!A:E,5,FALSE))</f>
        <v>WR</v>
      </c>
    </row>
    <row r="875" ht="15.75" customHeight="1">
      <c r="A875" s="1">
        <v>2017.0</v>
      </c>
      <c r="B875" s="1" t="s">
        <v>41</v>
      </c>
      <c r="C875" s="1" t="s">
        <v>26</v>
      </c>
      <c r="D875" s="8">
        <v>11.0</v>
      </c>
      <c r="E875" s="8" t="str">
        <f t="shared" si="1"/>
        <v>Non-Playoff Team</v>
      </c>
      <c r="F875" s="8">
        <v>5.0</v>
      </c>
      <c r="G875" s="8">
        <v>54.0</v>
      </c>
      <c r="H875" s="1" t="s">
        <v>645</v>
      </c>
      <c r="I875" s="1" t="str">
        <f t="shared" si="2"/>
        <v>CJ</v>
      </c>
      <c r="J875" s="1" t="str">
        <f t="shared" si="3"/>
        <v>Anderson</v>
      </c>
      <c r="K875" s="1" t="str">
        <f t="shared" si="4"/>
        <v>#N/A</v>
      </c>
      <c r="L875" s="1" t="str">
        <f>IFERROR(VLOOKUP($K875,Players!$D:$E,2,FALSE),VLOOKUP($H875,Players!A:E,5,FALSE))</f>
        <v>RB</v>
      </c>
    </row>
    <row r="876" ht="15.75" customHeight="1">
      <c r="A876" s="1">
        <v>2017.0</v>
      </c>
      <c r="B876" s="1" t="s">
        <v>41</v>
      </c>
      <c r="C876" s="1" t="s">
        <v>26</v>
      </c>
      <c r="D876" s="8">
        <v>11.0</v>
      </c>
      <c r="E876" s="8" t="str">
        <f t="shared" si="1"/>
        <v>Non-Playoff Team</v>
      </c>
      <c r="F876" s="8">
        <v>6.0</v>
      </c>
      <c r="G876" s="8">
        <v>67.0</v>
      </c>
      <c r="H876" s="1" t="s">
        <v>1720</v>
      </c>
      <c r="I876" s="1" t="str">
        <f t="shared" si="2"/>
        <v>Tyler</v>
      </c>
      <c r="J876" s="1" t="str">
        <f t="shared" si="3"/>
        <v>Eifert</v>
      </c>
      <c r="K876" s="1" t="str">
        <f t="shared" si="4"/>
        <v>#N/A</v>
      </c>
      <c r="L876" s="1" t="str">
        <f>IFERROR(VLOOKUP($K876,Players!$D:$E,2,FALSE),VLOOKUP($H876,Players!A:E,5,FALSE))</f>
        <v>TE</v>
      </c>
    </row>
    <row r="877" ht="15.75" customHeight="1">
      <c r="A877" s="1">
        <v>2017.0</v>
      </c>
      <c r="B877" s="1" t="s">
        <v>41</v>
      </c>
      <c r="C877" s="1" t="s">
        <v>26</v>
      </c>
      <c r="D877" s="8">
        <v>11.0</v>
      </c>
      <c r="E877" s="8" t="str">
        <f t="shared" si="1"/>
        <v>Non-Playoff Team</v>
      </c>
      <c r="F877" s="8">
        <v>7.0</v>
      </c>
      <c r="G877" s="8">
        <v>78.0</v>
      </c>
      <c r="H877" s="1" t="s">
        <v>243</v>
      </c>
      <c r="I877" s="1" t="str">
        <f t="shared" si="2"/>
        <v>Marvin</v>
      </c>
      <c r="J877" s="1" t="str">
        <f t="shared" si="3"/>
        <v>Jones Jr</v>
      </c>
      <c r="K877" s="1" t="str">
        <f t="shared" si="4"/>
        <v>#N/A</v>
      </c>
      <c r="L877" s="1" t="str">
        <f>IFERROR(VLOOKUP($K877,Players!$D:$E,2,FALSE),VLOOKUP($H877,Players!A:E,5,FALSE))</f>
        <v>#N/A</v>
      </c>
    </row>
    <row r="878" ht="15.75" customHeight="1">
      <c r="A878" s="1">
        <v>2017.0</v>
      </c>
      <c r="B878" s="1" t="s">
        <v>41</v>
      </c>
      <c r="C878" s="1" t="s">
        <v>26</v>
      </c>
      <c r="D878" s="8">
        <v>11.0</v>
      </c>
      <c r="E878" s="8" t="str">
        <f t="shared" si="1"/>
        <v>Non-Playoff Team</v>
      </c>
      <c r="F878" s="8">
        <v>8.0</v>
      </c>
      <c r="G878" s="8">
        <v>91.0</v>
      </c>
      <c r="H878" s="1" t="s">
        <v>160</v>
      </c>
      <c r="I878" s="1" t="str">
        <f t="shared" si="2"/>
        <v>Tevin</v>
      </c>
      <c r="J878" s="1" t="str">
        <f t="shared" si="3"/>
        <v>Coleman</v>
      </c>
      <c r="K878" s="1" t="str">
        <f t="shared" si="4"/>
        <v>#N/A</v>
      </c>
      <c r="L878" s="1" t="str">
        <f>IFERROR(VLOOKUP($K878,Players!$D:$E,2,FALSE),VLOOKUP($H878,Players!A:E,5,FALSE))</f>
        <v>RB</v>
      </c>
    </row>
    <row r="879" ht="15.75" customHeight="1">
      <c r="A879" s="1">
        <v>2017.0</v>
      </c>
      <c r="B879" s="1" t="s">
        <v>41</v>
      </c>
      <c r="C879" s="1" t="s">
        <v>26</v>
      </c>
      <c r="D879" s="8">
        <v>11.0</v>
      </c>
      <c r="E879" s="8" t="str">
        <f t="shared" si="1"/>
        <v>Non-Playoff Team</v>
      </c>
      <c r="F879" s="8">
        <v>9.0</v>
      </c>
      <c r="G879" s="8">
        <v>102.0</v>
      </c>
      <c r="H879" s="1" t="s">
        <v>1478</v>
      </c>
      <c r="I879" s="1" t="str">
        <f t="shared" si="2"/>
        <v>Rishard</v>
      </c>
      <c r="J879" s="1" t="str">
        <f t="shared" si="3"/>
        <v>Matthews</v>
      </c>
      <c r="K879" s="1" t="str">
        <f t="shared" si="4"/>
        <v>#N/A</v>
      </c>
      <c r="L879" s="1" t="str">
        <f>IFERROR(VLOOKUP($K879,Players!$D:$E,2,FALSE),VLOOKUP($H879,Players!A:E,5,FALSE))</f>
        <v>WR</v>
      </c>
    </row>
    <row r="880" ht="15.75" customHeight="1">
      <c r="A880" s="1">
        <v>2017.0</v>
      </c>
      <c r="B880" s="1" t="s">
        <v>41</v>
      </c>
      <c r="C880" s="1" t="s">
        <v>26</v>
      </c>
      <c r="D880" s="8">
        <v>11.0</v>
      </c>
      <c r="E880" s="8" t="str">
        <f t="shared" si="1"/>
        <v>Non-Playoff Team</v>
      </c>
      <c r="F880" s="8">
        <v>10.0</v>
      </c>
      <c r="G880" s="8">
        <v>115.0</v>
      </c>
      <c r="H880" s="1" t="s">
        <v>952</v>
      </c>
      <c r="I880" s="1" t="str">
        <f t="shared" si="2"/>
        <v>#VALUE!</v>
      </c>
      <c r="J880" s="1" t="str">
        <f t="shared" si="3"/>
        <v>#VALUE!</v>
      </c>
      <c r="K880" s="1" t="str">
        <f t="shared" si="4"/>
        <v>#N/A</v>
      </c>
      <c r="L880" s="1" t="str">
        <f>IFERROR(VLOOKUP($K880,Players!$D:$E,2,FALSE),VLOOKUP($H880,Players!A:E,5,FALSE))</f>
        <v>DEF</v>
      </c>
    </row>
    <row r="881" ht="15.75" customHeight="1">
      <c r="A881" s="1">
        <v>2017.0</v>
      </c>
      <c r="B881" s="1" t="s">
        <v>41</v>
      </c>
      <c r="C881" s="1" t="s">
        <v>26</v>
      </c>
      <c r="D881" s="8">
        <v>11.0</v>
      </c>
      <c r="E881" s="8" t="str">
        <f t="shared" si="1"/>
        <v>Non-Playoff Team</v>
      </c>
      <c r="F881" s="8">
        <v>11.0</v>
      </c>
      <c r="G881" s="8">
        <v>126.0</v>
      </c>
      <c r="H881" s="1" t="s">
        <v>1731</v>
      </c>
      <c r="I881" s="1" t="str">
        <f t="shared" si="2"/>
        <v>Julius</v>
      </c>
      <c r="J881" s="1" t="str">
        <f t="shared" si="3"/>
        <v>Thomas</v>
      </c>
      <c r="K881" s="1" t="str">
        <f t="shared" si="4"/>
        <v>#N/A</v>
      </c>
      <c r="L881" s="1" t="str">
        <f>IFERROR(VLOOKUP($K881,Players!$D:$E,2,FALSE),VLOOKUP($H881,Players!A:E,5,FALSE))</f>
        <v>TE</v>
      </c>
    </row>
    <row r="882" ht="15.75" customHeight="1">
      <c r="A882" s="1">
        <v>2017.0</v>
      </c>
      <c r="B882" s="1" t="s">
        <v>41</v>
      </c>
      <c r="C882" s="1" t="s">
        <v>26</v>
      </c>
      <c r="D882" s="8">
        <v>11.0</v>
      </c>
      <c r="E882" s="8" t="str">
        <f t="shared" si="1"/>
        <v>Non-Playoff Team</v>
      </c>
      <c r="F882" s="8">
        <v>12.0</v>
      </c>
      <c r="G882" s="8">
        <v>139.0</v>
      </c>
      <c r="H882" s="1" t="s">
        <v>1196</v>
      </c>
      <c r="I882" s="1" t="str">
        <f t="shared" si="2"/>
        <v>Matt</v>
      </c>
      <c r="J882" s="1" t="str">
        <f t="shared" si="3"/>
        <v>Bryant</v>
      </c>
      <c r="K882" s="1" t="str">
        <f t="shared" si="4"/>
        <v>#N/A</v>
      </c>
      <c r="L882" s="1" t="str">
        <f>IFERROR(VLOOKUP($K882,Players!$D:$E,2,FALSE),VLOOKUP($H882,Players!A:E,5,FALSE))</f>
        <v>K</v>
      </c>
    </row>
    <row r="883" ht="15.75" customHeight="1">
      <c r="A883" s="1">
        <v>2017.0</v>
      </c>
      <c r="B883" s="1" t="s">
        <v>41</v>
      </c>
      <c r="C883" s="1" t="s">
        <v>26</v>
      </c>
      <c r="D883" s="8">
        <v>11.0</v>
      </c>
      <c r="E883" s="8" t="str">
        <f t="shared" si="1"/>
        <v>Non-Playoff Team</v>
      </c>
      <c r="F883" s="8">
        <v>13.0</v>
      </c>
      <c r="G883" s="8">
        <v>150.0</v>
      </c>
      <c r="H883" s="1" t="s">
        <v>481</v>
      </c>
      <c r="I883" s="1" t="str">
        <f t="shared" si="2"/>
        <v>Carson</v>
      </c>
      <c r="J883" s="1" t="str">
        <f t="shared" si="3"/>
        <v>Wentz</v>
      </c>
      <c r="K883" s="1" t="str">
        <f t="shared" si="4"/>
        <v>#N/A</v>
      </c>
      <c r="L883" s="1" t="str">
        <f>IFERROR(VLOOKUP($K883,Players!$D:$E,2,FALSE),VLOOKUP($H883,Players!A:E,5,FALSE))</f>
        <v>QB</v>
      </c>
    </row>
    <row r="884" ht="15.75" customHeight="1">
      <c r="A884" s="1">
        <v>2017.0</v>
      </c>
      <c r="B884" s="1" t="s">
        <v>41</v>
      </c>
      <c r="C884" s="1" t="s">
        <v>26</v>
      </c>
      <c r="D884" s="8">
        <v>11.0</v>
      </c>
      <c r="E884" s="8" t="str">
        <f t="shared" si="1"/>
        <v>Non-Playoff Team</v>
      </c>
      <c r="F884" s="8">
        <v>14.0</v>
      </c>
      <c r="G884" s="8">
        <v>163.0</v>
      </c>
      <c r="H884" s="1" t="s">
        <v>1738</v>
      </c>
      <c r="I884" s="1" t="str">
        <f t="shared" si="2"/>
        <v>Samaje</v>
      </c>
      <c r="J884" s="1" t="str">
        <f t="shared" si="3"/>
        <v>Perine</v>
      </c>
      <c r="K884" s="1" t="str">
        <f t="shared" si="4"/>
        <v>#N/A</v>
      </c>
      <c r="L884" s="1" t="str">
        <f>IFERROR(VLOOKUP($K884,Players!$D:$E,2,FALSE),VLOOKUP($H884,Players!A:E,5,FALSE))</f>
        <v>RB</v>
      </c>
    </row>
    <row r="885" ht="15.75" customHeight="1">
      <c r="A885" s="1">
        <v>2017.0</v>
      </c>
      <c r="B885" s="1" t="s">
        <v>41</v>
      </c>
      <c r="C885" s="1" t="s">
        <v>26</v>
      </c>
      <c r="D885" s="8">
        <v>11.0</v>
      </c>
      <c r="E885" s="8" t="str">
        <f t="shared" si="1"/>
        <v>Non-Playoff Team</v>
      </c>
      <c r="F885" s="8">
        <v>15.0</v>
      </c>
      <c r="G885" s="8">
        <v>174.0</v>
      </c>
      <c r="H885" s="1" t="s">
        <v>328</v>
      </c>
      <c r="I885" s="1" t="str">
        <f t="shared" si="2"/>
        <v>Sterling</v>
      </c>
      <c r="J885" s="1" t="str">
        <f t="shared" si="3"/>
        <v>Shepard</v>
      </c>
      <c r="K885" s="1" t="str">
        <f t="shared" si="4"/>
        <v>#N/A</v>
      </c>
      <c r="L885" s="1" t="str">
        <f>IFERROR(VLOOKUP($K885,Players!$D:$E,2,FALSE),VLOOKUP($H885,Players!A:E,5,FALSE))</f>
        <v>WR</v>
      </c>
    </row>
    <row r="886" ht="15.75" customHeight="1">
      <c r="A886" s="1">
        <v>2017.0</v>
      </c>
      <c r="B886" s="1" t="s">
        <v>36</v>
      </c>
      <c r="C886" s="1" t="s">
        <v>17</v>
      </c>
      <c r="D886" s="8">
        <v>5.0</v>
      </c>
      <c r="E886" s="8" t="str">
        <f t="shared" si="1"/>
        <v>Playoff Team</v>
      </c>
      <c r="F886" s="8">
        <v>1.0</v>
      </c>
      <c r="G886" s="8">
        <v>11.0</v>
      </c>
      <c r="H886" s="1" t="s">
        <v>1183</v>
      </c>
      <c r="I886" s="1" t="str">
        <f t="shared" si="2"/>
        <v>Dez</v>
      </c>
      <c r="J886" s="1" t="str">
        <f t="shared" si="3"/>
        <v>Bryant</v>
      </c>
      <c r="K886" s="1" t="str">
        <f t="shared" si="4"/>
        <v>#N/A</v>
      </c>
      <c r="L886" s="1" t="str">
        <f>IFERROR(VLOOKUP($K886,Players!$D:$E,2,FALSE),VLOOKUP($H886,Players!A:E,5,FALSE))</f>
        <v>WR</v>
      </c>
    </row>
    <row r="887" ht="15.75" customHeight="1">
      <c r="A887" s="1">
        <v>2017.0</v>
      </c>
      <c r="B887" s="1" t="s">
        <v>36</v>
      </c>
      <c r="C887" s="1" t="s">
        <v>17</v>
      </c>
      <c r="D887" s="8">
        <v>5.0</v>
      </c>
      <c r="E887" s="8" t="str">
        <f t="shared" si="1"/>
        <v>Playoff Team</v>
      </c>
      <c r="F887" s="8">
        <v>2.0</v>
      </c>
      <c r="G887" s="8">
        <v>14.0</v>
      </c>
      <c r="H887" s="1" t="s">
        <v>1235</v>
      </c>
      <c r="I887" s="1" t="str">
        <f t="shared" si="2"/>
        <v>Doug</v>
      </c>
      <c r="J887" s="1" t="str">
        <f t="shared" si="3"/>
        <v>Baldwin</v>
      </c>
      <c r="K887" s="1" t="str">
        <f t="shared" si="4"/>
        <v>#N/A</v>
      </c>
      <c r="L887" s="1" t="str">
        <f>IFERROR(VLOOKUP($K887,Players!$D:$E,2,FALSE),VLOOKUP($H887,Players!A:E,5,FALSE))</f>
        <v>WR</v>
      </c>
    </row>
    <row r="888" ht="15.75" customHeight="1">
      <c r="A888" s="1">
        <v>2017.0</v>
      </c>
      <c r="B888" s="1" t="s">
        <v>36</v>
      </c>
      <c r="C888" s="1" t="s">
        <v>17</v>
      </c>
      <c r="D888" s="8">
        <v>5.0</v>
      </c>
      <c r="E888" s="8" t="str">
        <f t="shared" si="1"/>
        <v>Playoff Team</v>
      </c>
      <c r="F888" s="8">
        <v>3.0</v>
      </c>
      <c r="G888" s="8">
        <v>35.0</v>
      </c>
      <c r="H888" s="1" t="s">
        <v>93</v>
      </c>
      <c r="I888" s="1" t="str">
        <f t="shared" si="2"/>
        <v>Dalvin</v>
      </c>
      <c r="J888" s="1" t="str">
        <f t="shared" si="3"/>
        <v>Cook</v>
      </c>
      <c r="K888" s="1" t="str">
        <f t="shared" si="4"/>
        <v>#N/A</v>
      </c>
      <c r="L888" s="1" t="str">
        <f>IFERROR(VLOOKUP($K888,Players!$D:$E,2,FALSE),VLOOKUP($H888,Players!A:E,5,FALSE))</f>
        <v>RB</v>
      </c>
    </row>
    <row r="889" ht="15.75" customHeight="1">
      <c r="A889" s="1">
        <v>2017.0</v>
      </c>
      <c r="B889" s="1" t="s">
        <v>36</v>
      </c>
      <c r="C889" s="1" t="s">
        <v>17</v>
      </c>
      <c r="D889" s="8">
        <v>5.0</v>
      </c>
      <c r="E889" s="8" t="str">
        <f t="shared" si="1"/>
        <v>Playoff Team</v>
      </c>
      <c r="F889" s="8">
        <v>4.0</v>
      </c>
      <c r="G889" s="8">
        <v>38.0</v>
      </c>
      <c r="H889" s="1" t="s">
        <v>113</v>
      </c>
      <c r="I889" s="1" t="str">
        <f t="shared" si="2"/>
        <v>Kareem</v>
      </c>
      <c r="J889" s="1" t="str">
        <f t="shared" si="3"/>
        <v>Hunt</v>
      </c>
      <c r="K889" s="1" t="str">
        <f t="shared" si="4"/>
        <v>#N/A</v>
      </c>
      <c r="L889" s="1" t="str">
        <f>IFERROR(VLOOKUP($K889,Players!$D:$E,2,FALSE),VLOOKUP($H889,Players!A:E,5,FALSE))</f>
        <v>RB</v>
      </c>
    </row>
    <row r="890" ht="15.75" customHeight="1">
      <c r="A890" s="1">
        <v>2017.0</v>
      </c>
      <c r="B890" s="1" t="s">
        <v>36</v>
      </c>
      <c r="C890" s="1" t="s">
        <v>17</v>
      </c>
      <c r="D890" s="8">
        <v>5.0</v>
      </c>
      <c r="E890" s="8" t="str">
        <f t="shared" si="1"/>
        <v>Playoff Team</v>
      </c>
      <c r="F890" s="8">
        <v>5.0</v>
      </c>
      <c r="G890" s="8">
        <v>59.0</v>
      </c>
      <c r="H890" s="1" t="s">
        <v>1749</v>
      </c>
      <c r="I890" s="1" t="str">
        <f t="shared" si="2"/>
        <v>Martavis</v>
      </c>
      <c r="J890" s="1" t="str">
        <f t="shared" si="3"/>
        <v>Bryant</v>
      </c>
      <c r="K890" s="1" t="str">
        <f t="shared" si="4"/>
        <v>#N/A</v>
      </c>
      <c r="L890" s="1" t="str">
        <f>IFERROR(VLOOKUP($K890,Players!$D:$E,2,FALSE),VLOOKUP($H890,Players!A:E,5,FALSE))</f>
        <v>WR</v>
      </c>
    </row>
    <row r="891" ht="15.75" customHeight="1">
      <c r="A891" s="1">
        <v>2017.0</v>
      </c>
      <c r="B891" s="1" t="s">
        <v>36</v>
      </c>
      <c r="C891" s="1" t="s">
        <v>17</v>
      </c>
      <c r="D891" s="8">
        <v>5.0</v>
      </c>
      <c r="E891" s="8" t="str">
        <f t="shared" si="1"/>
        <v>Playoff Team</v>
      </c>
      <c r="F891" s="8">
        <v>6.0</v>
      </c>
      <c r="G891" s="8">
        <v>62.0</v>
      </c>
      <c r="H891" s="1" t="s">
        <v>339</v>
      </c>
      <c r="I891" s="1" t="str">
        <f t="shared" si="2"/>
        <v>Tyreek</v>
      </c>
      <c r="J891" s="1" t="str">
        <f t="shared" si="3"/>
        <v>Hill</v>
      </c>
      <c r="K891" s="1" t="str">
        <f t="shared" si="4"/>
        <v>#N/A</v>
      </c>
      <c r="L891" s="1" t="str">
        <f>IFERROR(VLOOKUP($K891,Players!$D:$E,2,FALSE),VLOOKUP($H891,Players!A:E,5,FALSE))</f>
        <v>WR</v>
      </c>
    </row>
    <row r="892" ht="15.75" customHeight="1">
      <c r="A892" s="1">
        <v>2017.0</v>
      </c>
      <c r="B892" s="1" t="s">
        <v>36</v>
      </c>
      <c r="C892" s="1" t="s">
        <v>17</v>
      </c>
      <c r="D892" s="8">
        <v>5.0</v>
      </c>
      <c r="E892" s="8" t="str">
        <f t="shared" si="1"/>
        <v>Playoff Team</v>
      </c>
      <c r="F892" s="8">
        <v>7.0</v>
      </c>
      <c r="G892" s="8">
        <v>83.0</v>
      </c>
      <c r="H892" s="1" t="s">
        <v>940</v>
      </c>
      <c r="I892" s="1" t="str">
        <f t="shared" si="2"/>
        <v>Delanie</v>
      </c>
      <c r="J892" s="1" t="str">
        <f t="shared" si="3"/>
        <v>Walker</v>
      </c>
      <c r="K892" s="1" t="str">
        <f t="shared" si="4"/>
        <v>#N/A</v>
      </c>
      <c r="L892" s="1" t="str">
        <f>IFERROR(VLOOKUP($K892,Players!$D:$E,2,FALSE),VLOOKUP($H892,Players!A:E,5,FALSE))</f>
        <v>TE</v>
      </c>
    </row>
    <row r="893" ht="15.75" customHeight="1">
      <c r="A893" s="1">
        <v>2017.0</v>
      </c>
      <c r="B893" s="1" t="s">
        <v>36</v>
      </c>
      <c r="C893" s="1" t="s">
        <v>17</v>
      </c>
      <c r="D893" s="8">
        <v>5.0</v>
      </c>
      <c r="E893" s="8" t="str">
        <f t="shared" si="1"/>
        <v>Playoff Team</v>
      </c>
      <c r="F893" s="8">
        <v>8.0</v>
      </c>
      <c r="G893" s="8">
        <v>86.0</v>
      </c>
      <c r="H893" s="1" t="s">
        <v>457</v>
      </c>
      <c r="I893" s="1" t="str">
        <f t="shared" si="2"/>
        <v>Ben</v>
      </c>
      <c r="J893" s="1" t="str">
        <f t="shared" si="3"/>
        <v>Roethlisberger</v>
      </c>
      <c r="K893" s="1" t="str">
        <f t="shared" si="4"/>
        <v>#N/A</v>
      </c>
      <c r="L893" s="1" t="str">
        <f>IFERROR(VLOOKUP($K893,Players!$D:$E,2,FALSE),VLOOKUP($H893,Players!A:E,5,FALSE))</f>
        <v>QB</v>
      </c>
    </row>
    <row r="894" ht="15.75" customHeight="1">
      <c r="A894" s="1">
        <v>2017.0</v>
      </c>
      <c r="B894" s="1" t="s">
        <v>36</v>
      </c>
      <c r="C894" s="1" t="s">
        <v>17</v>
      </c>
      <c r="D894" s="8">
        <v>5.0</v>
      </c>
      <c r="E894" s="8" t="str">
        <f t="shared" si="1"/>
        <v>Playoff Team</v>
      </c>
      <c r="F894" s="8">
        <v>9.0</v>
      </c>
      <c r="G894" s="8">
        <v>107.0</v>
      </c>
      <c r="H894" s="1" t="s">
        <v>1288</v>
      </c>
      <c r="I894" s="1" t="str">
        <f t="shared" si="2"/>
        <v>Eddie</v>
      </c>
      <c r="J894" s="1" t="str">
        <f t="shared" si="3"/>
        <v>Lacy</v>
      </c>
      <c r="K894" s="1" t="str">
        <f t="shared" si="4"/>
        <v>#N/A</v>
      </c>
      <c r="L894" s="1" t="str">
        <f>IFERROR(VLOOKUP($K894,Players!$D:$E,2,FALSE),VLOOKUP($H894,Players!A:E,5,FALSE))</f>
        <v>RB</v>
      </c>
    </row>
    <row r="895" ht="15.75" customHeight="1">
      <c r="A895" s="1">
        <v>2017.0</v>
      </c>
      <c r="B895" s="1" t="s">
        <v>36</v>
      </c>
      <c r="C895" s="1" t="s">
        <v>17</v>
      </c>
      <c r="D895" s="8">
        <v>5.0</v>
      </c>
      <c r="E895" s="8" t="str">
        <f t="shared" si="1"/>
        <v>Playoff Team</v>
      </c>
      <c r="F895" s="8">
        <v>10.0</v>
      </c>
      <c r="G895" s="8">
        <v>110.0</v>
      </c>
      <c r="H895" s="1" t="s">
        <v>1416</v>
      </c>
      <c r="I895" s="1" t="str">
        <f t="shared" si="2"/>
        <v>#VALUE!</v>
      </c>
      <c r="J895" s="1" t="str">
        <f t="shared" si="3"/>
        <v>#VALUE!</v>
      </c>
      <c r="K895" s="1" t="str">
        <f t="shared" si="4"/>
        <v>#N/A</v>
      </c>
      <c r="L895" s="1" t="str">
        <f>IFERROR(VLOOKUP($K895,Players!$D:$E,2,FALSE),VLOOKUP($H895,Players!A:E,5,FALSE))</f>
        <v>DEF</v>
      </c>
    </row>
    <row r="896" ht="15.75" customHeight="1">
      <c r="A896" s="1">
        <v>2017.0</v>
      </c>
      <c r="B896" s="1" t="s">
        <v>36</v>
      </c>
      <c r="C896" s="1" t="s">
        <v>17</v>
      </c>
      <c r="D896" s="8">
        <v>5.0</v>
      </c>
      <c r="E896" s="8" t="str">
        <f t="shared" si="1"/>
        <v>Playoff Team</v>
      </c>
      <c r="F896" s="8">
        <v>11.0</v>
      </c>
      <c r="G896" s="8">
        <v>131.0</v>
      </c>
      <c r="H896" s="1" t="s">
        <v>190</v>
      </c>
      <c r="I896" s="1" t="str">
        <f t="shared" si="2"/>
        <v>Justin</v>
      </c>
      <c r="J896" s="1" t="str">
        <f t="shared" si="3"/>
        <v>Tucker</v>
      </c>
      <c r="K896" s="1" t="str">
        <f t="shared" si="4"/>
        <v>#N/A</v>
      </c>
      <c r="L896" s="1" t="str">
        <f>IFERROR(VLOOKUP($K896,Players!$D:$E,2,FALSE),VLOOKUP($H896,Players!A:E,5,FALSE))</f>
        <v>K</v>
      </c>
    </row>
    <row r="897" ht="15.75" customHeight="1">
      <c r="A897" s="1">
        <v>2017.0</v>
      </c>
      <c r="B897" s="1" t="s">
        <v>36</v>
      </c>
      <c r="C897" s="1" t="s">
        <v>17</v>
      </c>
      <c r="D897" s="8">
        <v>5.0</v>
      </c>
      <c r="E897" s="8" t="str">
        <f t="shared" si="1"/>
        <v>Playoff Team</v>
      </c>
      <c r="F897" s="8">
        <v>12.0</v>
      </c>
      <c r="G897" s="8">
        <v>134.0</v>
      </c>
      <c r="H897" s="1" t="s">
        <v>680</v>
      </c>
      <c r="I897" s="1" t="str">
        <f t="shared" si="2"/>
        <v>Cam</v>
      </c>
      <c r="J897" s="1" t="str">
        <f t="shared" si="3"/>
        <v>Newton</v>
      </c>
      <c r="K897" s="1" t="str">
        <f t="shared" si="4"/>
        <v>#N/A</v>
      </c>
      <c r="L897" s="1" t="str">
        <f>IFERROR(VLOOKUP($K897,Players!$D:$E,2,FALSE),VLOOKUP($H897,Players!A:E,5,FALSE))</f>
        <v>QB</v>
      </c>
    </row>
    <row r="898" ht="15.75" customHeight="1">
      <c r="A898" s="1">
        <v>2017.0</v>
      </c>
      <c r="B898" s="1" t="s">
        <v>36</v>
      </c>
      <c r="C898" s="1" t="s">
        <v>17</v>
      </c>
      <c r="D898" s="8">
        <v>5.0</v>
      </c>
      <c r="E898" s="8" t="str">
        <f t="shared" si="1"/>
        <v>Playoff Team</v>
      </c>
      <c r="F898" s="8">
        <v>13.0</v>
      </c>
      <c r="G898" s="8">
        <v>155.0</v>
      </c>
      <c r="H898" s="1" t="s">
        <v>1621</v>
      </c>
      <c r="I898" s="1" t="str">
        <f t="shared" si="2"/>
        <v>Jamaal</v>
      </c>
      <c r="J898" s="1" t="str">
        <f t="shared" si="3"/>
        <v>Charles</v>
      </c>
      <c r="K898" s="1" t="str">
        <f t="shared" si="4"/>
        <v>#N/A</v>
      </c>
      <c r="L898" s="1" t="str">
        <f>IFERROR(VLOOKUP($K898,Players!$D:$E,2,FALSE),VLOOKUP($H898,Players!A:E,5,FALSE))</f>
        <v>RB</v>
      </c>
    </row>
    <row r="899" ht="15.75" customHeight="1">
      <c r="A899" s="1">
        <v>2017.0</v>
      </c>
      <c r="B899" s="1" t="s">
        <v>36</v>
      </c>
      <c r="C899" s="1" t="s">
        <v>17</v>
      </c>
      <c r="D899" s="8">
        <v>5.0</v>
      </c>
      <c r="E899" s="8" t="str">
        <f t="shared" si="1"/>
        <v>Playoff Team</v>
      </c>
      <c r="F899" s="8">
        <v>14.0</v>
      </c>
      <c r="G899" s="8">
        <v>158.0</v>
      </c>
      <c r="H899" s="1" t="s">
        <v>749</v>
      </c>
      <c r="I899" s="1" t="str">
        <f t="shared" si="2"/>
        <v>Latavius</v>
      </c>
      <c r="J899" s="1" t="str">
        <f t="shared" si="3"/>
        <v>Murray</v>
      </c>
      <c r="K899" s="1" t="str">
        <f t="shared" si="4"/>
        <v>#N/A</v>
      </c>
      <c r="L899" s="1" t="str">
        <f>IFERROR(VLOOKUP($K899,Players!$D:$E,2,FALSE),VLOOKUP($H899,Players!A:E,5,FALSE))</f>
        <v>RB</v>
      </c>
    </row>
    <row r="900" ht="15.75" customHeight="1">
      <c r="A900" s="1">
        <v>2017.0</v>
      </c>
      <c r="B900" s="1" t="s">
        <v>36</v>
      </c>
      <c r="C900" s="1" t="s">
        <v>17</v>
      </c>
      <c r="D900" s="8">
        <v>5.0</v>
      </c>
      <c r="E900" s="8" t="str">
        <f t="shared" si="1"/>
        <v>Playoff Team</v>
      </c>
      <c r="F900" s="8">
        <v>15.0</v>
      </c>
      <c r="G900" s="8">
        <v>179.0</v>
      </c>
      <c r="H900" s="1" t="s">
        <v>1521</v>
      </c>
      <c r="I900" s="1" t="str">
        <f t="shared" si="2"/>
        <v>Jacksonville</v>
      </c>
      <c r="J900" s="1" t="str">
        <f t="shared" si="3"/>
        <v/>
      </c>
      <c r="K900" s="1" t="str">
        <f t="shared" si="4"/>
        <v>#N/A</v>
      </c>
      <c r="L900" s="1" t="str">
        <f>IFERROR(VLOOKUP($K900,Players!$D:$E,2,FALSE),VLOOKUP($H900,Players!A:E,5,FALSE))</f>
        <v>DEF</v>
      </c>
    </row>
    <row r="901" ht="15.75" customHeight="1">
      <c r="A901" s="1">
        <v>2016.0</v>
      </c>
      <c r="B901" s="1" t="s">
        <v>45</v>
      </c>
      <c r="C901" s="1" t="s">
        <v>13</v>
      </c>
      <c r="D901" s="1">
        <v>8.0</v>
      </c>
      <c r="E901" s="8" t="str">
        <f t="shared" si="1"/>
        <v>Non-Playoff Team</v>
      </c>
      <c r="F901" s="8">
        <v>1.0</v>
      </c>
      <c r="G901" s="8">
        <v>7.0</v>
      </c>
      <c r="H901" s="1" t="s">
        <v>298</v>
      </c>
      <c r="I901" s="1" t="str">
        <f t="shared" si="2"/>
        <v>DeAndre</v>
      </c>
      <c r="J901" s="1" t="str">
        <f t="shared" si="3"/>
        <v>Hopkins</v>
      </c>
      <c r="K901" s="1" t="str">
        <f t="shared" si="4"/>
        <v>#N/A</v>
      </c>
      <c r="L901" s="1" t="str">
        <f>IFERROR(VLOOKUP($K901,Players!$D:$E,2,FALSE),VLOOKUP($H901,Players!A:E,5,FALSE))</f>
        <v>WR</v>
      </c>
    </row>
    <row r="902" ht="15.75" customHeight="1">
      <c r="A902" s="1">
        <v>2016.0</v>
      </c>
      <c r="B902" s="1" t="s">
        <v>45</v>
      </c>
      <c r="C902" s="1" t="s">
        <v>13</v>
      </c>
      <c r="D902" s="1">
        <v>8.0</v>
      </c>
      <c r="E902" s="8" t="str">
        <f t="shared" si="1"/>
        <v>Non-Playoff Team</v>
      </c>
      <c r="F902" s="8">
        <v>2.0</v>
      </c>
      <c r="G902" s="8">
        <v>18.0</v>
      </c>
      <c r="H902" s="1" t="s">
        <v>724</v>
      </c>
      <c r="I902" s="1" t="str">
        <f t="shared" si="2"/>
        <v>Mark</v>
      </c>
      <c r="J902" s="1" t="str">
        <f t="shared" si="3"/>
        <v>Ingram II</v>
      </c>
      <c r="K902" s="1" t="str">
        <f t="shared" si="4"/>
        <v>#N/A</v>
      </c>
      <c r="L902" s="1" t="str">
        <f>IFERROR(VLOOKUP($K902,Players!$D:$E,2,FALSE),VLOOKUP($H902,Players!A:E,5,FALSE))</f>
        <v>#N/A</v>
      </c>
    </row>
    <row r="903" ht="15.75" customHeight="1">
      <c r="A903" s="1">
        <v>2016.0</v>
      </c>
      <c r="B903" s="1" t="s">
        <v>45</v>
      </c>
      <c r="C903" s="1" t="s">
        <v>13</v>
      </c>
      <c r="D903" s="1">
        <v>8.0</v>
      </c>
      <c r="E903" s="8" t="str">
        <f t="shared" si="1"/>
        <v>Non-Playoff Team</v>
      </c>
      <c r="F903" s="8">
        <v>3.0</v>
      </c>
      <c r="G903" s="8">
        <v>31.0</v>
      </c>
      <c r="H903" s="1" t="s">
        <v>749</v>
      </c>
      <c r="I903" s="1" t="str">
        <f t="shared" si="2"/>
        <v>Latavius</v>
      </c>
      <c r="J903" s="1" t="str">
        <f t="shared" si="3"/>
        <v>Murray</v>
      </c>
      <c r="K903" s="1" t="str">
        <f t="shared" si="4"/>
        <v>#N/A</v>
      </c>
      <c r="L903" s="1" t="str">
        <f>IFERROR(VLOOKUP($K903,Players!$D:$E,2,FALSE),VLOOKUP($H903,Players!A:E,5,FALSE))</f>
        <v>RB</v>
      </c>
    </row>
    <row r="904" ht="15.75" customHeight="1">
      <c r="A904" s="1">
        <v>2016.0</v>
      </c>
      <c r="B904" s="1" t="s">
        <v>45</v>
      </c>
      <c r="C904" s="1" t="s">
        <v>13</v>
      </c>
      <c r="D904" s="1">
        <v>8.0</v>
      </c>
      <c r="E904" s="8" t="str">
        <f t="shared" si="1"/>
        <v>Non-Playoff Team</v>
      </c>
      <c r="F904" s="8">
        <v>4.0</v>
      </c>
      <c r="G904" s="8">
        <v>42.0</v>
      </c>
      <c r="H904" s="1" t="s">
        <v>1028</v>
      </c>
      <c r="I904" s="1" t="str">
        <f t="shared" si="2"/>
        <v>Greg</v>
      </c>
      <c r="J904" s="1" t="str">
        <f t="shared" si="3"/>
        <v>Olsen</v>
      </c>
      <c r="K904" s="1" t="str">
        <f t="shared" si="4"/>
        <v>#N/A</v>
      </c>
      <c r="L904" s="1" t="str">
        <f>IFERROR(VLOOKUP($K904,Players!$D:$E,2,FALSE),VLOOKUP($H904,Players!A:E,5,FALSE))</f>
        <v>TE</v>
      </c>
    </row>
    <row r="905" ht="15.75" customHeight="1">
      <c r="A905" s="1">
        <v>2016.0</v>
      </c>
      <c r="B905" s="1" t="s">
        <v>45</v>
      </c>
      <c r="C905" s="1" t="s">
        <v>13</v>
      </c>
      <c r="D905" s="1">
        <v>8.0</v>
      </c>
      <c r="E905" s="8" t="str">
        <f t="shared" si="1"/>
        <v>Non-Playoff Team</v>
      </c>
      <c r="F905" s="8">
        <v>5.0</v>
      </c>
      <c r="G905" s="8">
        <v>55.0</v>
      </c>
      <c r="H905" s="1" t="s">
        <v>1682</v>
      </c>
      <c r="I905" s="1" t="str">
        <f t="shared" si="2"/>
        <v>Jeremy</v>
      </c>
      <c r="J905" s="1" t="str">
        <f t="shared" si="3"/>
        <v>Maclin</v>
      </c>
      <c r="K905" s="1" t="str">
        <f t="shared" si="4"/>
        <v>#N/A</v>
      </c>
      <c r="L905" s="1" t="str">
        <f>IFERROR(VLOOKUP($K905,Players!$D:$E,2,FALSE),VLOOKUP($H905,Players!A:E,5,FALSE))</f>
        <v>WR</v>
      </c>
    </row>
    <row r="906" ht="15.75" customHeight="1">
      <c r="A906" s="1">
        <v>2016.0</v>
      </c>
      <c r="B906" s="1" t="s">
        <v>45</v>
      </c>
      <c r="C906" s="1" t="s">
        <v>13</v>
      </c>
      <c r="D906" s="1">
        <v>8.0</v>
      </c>
      <c r="E906" s="8" t="str">
        <f t="shared" si="1"/>
        <v>Non-Playoff Team</v>
      </c>
      <c r="F906" s="8">
        <v>6.0</v>
      </c>
      <c r="G906" s="8">
        <v>66.0</v>
      </c>
      <c r="H906" s="1" t="s">
        <v>457</v>
      </c>
      <c r="I906" s="1" t="str">
        <f t="shared" si="2"/>
        <v>Ben</v>
      </c>
      <c r="J906" s="1" t="str">
        <f t="shared" si="3"/>
        <v>Roethlisberger</v>
      </c>
      <c r="K906" s="1" t="str">
        <f t="shared" si="4"/>
        <v>#N/A</v>
      </c>
      <c r="L906" s="1" t="str">
        <f>IFERROR(VLOOKUP($K906,Players!$D:$E,2,FALSE),VLOOKUP($H906,Players!A:E,5,FALSE))</f>
        <v>QB</v>
      </c>
    </row>
    <row r="907" ht="15.75" customHeight="1">
      <c r="A907" s="1">
        <v>2016.0</v>
      </c>
      <c r="B907" s="1" t="s">
        <v>45</v>
      </c>
      <c r="C907" s="1" t="s">
        <v>13</v>
      </c>
      <c r="D907" s="1">
        <v>8.0</v>
      </c>
      <c r="E907" s="8" t="str">
        <f t="shared" si="1"/>
        <v>Non-Playoff Team</v>
      </c>
      <c r="F907" s="8">
        <v>7.0</v>
      </c>
      <c r="G907" s="8">
        <v>79.0</v>
      </c>
      <c r="H907" s="1" t="s">
        <v>271</v>
      </c>
      <c r="I907" s="1" t="str">
        <f t="shared" si="2"/>
        <v>Ameer</v>
      </c>
      <c r="J907" s="1" t="str">
        <f t="shared" si="3"/>
        <v>Abdullah</v>
      </c>
      <c r="K907" s="1" t="str">
        <f t="shared" si="4"/>
        <v>#N/A</v>
      </c>
      <c r="L907" s="1" t="str">
        <f>IFERROR(VLOOKUP($K907,Players!$D:$E,2,FALSE),VLOOKUP($H907,Players!A:E,5,FALSE))</f>
        <v>RB</v>
      </c>
    </row>
    <row r="908" ht="15.75" customHeight="1">
      <c r="A908" s="1">
        <v>2016.0</v>
      </c>
      <c r="B908" s="1" t="s">
        <v>45</v>
      </c>
      <c r="C908" s="1" t="s">
        <v>13</v>
      </c>
      <c r="D908" s="1">
        <v>8.0</v>
      </c>
      <c r="E908" s="8" t="str">
        <f t="shared" si="1"/>
        <v>Non-Playoff Team</v>
      </c>
      <c r="F908" s="8">
        <v>8.0</v>
      </c>
      <c r="G908" s="8">
        <v>90.0</v>
      </c>
      <c r="H908" s="1" t="s">
        <v>1780</v>
      </c>
      <c r="I908" s="1" t="str">
        <f t="shared" si="2"/>
        <v>Tajae</v>
      </c>
      <c r="J908" s="1" t="str">
        <f t="shared" si="3"/>
        <v>Sharpe</v>
      </c>
      <c r="K908" s="1" t="str">
        <f t="shared" si="4"/>
        <v>#N/A</v>
      </c>
      <c r="L908" s="1" t="str">
        <f>IFERROR(VLOOKUP($K908,Players!$D:$E,2,FALSE),VLOOKUP($H908,Players!A:E,5,FALSE))</f>
        <v>WR</v>
      </c>
    </row>
    <row r="909" ht="15.75" customHeight="1">
      <c r="A909" s="1">
        <v>2016.0</v>
      </c>
      <c r="B909" s="1" t="s">
        <v>45</v>
      </c>
      <c r="C909" s="1" t="s">
        <v>13</v>
      </c>
      <c r="D909" s="1">
        <v>8.0</v>
      </c>
      <c r="E909" s="8" t="str">
        <f t="shared" si="1"/>
        <v>Non-Playoff Team</v>
      </c>
      <c r="F909" s="8">
        <v>9.0</v>
      </c>
      <c r="G909" s="8">
        <v>103.0</v>
      </c>
      <c r="H909" s="1" t="s">
        <v>1416</v>
      </c>
      <c r="I909" s="1" t="str">
        <f t="shared" si="2"/>
        <v>#VALUE!</v>
      </c>
      <c r="J909" s="1" t="str">
        <f t="shared" si="3"/>
        <v>#VALUE!</v>
      </c>
      <c r="K909" s="1" t="str">
        <f t="shared" si="4"/>
        <v>#N/A</v>
      </c>
      <c r="L909" s="1" t="str">
        <f>IFERROR(VLOOKUP($K909,Players!$D:$E,2,FALSE),VLOOKUP($H909,Players!A:E,5,FALSE))</f>
        <v>DEF</v>
      </c>
    </row>
    <row r="910" ht="15.75" customHeight="1">
      <c r="A910" s="1">
        <v>2016.0</v>
      </c>
      <c r="B910" s="1" t="s">
        <v>45</v>
      </c>
      <c r="C910" s="1" t="s">
        <v>13</v>
      </c>
      <c r="D910" s="1">
        <v>8.0</v>
      </c>
      <c r="E910" s="8" t="str">
        <f t="shared" si="1"/>
        <v>Non-Playoff Team</v>
      </c>
      <c r="F910" s="8">
        <v>10.0</v>
      </c>
      <c r="G910" s="8">
        <v>114.0</v>
      </c>
      <c r="H910" s="1" t="s">
        <v>168</v>
      </c>
      <c r="I910" s="1" t="str">
        <f t="shared" si="2"/>
        <v>Derrick</v>
      </c>
      <c r="J910" s="1" t="str">
        <f t="shared" si="3"/>
        <v>Henry</v>
      </c>
      <c r="K910" s="1" t="str">
        <f t="shared" si="4"/>
        <v>#N/A</v>
      </c>
      <c r="L910" s="1" t="str">
        <f>IFERROR(VLOOKUP($K910,Players!$D:$E,2,FALSE),VLOOKUP($H910,Players!A:E,5,FALSE))</f>
        <v>RB</v>
      </c>
    </row>
    <row r="911" ht="15.75" customHeight="1">
      <c r="A911" s="1">
        <v>2016.0</v>
      </c>
      <c r="B911" s="1" t="s">
        <v>45</v>
      </c>
      <c r="C911" s="1" t="s">
        <v>13</v>
      </c>
      <c r="D911" s="1">
        <v>8.0</v>
      </c>
      <c r="E911" s="8" t="str">
        <f t="shared" si="1"/>
        <v>Non-Playoff Team</v>
      </c>
      <c r="F911" s="8">
        <v>11.0</v>
      </c>
      <c r="G911" s="8">
        <v>127.0</v>
      </c>
      <c r="H911" s="1" t="s">
        <v>1784</v>
      </c>
      <c r="I911" s="1" t="str">
        <f t="shared" si="2"/>
        <v>Stephen</v>
      </c>
      <c r="J911" s="1" t="str">
        <f t="shared" si="3"/>
        <v>Hauschka</v>
      </c>
      <c r="K911" s="1" t="str">
        <f t="shared" si="4"/>
        <v>#N/A</v>
      </c>
      <c r="L911" s="1" t="str">
        <f>IFERROR(VLOOKUP($K911,Players!$D:$E,2,FALSE),VLOOKUP($H911,Players!A:E,5,FALSE))</f>
        <v>K</v>
      </c>
    </row>
    <row r="912" ht="15.75" customHeight="1">
      <c r="A912" s="1">
        <v>2016.0</v>
      </c>
      <c r="B912" s="1" t="s">
        <v>45</v>
      </c>
      <c r="C912" s="1" t="s">
        <v>13</v>
      </c>
      <c r="D912" s="1">
        <v>8.0</v>
      </c>
      <c r="E912" s="8" t="str">
        <f t="shared" si="1"/>
        <v>Non-Playoff Team</v>
      </c>
      <c r="F912" s="8">
        <v>12.0</v>
      </c>
      <c r="G912" s="8">
        <v>138.0</v>
      </c>
      <c r="H912" s="1" t="s">
        <v>1547</v>
      </c>
      <c r="I912" s="1" t="str">
        <f t="shared" si="2"/>
        <v>Mike</v>
      </c>
      <c r="J912" s="1" t="str">
        <f t="shared" si="3"/>
        <v>Wallace</v>
      </c>
      <c r="K912" s="1" t="str">
        <f t="shared" si="4"/>
        <v>#N/A</v>
      </c>
      <c r="L912" s="1" t="str">
        <f>IFERROR(VLOOKUP($K912,Players!$D:$E,2,FALSE),VLOOKUP($H912,Players!A:E,5,FALSE))</f>
        <v>WR</v>
      </c>
    </row>
    <row r="913" ht="15.75" customHeight="1">
      <c r="A913" s="1">
        <v>2016.0</v>
      </c>
      <c r="B913" s="1" t="s">
        <v>45</v>
      </c>
      <c r="C913" s="1" t="s">
        <v>13</v>
      </c>
      <c r="D913" s="1">
        <v>8.0</v>
      </c>
      <c r="E913" s="8" t="str">
        <f t="shared" si="1"/>
        <v>Non-Playoff Team</v>
      </c>
      <c r="F913" s="8">
        <v>13.0</v>
      </c>
      <c r="G913" s="8">
        <v>151.0</v>
      </c>
      <c r="H913" s="1" t="s">
        <v>1648</v>
      </c>
      <c r="I913" s="1" t="str">
        <f t="shared" si="2"/>
        <v>James</v>
      </c>
      <c r="J913" s="1" t="str">
        <f t="shared" si="3"/>
        <v>Starks</v>
      </c>
      <c r="K913" s="1" t="str">
        <f t="shared" si="4"/>
        <v>#N/A</v>
      </c>
      <c r="L913" s="1" t="str">
        <f>IFERROR(VLOOKUP($K913,Players!$D:$E,2,FALSE),VLOOKUP($H913,Players!A:E,5,FALSE))</f>
        <v>RB</v>
      </c>
    </row>
    <row r="914" ht="15.75" customHeight="1">
      <c r="A914" s="1">
        <v>2016.0</v>
      </c>
      <c r="B914" s="1" t="s">
        <v>45</v>
      </c>
      <c r="C914" s="1" t="s">
        <v>13</v>
      </c>
      <c r="D914" s="1">
        <v>8.0</v>
      </c>
      <c r="E914" s="8" t="str">
        <f t="shared" si="1"/>
        <v>Non-Playoff Team</v>
      </c>
      <c r="F914" s="8">
        <v>14.0</v>
      </c>
      <c r="G914" s="8">
        <v>162.0</v>
      </c>
      <c r="H914" s="1" t="s">
        <v>744</v>
      </c>
      <c r="I914" s="1" t="str">
        <f t="shared" si="2"/>
        <v>Charles</v>
      </c>
      <c r="J914" s="1" t="str">
        <f t="shared" si="3"/>
        <v>Sims</v>
      </c>
      <c r="K914" s="1" t="str">
        <f t="shared" si="4"/>
        <v>#N/A</v>
      </c>
      <c r="L914" s="1" t="str">
        <f>IFERROR(VLOOKUP($K914,Players!$D:$E,2,FALSE),VLOOKUP($H914,Players!A:E,5,FALSE))</f>
        <v>RB</v>
      </c>
    </row>
    <row r="915" ht="15.75" customHeight="1">
      <c r="A915" s="1">
        <v>2016.0</v>
      </c>
      <c r="B915" s="1" t="s">
        <v>45</v>
      </c>
      <c r="C915" s="1" t="s">
        <v>13</v>
      </c>
      <c r="D915" s="1">
        <v>8.0</v>
      </c>
      <c r="E915" s="8" t="str">
        <f t="shared" si="1"/>
        <v>Non-Playoff Team</v>
      </c>
      <c r="F915" s="8">
        <v>15.0</v>
      </c>
      <c r="G915" s="8">
        <v>175.0</v>
      </c>
      <c r="H915" s="1" t="s">
        <v>1791</v>
      </c>
      <c r="I915" s="1" t="str">
        <f t="shared" si="2"/>
        <v>Davante</v>
      </c>
      <c r="J915" s="1" t="str">
        <f t="shared" si="3"/>
        <v>Adams</v>
      </c>
      <c r="K915" s="1" t="str">
        <f t="shared" si="4"/>
        <v>#N/A</v>
      </c>
      <c r="L915" s="1" t="str">
        <f>IFERROR(VLOOKUP($K915,Players!$D:$E,2,FALSE),VLOOKUP($H915,Players!A:E,5,FALSE))</f>
        <v>#N/A</v>
      </c>
    </row>
    <row r="916" ht="15.75" customHeight="1">
      <c r="A916" s="1">
        <v>2016.0</v>
      </c>
      <c r="B916" s="1" t="s">
        <v>34</v>
      </c>
      <c r="C916" s="1" t="s">
        <v>25</v>
      </c>
      <c r="D916" s="1">
        <v>1.0</v>
      </c>
      <c r="E916" s="8" t="str">
        <f t="shared" si="1"/>
        <v>Playoff Team</v>
      </c>
      <c r="F916" s="8">
        <v>1.0</v>
      </c>
      <c r="G916" s="8">
        <v>2.0</v>
      </c>
      <c r="H916" s="1" t="s">
        <v>181</v>
      </c>
      <c r="I916" s="1" t="str">
        <f t="shared" si="2"/>
        <v>Odell</v>
      </c>
      <c r="J916" s="1" t="str">
        <f t="shared" si="3"/>
        <v>Beckham Jr</v>
      </c>
      <c r="K916" s="1" t="str">
        <f t="shared" si="4"/>
        <v>#N/A</v>
      </c>
      <c r="L916" s="1" t="str">
        <f>IFERROR(VLOOKUP($K916,Players!$D:$E,2,FALSE),VLOOKUP($H916,Players!A:E,5,FALSE))</f>
        <v>#N/A</v>
      </c>
    </row>
    <row r="917" ht="15.75" customHeight="1">
      <c r="A917" s="1">
        <v>2016.0</v>
      </c>
      <c r="B917" s="1" t="s">
        <v>34</v>
      </c>
      <c r="C917" s="1" t="s">
        <v>25</v>
      </c>
      <c r="D917" s="1">
        <v>1.0</v>
      </c>
      <c r="E917" s="8" t="str">
        <f t="shared" si="1"/>
        <v>Playoff Team</v>
      </c>
      <c r="F917" s="8">
        <v>2.0</v>
      </c>
      <c r="G917" s="8">
        <v>23.0</v>
      </c>
      <c r="H917" s="1" t="s">
        <v>117</v>
      </c>
      <c r="I917" s="1" t="str">
        <f t="shared" si="2"/>
        <v>Jarvis</v>
      </c>
      <c r="J917" s="1" t="str">
        <f t="shared" si="3"/>
        <v>Landry</v>
      </c>
      <c r="K917" s="1" t="str">
        <f t="shared" si="4"/>
        <v>#N/A</v>
      </c>
      <c r="L917" s="1" t="str">
        <f>IFERROR(VLOOKUP($K917,Players!$D:$E,2,FALSE),VLOOKUP($H917,Players!A:E,5,FALSE))</f>
        <v>WR</v>
      </c>
    </row>
    <row r="918" ht="15.75" customHeight="1">
      <c r="A918" s="1">
        <v>2016.0</v>
      </c>
      <c r="B918" s="1" t="s">
        <v>34</v>
      </c>
      <c r="C918" s="1" t="s">
        <v>25</v>
      </c>
      <c r="D918" s="1">
        <v>1.0</v>
      </c>
      <c r="E918" s="8" t="str">
        <f t="shared" si="1"/>
        <v>Playoff Team</v>
      </c>
      <c r="F918" s="8">
        <v>3.0</v>
      </c>
      <c r="G918" s="8">
        <v>26.0</v>
      </c>
      <c r="H918" s="1" t="s">
        <v>147</v>
      </c>
      <c r="I918" s="1" t="str">
        <f t="shared" si="2"/>
        <v>Brandin</v>
      </c>
      <c r="J918" s="1" t="str">
        <f t="shared" si="3"/>
        <v>Cooks</v>
      </c>
      <c r="K918" s="1" t="str">
        <f t="shared" si="4"/>
        <v>#N/A</v>
      </c>
      <c r="L918" s="1" t="str">
        <f>IFERROR(VLOOKUP($K918,Players!$D:$E,2,FALSE),VLOOKUP($H918,Players!A:E,5,FALSE))</f>
        <v>WR</v>
      </c>
    </row>
    <row r="919" ht="15.75" customHeight="1">
      <c r="A919" s="1">
        <v>2016.0</v>
      </c>
      <c r="B919" s="1" t="s">
        <v>34</v>
      </c>
      <c r="C919" s="1" t="s">
        <v>25</v>
      </c>
      <c r="D919" s="1">
        <v>1.0</v>
      </c>
      <c r="E919" s="8" t="str">
        <f t="shared" si="1"/>
        <v>Playoff Team</v>
      </c>
      <c r="F919" s="8">
        <v>4.0</v>
      </c>
      <c r="G919" s="8">
        <v>47.0</v>
      </c>
      <c r="H919" s="1" t="s">
        <v>1137</v>
      </c>
      <c r="I919" s="1" t="str">
        <f t="shared" si="2"/>
        <v>Giovani</v>
      </c>
      <c r="J919" s="1" t="str">
        <f t="shared" si="3"/>
        <v>Bernard</v>
      </c>
      <c r="K919" s="1" t="str">
        <f t="shared" si="4"/>
        <v>#N/A</v>
      </c>
      <c r="L919" s="1" t="str">
        <f>IFERROR(VLOOKUP($K919,Players!$D:$E,2,FALSE),VLOOKUP($H919,Players!A:E,5,FALSE))</f>
        <v>RB</v>
      </c>
    </row>
    <row r="920" ht="15.75" customHeight="1">
      <c r="A920" s="1">
        <v>2016.0</v>
      </c>
      <c r="B920" s="1" t="s">
        <v>34</v>
      </c>
      <c r="C920" s="1" t="s">
        <v>25</v>
      </c>
      <c r="D920" s="1">
        <v>1.0</v>
      </c>
      <c r="E920" s="8" t="str">
        <f t="shared" si="1"/>
        <v>Playoff Team</v>
      </c>
      <c r="F920" s="8">
        <v>5.0</v>
      </c>
      <c r="G920" s="8">
        <v>50.0</v>
      </c>
      <c r="H920" s="1" t="s">
        <v>940</v>
      </c>
      <c r="I920" s="1" t="str">
        <f t="shared" si="2"/>
        <v>Delanie</v>
      </c>
      <c r="J920" s="1" t="str">
        <f t="shared" si="3"/>
        <v>Walker</v>
      </c>
      <c r="K920" s="1" t="str">
        <f t="shared" si="4"/>
        <v>#N/A</v>
      </c>
      <c r="L920" s="1" t="str">
        <f>IFERROR(VLOOKUP($K920,Players!$D:$E,2,FALSE),VLOOKUP($H920,Players!A:E,5,FALSE))</f>
        <v>TE</v>
      </c>
    </row>
    <row r="921" ht="15.75" customHeight="1">
      <c r="A921" s="1">
        <v>2016.0</v>
      </c>
      <c r="B921" s="1" t="s">
        <v>34</v>
      </c>
      <c r="C921" s="1" t="s">
        <v>25</v>
      </c>
      <c r="D921" s="1">
        <v>1.0</v>
      </c>
      <c r="E921" s="8" t="str">
        <f t="shared" si="1"/>
        <v>Playoff Team</v>
      </c>
      <c r="F921" s="8">
        <v>6.0</v>
      </c>
      <c r="G921" s="8">
        <v>71.0</v>
      </c>
      <c r="H921" s="1" t="s">
        <v>360</v>
      </c>
      <c r="I921" s="1" t="str">
        <f t="shared" si="2"/>
        <v>Melvin</v>
      </c>
      <c r="J921" s="1" t="str">
        <f t="shared" si="3"/>
        <v>Gordon III</v>
      </c>
      <c r="K921" s="1" t="str">
        <f t="shared" si="4"/>
        <v>#N/A</v>
      </c>
      <c r="L921" s="1" t="str">
        <f>IFERROR(VLOOKUP($K921,Players!$D:$E,2,FALSE),VLOOKUP($H921,Players!A:E,5,FALSE))</f>
        <v>#N/A</v>
      </c>
    </row>
    <row r="922" ht="15.75" customHeight="1">
      <c r="A922" s="1">
        <v>2016.0</v>
      </c>
      <c r="B922" s="1" t="s">
        <v>34</v>
      </c>
      <c r="C922" s="1" t="s">
        <v>25</v>
      </c>
      <c r="D922" s="1">
        <v>1.0</v>
      </c>
      <c r="E922" s="8" t="str">
        <f t="shared" si="1"/>
        <v>Playoff Team</v>
      </c>
      <c r="F922" s="8">
        <v>7.0</v>
      </c>
      <c r="G922" s="8">
        <v>74.0</v>
      </c>
      <c r="H922" s="1" t="s">
        <v>741</v>
      </c>
      <c r="I922" s="1" t="str">
        <f t="shared" si="2"/>
        <v>Emmanuel</v>
      </c>
      <c r="J922" s="1" t="str">
        <f t="shared" si="3"/>
        <v>Sanders</v>
      </c>
      <c r="K922" s="1" t="str">
        <f t="shared" si="4"/>
        <v>#N/A</v>
      </c>
      <c r="L922" s="1" t="str">
        <f>IFERROR(VLOOKUP($K922,Players!$D:$E,2,FALSE),VLOOKUP($H922,Players!A:E,5,FALSE))</f>
        <v>WR</v>
      </c>
    </row>
    <row r="923" ht="15.75" customHeight="1">
      <c r="A923" s="1">
        <v>2016.0</v>
      </c>
      <c r="B923" s="1" t="s">
        <v>34</v>
      </c>
      <c r="C923" s="1" t="s">
        <v>25</v>
      </c>
      <c r="D923" s="1">
        <v>1.0</v>
      </c>
      <c r="E923" s="8" t="str">
        <f t="shared" si="1"/>
        <v>Playoff Team</v>
      </c>
      <c r="F923" s="8">
        <v>8.0</v>
      </c>
      <c r="G923" s="8">
        <v>95.0</v>
      </c>
      <c r="H923" s="1" t="s">
        <v>705</v>
      </c>
      <c r="I923" s="1" t="str">
        <f t="shared" si="2"/>
        <v>Carson</v>
      </c>
      <c r="J923" s="1" t="str">
        <f t="shared" si="3"/>
        <v>Palmer</v>
      </c>
      <c r="K923" s="1" t="str">
        <f t="shared" si="4"/>
        <v>#N/A</v>
      </c>
      <c r="L923" s="1" t="str">
        <f>IFERROR(VLOOKUP($K923,Players!$D:$E,2,FALSE),VLOOKUP($H923,Players!A:E,5,FALSE))</f>
        <v>QB</v>
      </c>
    </row>
    <row r="924" ht="15.75" customHeight="1">
      <c r="A924" s="1">
        <v>2016.0</v>
      </c>
      <c r="B924" s="1" t="s">
        <v>34</v>
      </c>
      <c r="C924" s="1" t="s">
        <v>25</v>
      </c>
      <c r="D924" s="1">
        <v>1.0</v>
      </c>
      <c r="E924" s="8" t="str">
        <f t="shared" si="1"/>
        <v>Playoff Team</v>
      </c>
      <c r="F924" s="8">
        <v>9.0</v>
      </c>
      <c r="G924" s="8">
        <v>98.0</v>
      </c>
      <c r="H924" s="1" t="s">
        <v>952</v>
      </c>
      <c r="I924" s="1" t="str">
        <f t="shared" si="2"/>
        <v>#VALUE!</v>
      </c>
      <c r="J924" s="1" t="str">
        <f t="shared" si="3"/>
        <v>#VALUE!</v>
      </c>
      <c r="K924" s="1" t="str">
        <f t="shared" si="4"/>
        <v>#N/A</v>
      </c>
      <c r="L924" s="1" t="str">
        <f>IFERROR(VLOOKUP($K924,Players!$D:$E,2,FALSE),VLOOKUP($H924,Players!A:E,5,FALSE))</f>
        <v>DEF</v>
      </c>
    </row>
    <row r="925" ht="15.75" customHeight="1">
      <c r="A925" s="1">
        <v>2016.0</v>
      </c>
      <c r="B925" s="1" t="s">
        <v>34</v>
      </c>
      <c r="C925" s="1" t="s">
        <v>25</v>
      </c>
      <c r="D925" s="1">
        <v>1.0</v>
      </c>
      <c r="E925" s="8" t="str">
        <f t="shared" si="1"/>
        <v>Playoff Team</v>
      </c>
      <c r="F925" s="8">
        <v>10.0</v>
      </c>
      <c r="G925" s="8">
        <v>119.0</v>
      </c>
      <c r="H925" s="1" t="s">
        <v>1350</v>
      </c>
      <c r="I925" s="1" t="str">
        <f t="shared" si="2"/>
        <v>Frank</v>
      </c>
      <c r="J925" s="1" t="str">
        <f t="shared" si="3"/>
        <v>Gore</v>
      </c>
      <c r="K925" s="1" t="str">
        <f t="shared" si="4"/>
        <v>#N/A</v>
      </c>
      <c r="L925" s="1" t="str">
        <f>IFERROR(VLOOKUP($K925,Players!$D:$E,2,FALSE),VLOOKUP($H925,Players!A:E,5,FALSE))</f>
        <v>RB</v>
      </c>
    </row>
    <row r="926" ht="15.75" customHeight="1">
      <c r="A926" s="1">
        <v>2016.0</v>
      </c>
      <c r="B926" s="1" t="s">
        <v>34</v>
      </c>
      <c r="C926" s="1" t="s">
        <v>25</v>
      </c>
      <c r="D926" s="1">
        <v>1.0</v>
      </c>
      <c r="E926" s="8" t="str">
        <f t="shared" si="1"/>
        <v>Playoff Team</v>
      </c>
      <c r="F926" s="8">
        <v>11.0</v>
      </c>
      <c r="G926" s="8">
        <v>122.0</v>
      </c>
      <c r="H926" s="1" t="s">
        <v>1387</v>
      </c>
      <c r="I926" s="1" t="str">
        <f t="shared" si="2"/>
        <v>Jay</v>
      </c>
      <c r="J926" s="1" t="str">
        <f t="shared" si="3"/>
        <v>Ajayi</v>
      </c>
      <c r="K926" s="1" t="str">
        <f t="shared" si="4"/>
        <v>#N/A</v>
      </c>
      <c r="L926" s="1" t="str">
        <f>IFERROR(VLOOKUP($K926,Players!$D:$E,2,FALSE),VLOOKUP($H926,Players!A:E,5,FALSE))</f>
        <v>RB</v>
      </c>
    </row>
    <row r="927" ht="15.75" customHeight="1">
      <c r="A927" s="1">
        <v>2016.0</v>
      </c>
      <c r="B927" s="1" t="s">
        <v>34</v>
      </c>
      <c r="C927" s="1" t="s">
        <v>25</v>
      </c>
      <c r="D927" s="1">
        <v>1.0</v>
      </c>
      <c r="E927" s="8" t="str">
        <f t="shared" si="1"/>
        <v>Playoff Team</v>
      </c>
      <c r="F927" s="8">
        <v>12.0</v>
      </c>
      <c r="G927" s="8">
        <v>143.0</v>
      </c>
      <c r="H927" s="1" t="s">
        <v>959</v>
      </c>
      <c r="I927" s="1" t="str">
        <f t="shared" si="2"/>
        <v>Dan</v>
      </c>
      <c r="J927" s="1" t="str">
        <f t="shared" si="3"/>
        <v>Bailey</v>
      </c>
      <c r="K927" s="1" t="str">
        <f t="shared" si="4"/>
        <v>#N/A</v>
      </c>
      <c r="L927" s="1" t="str">
        <f>IFERROR(VLOOKUP($K927,Players!$D:$E,2,FALSE),VLOOKUP($H927,Players!A:E,5,FALSE))</f>
        <v>K</v>
      </c>
    </row>
    <row r="928" ht="15.75" customHeight="1">
      <c r="A928" s="1">
        <v>2016.0</v>
      </c>
      <c r="B928" s="1" t="s">
        <v>34</v>
      </c>
      <c r="C928" s="1" t="s">
        <v>25</v>
      </c>
      <c r="D928" s="1">
        <v>1.0</v>
      </c>
      <c r="E928" s="8" t="str">
        <f t="shared" si="1"/>
        <v>Playoff Team</v>
      </c>
      <c r="F928" s="8">
        <v>13.0</v>
      </c>
      <c r="G928" s="8">
        <v>146.0</v>
      </c>
      <c r="H928" s="1" t="s">
        <v>1316</v>
      </c>
      <c r="I928" s="1" t="str">
        <f t="shared" si="2"/>
        <v>Eric</v>
      </c>
      <c r="J928" s="1" t="str">
        <f t="shared" si="3"/>
        <v>Ebron</v>
      </c>
      <c r="K928" s="1" t="str">
        <f t="shared" si="4"/>
        <v>#N/A</v>
      </c>
      <c r="L928" s="1" t="str">
        <f>IFERROR(VLOOKUP($K928,Players!$D:$E,2,FALSE),VLOOKUP($H928,Players!A:E,5,FALSE))</f>
        <v>TE</v>
      </c>
    </row>
    <row r="929" ht="15.75" customHeight="1">
      <c r="A929" s="1">
        <v>2016.0</v>
      </c>
      <c r="B929" s="1" t="s">
        <v>34</v>
      </c>
      <c r="C929" s="1" t="s">
        <v>25</v>
      </c>
      <c r="D929" s="1">
        <v>1.0</v>
      </c>
      <c r="E929" s="8" t="str">
        <f t="shared" si="1"/>
        <v>Playoff Team</v>
      </c>
      <c r="F929" s="8">
        <v>14.0</v>
      </c>
      <c r="G929" s="8">
        <v>167.0</v>
      </c>
      <c r="H929" s="1" t="s">
        <v>1813</v>
      </c>
      <c r="I929" s="1" t="str">
        <f t="shared" si="2"/>
        <v>Sammie</v>
      </c>
      <c r="J929" s="1" t="str">
        <f t="shared" si="3"/>
        <v>Coates Jr</v>
      </c>
      <c r="K929" s="1" t="str">
        <f t="shared" si="4"/>
        <v>#N/A</v>
      </c>
      <c r="L929" s="1" t="str">
        <f>IFERROR(VLOOKUP($K929,Players!$D:$E,2,FALSE),VLOOKUP($H929,Players!A:E,5,FALSE))</f>
        <v>#N/A</v>
      </c>
    </row>
    <row r="930" ht="15.75" customHeight="1">
      <c r="A930" s="1">
        <v>2016.0</v>
      </c>
      <c r="B930" s="1" t="s">
        <v>34</v>
      </c>
      <c r="C930" s="1" t="s">
        <v>25</v>
      </c>
      <c r="D930" s="1">
        <v>1.0</v>
      </c>
      <c r="E930" s="8" t="str">
        <f t="shared" si="1"/>
        <v>Playoff Team</v>
      </c>
      <c r="F930" s="8">
        <v>15.0</v>
      </c>
      <c r="G930" s="8">
        <v>170.0</v>
      </c>
      <c r="H930" s="1" t="s">
        <v>1487</v>
      </c>
      <c r="I930" s="1" t="str">
        <f t="shared" si="2"/>
        <v>Bilal</v>
      </c>
      <c r="J930" s="1" t="str">
        <f t="shared" si="3"/>
        <v>Powell</v>
      </c>
      <c r="K930" s="1" t="str">
        <f t="shared" si="4"/>
        <v>#N/A</v>
      </c>
      <c r="L930" s="1" t="str">
        <f>IFERROR(VLOOKUP($K930,Players!$D:$E,2,FALSE),VLOOKUP($H930,Players!A:E,5,FALSE))</f>
        <v>#N/A</v>
      </c>
    </row>
    <row r="931" ht="15.75" customHeight="1">
      <c r="A931" s="1">
        <v>2016.0</v>
      </c>
      <c r="B931" s="1" t="s">
        <v>54</v>
      </c>
      <c r="C931" s="1" t="s">
        <v>38</v>
      </c>
      <c r="D931" s="1">
        <v>9.0</v>
      </c>
      <c r="E931" s="8" t="str">
        <f t="shared" si="1"/>
        <v>Non-Playoff Team</v>
      </c>
      <c r="F931" s="8">
        <v>1.0</v>
      </c>
      <c r="G931" s="8">
        <v>8.0</v>
      </c>
      <c r="H931" s="1" t="s">
        <v>1621</v>
      </c>
      <c r="I931" s="1" t="str">
        <f t="shared" si="2"/>
        <v>Jamaal</v>
      </c>
      <c r="J931" s="1" t="str">
        <f t="shared" si="3"/>
        <v>Charles</v>
      </c>
      <c r="K931" s="1" t="str">
        <f t="shared" si="4"/>
        <v>#N/A</v>
      </c>
      <c r="L931" s="1" t="str">
        <f>IFERROR(VLOOKUP($K931,Players!$D:$E,2,FALSE),VLOOKUP($H931,Players!A:E,5,FALSE))</f>
        <v>RB</v>
      </c>
    </row>
    <row r="932" ht="15.75" customHeight="1">
      <c r="A932" s="1">
        <v>2016.0</v>
      </c>
      <c r="B932" s="1" t="s">
        <v>54</v>
      </c>
      <c r="C932" s="1" t="s">
        <v>38</v>
      </c>
      <c r="D932" s="1">
        <v>9.0</v>
      </c>
      <c r="E932" s="8" t="str">
        <f t="shared" si="1"/>
        <v>Non-Playoff Team</v>
      </c>
      <c r="F932" s="8">
        <v>2.0</v>
      </c>
      <c r="G932" s="8">
        <v>17.0</v>
      </c>
      <c r="H932" s="1" t="s">
        <v>751</v>
      </c>
      <c r="I932" s="1" t="str">
        <f t="shared" si="2"/>
        <v>LeSean</v>
      </c>
      <c r="J932" s="1" t="str">
        <f t="shared" si="3"/>
        <v>McCoy</v>
      </c>
      <c r="K932" s="1" t="str">
        <f t="shared" si="4"/>
        <v>#N/A</v>
      </c>
      <c r="L932" s="1" t="str">
        <f>IFERROR(VLOOKUP($K932,Players!$D:$E,2,FALSE),VLOOKUP($H932,Players!A:E,5,FALSE))</f>
        <v>RB</v>
      </c>
    </row>
    <row r="933" ht="15.75" customHeight="1">
      <c r="A933" s="1">
        <v>2016.0</v>
      </c>
      <c r="B933" s="1" t="s">
        <v>54</v>
      </c>
      <c r="C933" s="1" t="s">
        <v>38</v>
      </c>
      <c r="D933" s="1">
        <v>9.0</v>
      </c>
      <c r="E933" s="8" t="str">
        <f t="shared" si="1"/>
        <v>Non-Playoff Team</v>
      </c>
      <c r="F933" s="8">
        <v>3.0</v>
      </c>
      <c r="G933" s="8">
        <v>32.0</v>
      </c>
      <c r="H933" s="1" t="s">
        <v>176</v>
      </c>
      <c r="I933" s="1" t="str">
        <f t="shared" si="2"/>
        <v>Aaron</v>
      </c>
      <c r="J933" s="1" t="str">
        <f t="shared" si="3"/>
        <v>Rodgers</v>
      </c>
      <c r="K933" s="1" t="str">
        <f t="shared" si="4"/>
        <v>#N/A</v>
      </c>
      <c r="L933" s="1" t="str">
        <f>IFERROR(VLOOKUP($K933,Players!$D:$E,2,FALSE),VLOOKUP($H933,Players!A:E,5,FALSE))</f>
        <v>QB</v>
      </c>
    </row>
    <row r="934" ht="15.75" customHeight="1">
      <c r="A934" s="1">
        <v>2016.0</v>
      </c>
      <c r="B934" s="1" t="s">
        <v>54</v>
      </c>
      <c r="C934" s="1" t="s">
        <v>38</v>
      </c>
      <c r="D934" s="1">
        <v>9.0</v>
      </c>
      <c r="E934" s="8" t="str">
        <f t="shared" si="1"/>
        <v>Non-Playoff Team</v>
      </c>
      <c r="F934" s="8">
        <v>4.0</v>
      </c>
      <c r="G934" s="8">
        <v>41.0</v>
      </c>
      <c r="H934" s="1" t="s">
        <v>209</v>
      </c>
      <c r="I934" s="1" t="str">
        <f t="shared" si="2"/>
        <v>Carlos</v>
      </c>
      <c r="J934" s="1" t="str">
        <f t="shared" si="3"/>
        <v>Hyde</v>
      </c>
      <c r="K934" s="1" t="str">
        <f t="shared" si="4"/>
        <v>#N/A</v>
      </c>
      <c r="L934" s="1" t="str">
        <f>IFERROR(VLOOKUP($K934,Players!$D:$E,2,FALSE),VLOOKUP($H934,Players!A:E,5,FALSE))</f>
        <v>RB</v>
      </c>
    </row>
    <row r="935" ht="15.75" customHeight="1">
      <c r="A935" s="1">
        <v>2016.0</v>
      </c>
      <c r="B935" s="1" t="s">
        <v>54</v>
      </c>
      <c r="C935" s="1" t="s">
        <v>38</v>
      </c>
      <c r="D935" s="1">
        <v>9.0</v>
      </c>
      <c r="E935" s="8" t="str">
        <f t="shared" si="1"/>
        <v>Non-Playoff Team</v>
      </c>
      <c r="F935" s="8">
        <v>5.0</v>
      </c>
      <c r="G935" s="8">
        <v>56.0</v>
      </c>
      <c r="H935" s="1" t="s">
        <v>1315</v>
      </c>
      <c r="I935" s="1" t="str">
        <f t="shared" si="2"/>
        <v>Kelvin</v>
      </c>
      <c r="J935" s="1" t="str">
        <f t="shared" si="3"/>
        <v>Benjamin</v>
      </c>
      <c r="K935" s="1" t="str">
        <f t="shared" si="4"/>
        <v>#N/A</v>
      </c>
      <c r="L935" s="1" t="str">
        <f>IFERROR(VLOOKUP($K935,Players!$D:$E,2,FALSE),VLOOKUP($H935,Players!A:E,5,FALSE))</f>
        <v>WR</v>
      </c>
    </row>
    <row r="936" ht="15.75" customHeight="1">
      <c r="A936" s="1">
        <v>2016.0</v>
      </c>
      <c r="B936" s="1" t="s">
        <v>54</v>
      </c>
      <c r="C936" s="1" t="s">
        <v>38</v>
      </c>
      <c r="D936" s="1">
        <v>9.0</v>
      </c>
      <c r="E936" s="8" t="str">
        <f t="shared" si="1"/>
        <v>Non-Playoff Team</v>
      </c>
      <c r="F936" s="8">
        <v>6.0</v>
      </c>
      <c r="G936" s="8">
        <v>65.0</v>
      </c>
      <c r="H936" s="1" t="s">
        <v>965</v>
      </c>
      <c r="I936" s="1" t="str">
        <f t="shared" si="2"/>
        <v>Josh</v>
      </c>
      <c r="J936" s="1" t="str">
        <f t="shared" si="3"/>
        <v>Gordon</v>
      </c>
      <c r="K936" s="1" t="str">
        <f t="shared" si="4"/>
        <v>#N/A</v>
      </c>
      <c r="L936" s="1" t="str">
        <f>IFERROR(VLOOKUP($K936,Players!$D:$E,2,FALSE),VLOOKUP($H936,Players!A:E,5,FALSE))</f>
        <v>WR</v>
      </c>
    </row>
    <row r="937" ht="15.75" customHeight="1">
      <c r="A937" s="1">
        <v>2016.0</v>
      </c>
      <c r="B937" s="1" t="s">
        <v>54</v>
      </c>
      <c r="C937" s="1" t="s">
        <v>38</v>
      </c>
      <c r="D937" s="1">
        <v>9.0</v>
      </c>
      <c r="E937" s="8" t="str">
        <f t="shared" si="1"/>
        <v>Non-Playoff Team</v>
      </c>
      <c r="F937" s="8">
        <v>7.0</v>
      </c>
      <c r="G937" s="8">
        <v>80.0</v>
      </c>
      <c r="H937" s="1" t="s">
        <v>1720</v>
      </c>
      <c r="I937" s="1" t="str">
        <f t="shared" si="2"/>
        <v>Tyler</v>
      </c>
      <c r="J937" s="1" t="str">
        <f t="shared" si="3"/>
        <v>Eifert</v>
      </c>
      <c r="K937" s="1" t="str">
        <f t="shared" si="4"/>
        <v>#N/A</v>
      </c>
      <c r="L937" s="1" t="str">
        <f>IFERROR(VLOOKUP($K937,Players!$D:$E,2,FALSE),VLOOKUP($H937,Players!A:E,5,FALSE))</f>
        <v>TE</v>
      </c>
    </row>
    <row r="938" ht="15.75" customHeight="1">
      <c r="A938" s="1">
        <v>2016.0</v>
      </c>
      <c r="B938" s="1" t="s">
        <v>54</v>
      </c>
      <c r="C938" s="1" t="s">
        <v>38</v>
      </c>
      <c r="D938" s="1">
        <v>9.0</v>
      </c>
      <c r="E938" s="8" t="str">
        <f t="shared" si="1"/>
        <v>Non-Playoff Team</v>
      </c>
      <c r="F938" s="8">
        <v>8.0</v>
      </c>
      <c r="G938" s="8">
        <v>89.0</v>
      </c>
      <c r="H938" s="1" t="s">
        <v>1157</v>
      </c>
      <c r="I938" s="1" t="str">
        <f t="shared" si="2"/>
        <v>Devin</v>
      </c>
      <c r="J938" s="1" t="str">
        <f t="shared" si="3"/>
        <v>Funchess</v>
      </c>
      <c r="K938" s="1" t="str">
        <f t="shared" si="4"/>
        <v>#N/A</v>
      </c>
      <c r="L938" s="1" t="str">
        <f>IFERROR(VLOOKUP($K938,Players!$D:$E,2,FALSE),VLOOKUP($H938,Players!A:E,5,FALSE))</f>
        <v>WR</v>
      </c>
    </row>
    <row r="939" ht="15.75" customHeight="1">
      <c r="A939" s="1">
        <v>2016.0</v>
      </c>
      <c r="B939" s="1" t="s">
        <v>54</v>
      </c>
      <c r="C939" s="1" t="s">
        <v>38</v>
      </c>
      <c r="D939" s="1">
        <v>9.0</v>
      </c>
      <c r="E939" s="8" t="str">
        <f t="shared" si="1"/>
        <v>Non-Playoff Team</v>
      </c>
      <c r="F939" s="8">
        <v>9.0</v>
      </c>
      <c r="G939" s="8">
        <v>104.0</v>
      </c>
      <c r="H939" s="1" t="s">
        <v>318</v>
      </c>
      <c r="I939" s="1" t="str">
        <f t="shared" si="2"/>
        <v>Will</v>
      </c>
      <c r="J939" s="1" t="str">
        <f t="shared" si="3"/>
        <v>Fuller V</v>
      </c>
      <c r="K939" s="1" t="str">
        <f t="shared" si="4"/>
        <v>#N/A</v>
      </c>
      <c r="L939" s="1" t="str">
        <f>IFERROR(VLOOKUP($K939,Players!$D:$E,2,FALSE),VLOOKUP($H939,Players!A:E,5,FALSE))</f>
        <v>#N/A</v>
      </c>
    </row>
    <row r="940" ht="15.75" customHeight="1">
      <c r="A940" s="1">
        <v>2016.0</v>
      </c>
      <c r="B940" s="1" t="s">
        <v>54</v>
      </c>
      <c r="C940" s="1" t="s">
        <v>38</v>
      </c>
      <c r="D940" s="1">
        <v>9.0</v>
      </c>
      <c r="E940" s="8" t="str">
        <f t="shared" si="1"/>
        <v>Non-Playoff Team</v>
      </c>
      <c r="F940" s="8">
        <v>10.0</v>
      </c>
      <c r="G940" s="8">
        <v>113.0</v>
      </c>
      <c r="H940" s="1" t="s">
        <v>1661</v>
      </c>
      <c r="I940" s="1" t="str">
        <f t="shared" si="2"/>
        <v>Martellus</v>
      </c>
      <c r="J940" s="1" t="str">
        <f t="shared" si="3"/>
        <v>Bennett</v>
      </c>
      <c r="K940" s="1" t="str">
        <f t="shared" si="4"/>
        <v>#N/A</v>
      </c>
      <c r="L940" s="1" t="str">
        <f>IFERROR(VLOOKUP($K940,Players!$D:$E,2,FALSE),VLOOKUP($H940,Players!A:E,5,FALSE))</f>
        <v>TE</v>
      </c>
    </row>
    <row r="941" ht="15.75" customHeight="1">
      <c r="A941" s="1">
        <v>2016.0</v>
      </c>
      <c r="B941" s="1" t="s">
        <v>54</v>
      </c>
      <c r="C941" s="1" t="s">
        <v>38</v>
      </c>
      <c r="D941" s="1">
        <v>9.0</v>
      </c>
      <c r="E941" s="8" t="str">
        <f t="shared" si="1"/>
        <v>Non-Playoff Team</v>
      </c>
      <c r="F941" s="8">
        <v>11.0</v>
      </c>
      <c r="G941" s="8">
        <v>128.0</v>
      </c>
      <c r="H941" s="1" t="s">
        <v>1831</v>
      </c>
      <c r="I941" s="1" t="str">
        <f t="shared" si="2"/>
        <v>Steve</v>
      </c>
      <c r="J941" s="1" t="str">
        <f t="shared" si="3"/>
        <v>Smith Sr</v>
      </c>
      <c r="K941" s="1" t="str">
        <f t="shared" si="4"/>
        <v>#N/A</v>
      </c>
      <c r="L941" s="1" t="str">
        <f>IFERROR(VLOOKUP($K941,Players!$D:$E,2,FALSE),VLOOKUP($H941,Players!A:E,5,FALSE))</f>
        <v>#N/A</v>
      </c>
    </row>
    <row r="942" ht="15.75" customHeight="1">
      <c r="A942" s="1">
        <v>2016.0</v>
      </c>
      <c r="B942" s="1" t="s">
        <v>54</v>
      </c>
      <c r="C942" s="1" t="s">
        <v>38</v>
      </c>
      <c r="D942" s="1">
        <v>9.0</v>
      </c>
      <c r="E942" s="8" t="str">
        <f t="shared" si="1"/>
        <v>Non-Playoff Team</v>
      </c>
      <c r="F942" s="8">
        <v>12.0</v>
      </c>
      <c r="G942" s="8">
        <v>137.0</v>
      </c>
      <c r="H942" s="1" t="s">
        <v>1230</v>
      </c>
      <c r="I942" s="1" t="str">
        <f t="shared" si="2"/>
        <v>Dorial</v>
      </c>
      <c r="J942" s="1" t="str">
        <f t="shared" si="3"/>
        <v>Green-Beckham</v>
      </c>
      <c r="K942" s="1" t="str">
        <f t="shared" si="4"/>
        <v>#N/A</v>
      </c>
      <c r="L942" s="1" t="str">
        <f>IFERROR(VLOOKUP($K942,Players!$D:$E,2,FALSE),VLOOKUP($H942,Players!A:E,5,FALSE))</f>
        <v>WR</v>
      </c>
    </row>
    <row r="943" ht="15.75" customHeight="1">
      <c r="A943" s="1">
        <v>2016.0</v>
      </c>
      <c r="B943" s="1" t="s">
        <v>54</v>
      </c>
      <c r="C943" s="1" t="s">
        <v>38</v>
      </c>
      <c r="D943" s="1">
        <v>9.0</v>
      </c>
      <c r="E943" s="8" t="str">
        <f t="shared" si="1"/>
        <v>Non-Playoff Team</v>
      </c>
      <c r="F943" s="8">
        <v>13.0</v>
      </c>
      <c r="G943" s="8">
        <v>152.0</v>
      </c>
      <c r="H943" s="1" t="s">
        <v>452</v>
      </c>
      <c r="I943" s="1" t="str">
        <f t="shared" si="2"/>
        <v>James</v>
      </c>
      <c r="J943" s="1" t="str">
        <f t="shared" si="3"/>
        <v>White</v>
      </c>
      <c r="K943" s="1" t="str">
        <f t="shared" si="4"/>
        <v>#N/A</v>
      </c>
      <c r="L943" s="1" t="str">
        <f>IFERROR(VLOOKUP($K943,Players!$D:$E,2,FALSE),VLOOKUP($H943,Players!A:E,5,FALSE))</f>
        <v>RB</v>
      </c>
    </row>
    <row r="944" ht="15.75" customHeight="1">
      <c r="A944" s="1">
        <v>2016.0</v>
      </c>
      <c r="B944" s="1" t="s">
        <v>54</v>
      </c>
      <c r="C944" s="1" t="s">
        <v>38</v>
      </c>
      <c r="D944" s="1">
        <v>9.0</v>
      </c>
      <c r="E944" s="8" t="str">
        <f t="shared" si="1"/>
        <v>Non-Playoff Team</v>
      </c>
      <c r="F944" s="8">
        <v>14.0</v>
      </c>
      <c r="G944" s="8">
        <v>161.0</v>
      </c>
      <c r="H944" s="1" t="s">
        <v>1838</v>
      </c>
      <c r="I944" s="1" t="str">
        <f t="shared" si="2"/>
        <v>Vincent</v>
      </c>
      <c r="J944" s="1" t="str">
        <f t="shared" si="3"/>
        <v>Jackson</v>
      </c>
      <c r="K944" s="1" t="str">
        <f t="shared" si="4"/>
        <v>#N/A</v>
      </c>
      <c r="L944" s="1" t="str">
        <f>IFERROR(VLOOKUP($K944,Players!$D:$E,2,FALSE),VLOOKUP($H944,Players!A:E,5,FALSE))</f>
        <v>WR</v>
      </c>
    </row>
    <row r="945" ht="15.75" customHeight="1">
      <c r="A945" s="1">
        <v>2016.0</v>
      </c>
      <c r="B945" s="1" t="s">
        <v>54</v>
      </c>
      <c r="C945" s="1" t="s">
        <v>38</v>
      </c>
      <c r="D945" s="1">
        <v>9.0</v>
      </c>
      <c r="E945" s="8" t="str">
        <f t="shared" si="1"/>
        <v>Non-Playoff Team</v>
      </c>
      <c r="F945" s="8">
        <v>15.0</v>
      </c>
      <c r="G945" s="8">
        <v>176.0</v>
      </c>
      <c r="H945" s="1" t="s">
        <v>1841</v>
      </c>
      <c r="I945" s="1" t="str">
        <f t="shared" si="2"/>
        <v>Las</v>
      </c>
      <c r="J945" s="1" t="str">
        <f t="shared" si="3"/>
        <v>Vegas</v>
      </c>
      <c r="K945" s="1" t="str">
        <f t="shared" si="4"/>
        <v>#N/A</v>
      </c>
      <c r="L945" s="1" t="str">
        <f>IFERROR(VLOOKUP($K945,Players!$D:$E,2,FALSE),VLOOKUP($H945,Players!A:E,5,FALSE))</f>
        <v>DEF</v>
      </c>
    </row>
    <row r="946" ht="15.75" customHeight="1">
      <c r="A946" s="1">
        <v>2016.0</v>
      </c>
      <c r="B946" s="1" t="s">
        <v>48</v>
      </c>
      <c r="C946" s="1" t="s">
        <v>19</v>
      </c>
      <c r="D946" s="1">
        <v>10.0</v>
      </c>
      <c r="E946" s="8" t="str">
        <f t="shared" si="1"/>
        <v>Non-Playoff Team</v>
      </c>
      <c r="F946" s="8">
        <v>1.0</v>
      </c>
      <c r="G946" s="8">
        <v>9.0</v>
      </c>
      <c r="H946" s="1" t="s">
        <v>654</v>
      </c>
      <c r="I946" s="1" t="str">
        <f t="shared" si="2"/>
        <v>Rob</v>
      </c>
      <c r="J946" s="1" t="str">
        <f t="shared" si="3"/>
        <v>Gronkowski</v>
      </c>
      <c r="K946" s="1" t="str">
        <f t="shared" si="4"/>
        <v>#N/A</v>
      </c>
      <c r="L946" s="1" t="str">
        <f>IFERROR(VLOOKUP($K946,Players!$D:$E,2,FALSE),VLOOKUP($H946,Players!A:E,5,FALSE))</f>
        <v>TE</v>
      </c>
    </row>
    <row r="947" ht="15.75" customHeight="1">
      <c r="A947" s="1">
        <v>2016.0</v>
      </c>
      <c r="B947" s="1" t="s">
        <v>48</v>
      </c>
      <c r="C947" s="1" t="s">
        <v>19</v>
      </c>
      <c r="D947" s="1">
        <v>10.0</v>
      </c>
      <c r="E947" s="8" t="str">
        <f t="shared" si="1"/>
        <v>Non-Playoff Team</v>
      </c>
      <c r="F947" s="8">
        <v>2.0</v>
      </c>
      <c r="G947" s="8">
        <v>16.0</v>
      </c>
      <c r="H947" s="1" t="s">
        <v>536</v>
      </c>
      <c r="I947" s="1" t="str">
        <f t="shared" si="2"/>
        <v>Brandon</v>
      </c>
      <c r="J947" s="1" t="str">
        <f t="shared" si="3"/>
        <v>Marshall</v>
      </c>
      <c r="K947" s="1" t="str">
        <f t="shared" si="4"/>
        <v>#N/A</v>
      </c>
      <c r="L947" s="1" t="str">
        <f>IFERROR(VLOOKUP($K947,Players!$D:$E,2,FALSE),VLOOKUP($H947,Players!A:E,5,FALSE))</f>
        <v>WR</v>
      </c>
    </row>
    <row r="948" ht="15.75" customHeight="1">
      <c r="A948" s="1">
        <v>2016.0</v>
      </c>
      <c r="B948" s="1" t="s">
        <v>48</v>
      </c>
      <c r="C948" s="1" t="s">
        <v>19</v>
      </c>
      <c r="D948" s="1">
        <v>10.0</v>
      </c>
      <c r="E948" s="8" t="str">
        <f t="shared" si="1"/>
        <v>Non-Playoff Team</v>
      </c>
      <c r="F948" s="8">
        <v>3.0</v>
      </c>
      <c r="G948" s="8">
        <v>33.0</v>
      </c>
      <c r="H948" s="1" t="s">
        <v>822</v>
      </c>
      <c r="I948" s="1" t="str">
        <f t="shared" si="2"/>
        <v>TY</v>
      </c>
      <c r="J948" s="1" t="str">
        <f t="shared" si="3"/>
        <v>Hilton</v>
      </c>
      <c r="K948" s="1" t="str">
        <f t="shared" si="4"/>
        <v>#N/A</v>
      </c>
      <c r="L948" s="1" t="str">
        <f>IFERROR(VLOOKUP($K948,Players!$D:$E,2,FALSE),VLOOKUP($H948,Players!A:E,5,FALSE))</f>
        <v>WR</v>
      </c>
    </row>
    <row r="949" ht="15.75" customHeight="1">
      <c r="A949" s="1">
        <v>2016.0</v>
      </c>
      <c r="B949" s="1" t="s">
        <v>48</v>
      </c>
      <c r="C949" s="1" t="s">
        <v>19</v>
      </c>
      <c r="D949" s="1">
        <v>10.0</v>
      </c>
      <c r="E949" s="8" t="str">
        <f t="shared" si="1"/>
        <v>Non-Playoff Team</v>
      </c>
      <c r="F949" s="8">
        <v>4.0</v>
      </c>
      <c r="G949" s="8">
        <v>40.0</v>
      </c>
      <c r="H949" s="1" t="s">
        <v>1096</v>
      </c>
      <c r="I949" s="1" t="str">
        <f t="shared" si="2"/>
        <v>Demaryius</v>
      </c>
      <c r="J949" s="1" t="str">
        <f t="shared" si="3"/>
        <v>Thomas</v>
      </c>
      <c r="K949" s="1" t="str">
        <f t="shared" si="4"/>
        <v>#N/A</v>
      </c>
      <c r="L949" s="1" t="str">
        <f>IFERROR(VLOOKUP($K949,Players!$D:$E,2,FALSE),VLOOKUP($H949,Players!A:E,5,FALSE))</f>
        <v>WR</v>
      </c>
    </row>
    <row r="950" ht="15.75" customHeight="1">
      <c r="A950" s="1">
        <v>2016.0</v>
      </c>
      <c r="B950" s="1" t="s">
        <v>48</v>
      </c>
      <c r="C950" s="1" t="s">
        <v>19</v>
      </c>
      <c r="D950" s="1">
        <v>10.0</v>
      </c>
      <c r="E950" s="8" t="str">
        <f t="shared" si="1"/>
        <v>Non-Playoff Team</v>
      </c>
      <c r="F950" s="8">
        <v>5.0</v>
      </c>
      <c r="G950" s="8">
        <v>57.0</v>
      </c>
      <c r="H950" s="1" t="s">
        <v>1651</v>
      </c>
      <c r="I950" s="1" t="str">
        <f t="shared" si="2"/>
        <v>Jonathan</v>
      </c>
      <c r="J950" s="1" t="str">
        <f t="shared" si="3"/>
        <v>Stewart</v>
      </c>
      <c r="K950" s="1" t="str">
        <f t="shared" si="4"/>
        <v>#N/A</v>
      </c>
      <c r="L950" s="1" t="str">
        <f>IFERROR(VLOOKUP($K950,Players!$D:$E,2,FALSE),VLOOKUP($H950,Players!A:E,5,FALSE))</f>
        <v>RB</v>
      </c>
    </row>
    <row r="951" ht="15.75" customHeight="1">
      <c r="A951" s="1">
        <v>2016.0</v>
      </c>
      <c r="B951" s="1" t="s">
        <v>48</v>
      </c>
      <c r="C951" s="1" t="s">
        <v>19</v>
      </c>
      <c r="D951" s="1">
        <v>10.0</v>
      </c>
      <c r="E951" s="8" t="str">
        <f t="shared" si="1"/>
        <v>Non-Playoff Team</v>
      </c>
      <c r="F951" s="8">
        <v>6.0</v>
      </c>
      <c r="G951" s="8">
        <v>64.0</v>
      </c>
      <c r="H951" s="1" t="s">
        <v>1756</v>
      </c>
      <c r="I951" s="1" t="str">
        <f t="shared" si="2"/>
        <v>Jeremy</v>
      </c>
      <c r="J951" s="1" t="str">
        <f t="shared" si="3"/>
        <v>Langford</v>
      </c>
      <c r="K951" s="1" t="str">
        <f t="shared" si="4"/>
        <v>#N/A</v>
      </c>
      <c r="L951" s="1" t="str">
        <f>IFERROR(VLOOKUP($K951,Players!$D:$E,2,FALSE),VLOOKUP($H951,Players!A:E,5,FALSE))</f>
        <v>RB</v>
      </c>
    </row>
    <row r="952" ht="15.75" customHeight="1">
      <c r="A952" s="1">
        <v>2016.0</v>
      </c>
      <c r="B952" s="1" t="s">
        <v>48</v>
      </c>
      <c r="C952" s="1" t="s">
        <v>19</v>
      </c>
      <c r="D952" s="1">
        <v>10.0</v>
      </c>
      <c r="E952" s="8" t="str">
        <f t="shared" si="1"/>
        <v>Non-Playoff Team</v>
      </c>
      <c r="F952" s="8">
        <v>7.0</v>
      </c>
      <c r="G952" s="8">
        <v>81.0</v>
      </c>
      <c r="H952" s="1" t="s">
        <v>142</v>
      </c>
      <c r="I952" s="1" t="str">
        <f t="shared" si="2"/>
        <v>Tyler</v>
      </c>
      <c r="J952" s="1" t="str">
        <f t="shared" si="3"/>
        <v>Lockett</v>
      </c>
      <c r="K952" s="1" t="str">
        <f t="shared" si="4"/>
        <v>#N/A</v>
      </c>
      <c r="L952" s="1" t="str">
        <f>IFERROR(VLOOKUP($K952,Players!$D:$E,2,FALSE),VLOOKUP($H952,Players!A:E,5,FALSE))</f>
        <v>WR</v>
      </c>
    </row>
    <row r="953" ht="15.75" customHeight="1">
      <c r="A953" s="1">
        <v>2016.0</v>
      </c>
      <c r="B953" s="1" t="s">
        <v>48</v>
      </c>
      <c r="C953" s="1" t="s">
        <v>19</v>
      </c>
      <c r="D953" s="1">
        <v>10.0</v>
      </c>
      <c r="E953" s="8" t="str">
        <f t="shared" si="1"/>
        <v>Non-Playoff Team</v>
      </c>
      <c r="F953" s="8">
        <v>8.0</v>
      </c>
      <c r="G953" s="8">
        <v>88.0</v>
      </c>
      <c r="H953" s="1" t="s">
        <v>412</v>
      </c>
      <c r="I953" s="1" t="str">
        <f t="shared" si="2"/>
        <v>Kirk</v>
      </c>
      <c r="J953" s="1" t="str">
        <f t="shared" si="3"/>
        <v>Cousins</v>
      </c>
      <c r="K953" s="1" t="str">
        <f t="shared" si="4"/>
        <v>#N/A</v>
      </c>
      <c r="L953" s="1" t="str">
        <f>IFERROR(VLOOKUP($K953,Players!$D:$E,2,FALSE),VLOOKUP($H953,Players!A:E,5,FALSE))</f>
        <v>QB</v>
      </c>
    </row>
    <row r="954" ht="15.75" customHeight="1">
      <c r="A954" s="1">
        <v>2016.0</v>
      </c>
      <c r="B954" s="1" t="s">
        <v>48</v>
      </c>
      <c r="C954" s="1" t="s">
        <v>19</v>
      </c>
      <c r="D954" s="1">
        <v>10.0</v>
      </c>
      <c r="E954" s="8" t="str">
        <f t="shared" si="1"/>
        <v>Non-Playoff Team</v>
      </c>
      <c r="F954" s="8">
        <v>9.0</v>
      </c>
      <c r="G954" s="8">
        <v>105.0</v>
      </c>
      <c r="H954" s="1" t="s">
        <v>864</v>
      </c>
      <c r="I954" s="1" t="str">
        <f t="shared" si="2"/>
        <v>Mohamed</v>
      </c>
      <c r="J954" s="1" t="str">
        <f t="shared" si="3"/>
        <v>Sanu Sr</v>
      </c>
      <c r="K954" s="1" t="str">
        <f t="shared" si="4"/>
        <v>#N/A</v>
      </c>
      <c r="L954" s="1" t="str">
        <f>IFERROR(VLOOKUP($K954,Players!$D:$E,2,FALSE),VLOOKUP($H954,Players!A:E,5,FALSE))</f>
        <v>#N/A</v>
      </c>
    </row>
    <row r="955" ht="15.75" customHeight="1">
      <c r="A955" s="1">
        <v>2016.0</v>
      </c>
      <c r="B955" s="1" t="s">
        <v>48</v>
      </c>
      <c r="C955" s="1" t="s">
        <v>19</v>
      </c>
      <c r="D955" s="1">
        <v>10.0</v>
      </c>
      <c r="E955" s="8" t="str">
        <f t="shared" si="1"/>
        <v>Non-Playoff Team</v>
      </c>
      <c r="F955" s="8">
        <v>10.0</v>
      </c>
      <c r="G955" s="8">
        <v>112.0</v>
      </c>
      <c r="H955" s="1" t="s">
        <v>826</v>
      </c>
      <c r="I955" s="1" t="str">
        <f t="shared" si="2"/>
        <v>Christine</v>
      </c>
      <c r="J955" s="1" t="str">
        <f t="shared" si="3"/>
        <v>Michael</v>
      </c>
      <c r="K955" s="1" t="str">
        <f t="shared" si="4"/>
        <v>#N/A</v>
      </c>
      <c r="L955" s="1" t="str">
        <f>IFERROR(VLOOKUP($K955,Players!$D:$E,2,FALSE),VLOOKUP($H955,Players!A:E,5,FALSE))</f>
        <v>RB</v>
      </c>
    </row>
    <row r="956" ht="15.75" customHeight="1">
      <c r="A956" s="1">
        <v>2016.0</v>
      </c>
      <c r="B956" s="1" t="s">
        <v>48</v>
      </c>
      <c r="C956" s="1" t="s">
        <v>19</v>
      </c>
      <c r="D956" s="1">
        <v>10.0</v>
      </c>
      <c r="E956" s="8" t="str">
        <f t="shared" si="1"/>
        <v>Non-Playoff Team</v>
      </c>
      <c r="F956" s="8">
        <v>11.0</v>
      </c>
      <c r="G956" s="8">
        <v>129.0</v>
      </c>
      <c r="H956" s="1" t="s">
        <v>331</v>
      </c>
      <c r="I956" s="1" t="str">
        <f t="shared" si="2"/>
        <v>Kansas</v>
      </c>
      <c r="J956" s="1" t="str">
        <f t="shared" si="3"/>
        <v>City</v>
      </c>
      <c r="K956" s="1" t="str">
        <f t="shared" si="4"/>
        <v>#N/A</v>
      </c>
      <c r="L956" s="1" t="str">
        <f>IFERROR(VLOOKUP($K956,Players!$D:$E,2,FALSE),VLOOKUP($H956,Players!A:E,5,FALSE))</f>
        <v>DEF</v>
      </c>
    </row>
    <row r="957" ht="15.75" customHeight="1">
      <c r="A957" s="1">
        <v>2016.0</v>
      </c>
      <c r="B957" s="1" t="s">
        <v>48</v>
      </c>
      <c r="C957" s="1" t="s">
        <v>19</v>
      </c>
      <c r="D957" s="1">
        <v>10.0</v>
      </c>
      <c r="E957" s="8" t="str">
        <f t="shared" si="1"/>
        <v>Non-Playoff Team</v>
      </c>
      <c r="F957" s="8">
        <v>12.0</v>
      </c>
      <c r="G957" s="8">
        <v>136.0</v>
      </c>
      <c r="H957" s="1" t="s">
        <v>1762</v>
      </c>
      <c r="I957" s="1" t="str">
        <f t="shared" si="2"/>
        <v>Jerick</v>
      </c>
      <c r="J957" s="1" t="str">
        <f t="shared" si="3"/>
        <v>McKinnon</v>
      </c>
      <c r="K957" s="1" t="str">
        <f t="shared" si="4"/>
        <v>#N/A</v>
      </c>
      <c r="L957" s="1" t="str">
        <f>IFERROR(VLOOKUP($K957,Players!$D:$E,2,FALSE),VLOOKUP($H957,Players!A:E,5,FALSE))</f>
        <v>RB</v>
      </c>
    </row>
    <row r="958" ht="15.75" customHeight="1">
      <c r="A958" s="1">
        <v>2016.0</v>
      </c>
      <c r="B958" s="1" t="s">
        <v>48</v>
      </c>
      <c r="C958" s="1" t="s">
        <v>19</v>
      </c>
      <c r="D958" s="1">
        <v>10.0</v>
      </c>
      <c r="E958" s="8" t="str">
        <f t="shared" si="1"/>
        <v>Non-Playoff Team</v>
      </c>
      <c r="F958" s="8">
        <v>13.0</v>
      </c>
      <c r="G958" s="8">
        <v>153.0</v>
      </c>
      <c r="H958" s="1" t="s">
        <v>188</v>
      </c>
      <c r="I958" s="1" t="str">
        <f t="shared" si="2"/>
        <v>Adam</v>
      </c>
      <c r="J958" s="1" t="str">
        <f t="shared" si="3"/>
        <v>Vinatieri</v>
      </c>
      <c r="K958" s="1" t="str">
        <f t="shared" si="4"/>
        <v>#N/A</v>
      </c>
      <c r="L958" s="1" t="str">
        <f>IFERROR(VLOOKUP($K958,Players!$D:$E,2,FALSE),VLOOKUP($H958,Players!A:E,5,FALSE))</f>
        <v>K</v>
      </c>
    </row>
    <row r="959" ht="15.75" customHeight="1">
      <c r="A959" s="1">
        <v>2016.0</v>
      </c>
      <c r="B959" s="1" t="s">
        <v>48</v>
      </c>
      <c r="C959" s="1" t="s">
        <v>19</v>
      </c>
      <c r="D959" s="1">
        <v>10.0</v>
      </c>
      <c r="E959" s="8" t="str">
        <f t="shared" si="1"/>
        <v>Non-Playoff Team</v>
      </c>
      <c r="F959" s="8">
        <v>14.0</v>
      </c>
      <c r="G959" s="8">
        <v>160.0</v>
      </c>
      <c r="H959" s="1" t="s">
        <v>1105</v>
      </c>
      <c r="I959" s="1" t="str">
        <f t="shared" si="2"/>
        <v>Jameis</v>
      </c>
      <c r="J959" s="1" t="str">
        <f t="shared" si="3"/>
        <v>Winston</v>
      </c>
      <c r="K959" s="1" t="str">
        <f t="shared" si="4"/>
        <v>#N/A</v>
      </c>
      <c r="L959" s="1" t="str">
        <f>IFERROR(VLOOKUP($K959,Players!$D:$E,2,FALSE),VLOOKUP($H959,Players!A:E,5,FALSE))</f>
        <v>QB</v>
      </c>
    </row>
    <row r="960" ht="15.75" customHeight="1">
      <c r="A960" s="1">
        <v>2016.0</v>
      </c>
      <c r="B960" s="1" t="s">
        <v>48</v>
      </c>
      <c r="C960" s="1" t="s">
        <v>19</v>
      </c>
      <c r="D960" s="1">
        <v>10.0</v>
      </c>
      <c r="E960" s="8" t="str">
        <f t="shared" si="1"/>
        <v>Non-Playoff Team</v>
      </c>
      <c r="F960" s="8">
        <v>15.0</v>
      </c>
      <c r="G960" s="8">
        <v>177.0</v>
      </c>
      <c r="H960" s="1" t="s">
        <v>1312</v>
      </c>
      <c r="I960" s="1" t="str">
        <f t="shared" si="2"/>
        <v>Pierre</v>
      </c>
      <c r="J960" s="1" t="str">
        <f t="shared" si="3"/>
        <v>Garcon</v>
      </c>
      <c r="K960" s="1" t="str">
        <f t="shared" si="4"/>
        <v>#N/A</v>
      </c>
      <c r="L960" s="1" t="str">
        <f>IFERROR(VLOOKUP($K960,Players!$D:$E,2,FALSE),VLOOKUP($H960,Players!A:E,5,FALSE))</f>
        <v>WR</v>
      </c>
    </row>
    <row r="961" ht="15.75" customHeight="1">
      <c r="A961" s="1">
        <v>2016.0</v>
      </c>
      <c r="B961" s="1" t="s">
        <v>37</v>
      </c>
      <c r="C961" s="1" t="s">
        <v>10</v>
      </c>
      <c r="D961" s="1">
        <v>12.0</v>
      </c>
      <c r="E961" s="8" t="str">
        <f t="shared" si="1"/>
        <v>Non-Playoff Team</v>
      </c>
      <c r="F961" s="8">
        <v>1.0</v>
      </c>
      <c r="G961" s="8">
        <v>4.0</v>
      </c>
      <c r="H961" s="1" t="s">
        <v>197</v>
      </c>
      <c r="I961" s="1" t="str">
        <f t="shared" si="2"/>
        <v>Adrian</v>
      </c>
      <c r="J961" s="1" t="str">
        <f t="shared" si="3"/>
        <v>Peterson</v>
      </c>
      <c r="K961" s="1" t="str">
        <f t="shared" si="4"/>
        <v>#N/A</v>
      </c>
      <c r="L961" s="1" t="str">
        <f>IFERROR(VLOOKUP($K961,Players!$D:$E,2,FALSE),VLOOKUP($H961,Players!A:E,5,FALSE))</f>
        <v>RB</v>
      </c>
    </row>
    <row r="962" ht="15.75" customHeight="1">
      <c r="A962" s="1">
        <v>2016.0</v>
      </c>
      <c r="B962" s="1" t="s">
        <v>37</v>
      </c>
      <c r="C962" s="1" t="s">
        <v>10</v>
      </c>
      <c r="D962" s="1">
        <v>12.0</v>
      </c>
      <c r="E962" s="8" t="str">
        <f t="shared" si="1"/>
        <v>Non-Playoff Team</v>
      </c>
      <c r="F962" s="8">
        <v>2.0</v>
      </c>
      <c r="G962" s="8">
        <v>21.0</v>
      </c>
      <c r="H962" s="1" t="s">
        <v>391</v>
      </c>
      <c r="I962" s="1" t="str">
        <f t="shared" si="2"/>
        <v>Mike</v>
      </c>
      <c r="J962" s="1" t="str">
        <f t="shared" si="3"/>
        <v>Evans</v>
      </c>
      <c r="K962" s="1" t="str">
        <f t="shared" si="4"/>
        <v>#N/A</v>
      </c>
      <c r="L962" s="1" t="str">
        <f>IFERROR(VLOOKUP($K962,Players!$D:$E,2,FALSE),VLOOKUP($H962,Players!A:E,5,FALSE))</f>
        <v>WR</v>
      </c>
    </row>
    <row r="963" ht="15.75" customHeight="1">
      <c r="A963" s="1">
        <v>2016.0</v>
      </c>
      <c r="B963" s="1" t="s">
        <v>37</v>
      </c>
      <c r="C963" s="1" t="s">
        <v>10</v>
      </c>
      <c r="D963" s="1">
        <v>12.0</v>
      </c>
      <c r="E963" s="8" t="str">
        <f t="shared" si="1"/>
        <v>Non-Playoff Team</v>
      </c>
      <c r="F963" s="8">
        <v>3.0</v>
      </c>
      <c r="G963" s="8">
        <v>28.0</v>
      </c>
      <c r="H963" s="1" t="s">
        <v>1707</v>
      </c>
      <c r="I963" s="1" t="str">
        <f t="shared" si="2"/>
        <v>Jeremy</v>
      </c>
      <c r="J963" s="1" t="str">
        <f t="shared" si="3"/>
        <v>Hill</v>
      </c>
      <c r="K963" s="1" t="str">
        <f t="shared" si="4"/>
        <v>#N/A</v>
      </c>
      <c r="L963" s="1" t="str">
        <f>IFERROR(VLOOKUP($K963,Players!$D:$E,2,FALSE),VLOOKUP($H963,Players!A:E,5,FALSE))</f>
        <v>RB</v>
      </c>
    </row>
    <row r="964" ht="15.75" customHeight="1">
      <c r="A964" s="1">
        <v>2016.0</v>
      </c>
      <c r="B964" s="1" t="s">
        <v>37</v>
      </c>
      <c r="C964" s="1" t="s">
        <v>10</v>
      </c>
      <c r="D964" s="1">
        <v>12.0</v>
      </c>
      <c r="E964" s="8" t="str">
        <f t="shared" si="1"/>
        <v>Non-Playoff Team</v>
      </c>
      <c r="F964" s="8">
        <v>4.0</v>
      </c>
      <c r="G964" s="8">
        <v>45.0</v>
      </c>
      <c r="H964" s="1" t="s">
        <v>1314</v>
      </c>
      <c r="I964" s="1" t="str">
        <f t="shared" si="2"/>
        <v>Eric</v>
      </c>
      <c r="J964" s="1" t="str">
        <f t="shared" si="3"/>
        <v>Decker</v>
      </c>
      <c r="K964" s="1" t="str">
        <f t="shared" si="4"/>
        <v>#N/A</v>
      </c>
      <c r="L964" s="1" t="str">
        <f>IFERROR(VLOOKUP($K964,Players!$D:$E,2,FALSE),VLOOKUP($H964,Players!A:E,5,FALSE))</f>
        <v>WR</v>
      </c>
    </row>
    <row r="965" ht="15.75" customHeight="1">
      <c r="A965" s="1">
        <v>2016.0</v>
      </c>
      <c r="B965" s="1" t="s">
        <v>37</v>
      </c>
      <c r="C965" s="1" t="s">
        <v>10</v>
      </c>
      <c r="D965" s="1">
        <v>12.0</v>
      </c>
      <c r="E965" s="8" t="str">
        <f t="shared" si="1"/>
        <v>Non-Playoff Team</v>
      </c>
      <c r="F965" s="8">
        <v>5.0</v>
      </c>
      <c r="G965" s="8">
        <v>52.0</v>
      </c>
      <c r="H965" s="1" t="s">
        <v>645</v>
      </c>
      <c r="I965" s="1" t="str">
        <f t="shared" si="2"/>
        <v>CJ</v>
      </c>
      <c r="J965" s="1" t="str">
        <f t="shared" si="3"/>
        <v>Anderson</v>
      </c>
      <c r="K965" s="1" t="str">
        <f t="shared" si="4"/>
        <v>#N/A</v>
      </c>
      <c r="L965" s="1" t="str">
        <f>IFERROR(VLOOKUP($K965,Players!$D:$E,2,FALSE),VLOOKUP($H965,Players!A:E,5,FALSE))</f>
        <v>RB</v>
      </c>
    </row>
    <row r="966" ht="15.75" customHeight="1">
      <c r="A966" s="1">
        <v>2016.0</v>
      </c>
      <c r="B966" s="1" t="s">
        <v>37</v>
      </c>
      <c r="C966" s="1" t="s">
        <v>10</v>
      </c>
      <c r="D966" s="1">
        <v>12.0</v>
      </c>
      <c r="E966" s="8" t="str">
        <f t="shared" si="1"/>
        <v>Non-Playoff Team</v>
      </c>
      <c r="F966" s="8">
        <v>6.0</v>
      </c>
      <c r="G966" s="8">
        <v>69.0</v>
      </c>
      <c r="H966" s="1" t="s">
        <v>775</v>
      </c>
      <c r="I966" s="1" t="str">
        <f t="shared" si="2"/>
        <v>Larry</v>
      </c>
      <c r="J966" s="1" t="str">
        <f t="shared" si="3"/>
        <v>Fitzgerald</v>
      </c>
      <c r="K966" s="1" t="str">
        <f t="shared" si="4"/>
        <v>#N/A</v>
      </c>
      <c r="L966" s="1" t="str">
        <f>IFERROR(VLOOKUP($K966,Players!$D:$E,2,FALSE),VLOOKUP($H966,Players!A:E,5,FALSE))</f>
        <v>WR</v>
      </c>
    </row>
    <row r="967" ht="15.75" customHeight="1">
      <c r="A967" s="1">
        <v>2016.0</v>
      </c>
      <c r="B967" s="1" t="s">
        <v>37</v>
      </c>
      <c r="C967" s="1" t="s">
        <v>10</v>
      </c>
      <c r="D967" s="1">
        <v>12.0</v>
      </c>
      <c r="E967" s="8" t="str">
        <f t="shared" si="1"/>
        <v>Non-Playoff Team</v>
      </c>
      <c r="F967" s="8">
        <v>7.0</v>
      </c>
      <c r="G967" s="8">
        <v>76.0</v>
      </c>
      <c r="H967" s="1" t="s">
        <v>485</v>
      </c>
      <c r="I967" s="1" t="str">
        <f t="shared" si="2"/>
        <v>John</v>
      </c>
      <c r="J967" s="1" t="str">
        <f t="shared" si="3"/>
        <v>Brown</v>
      </c>
      <c r="K967" s="1" t="str">
        <f t="shared" si="4"/>
        <v>#N/A</v>
      </c>
      <c r="L967" s="1" t="str">
        <f>IFERROR(VLOOKUP($K967,Players!$D:$E,2,FALSE),VLOOKUP($H967,Players!A:E,5,FALSE))</f>
        <v>WR</v>
      </c>
    </row>
    <row r="968" ht="15.75" customHeight="1">
      <c r="A968" s="1">
        <v>2016.0</v>
      </c>
      <c r="B968" s="1" t="s">
        <v>37</v>
      </c>
      <c r="C968" s="1" t="s">
        <v>10</v>
      </c>
      <c r="D968" s="1">
        <v>12.0</v>
      </c>
      <c r="E968" s="8" t="str">
        <f t="shared" si="1"/>
        <v>Non-Playoff Team</v>
      </c>
      <c r="F968" s="8">
        <v>8.0</v>
      </c>
      <c r="G968" s="8">
        <v>93.0</v>
      </c>
      <c r="H968" s="1" t="s">
        <v>1291</v>
      </c>
      <c r="I968" s="1" t="str">
        <f t="shared" si="2"/>
        <v>Eli</v>
      </c>
      <c r="J968" s="1" t="str">
        <f t="shared" si="3"/>
        <v>Manning</v>
      </c>
      <c r="K968" s="1" t="str">
        <f t="shared" si="4"/>
        <v>#N/A</v>
      </c>
      <c r="L968" s="1" t="str">
        <f>IFERROR(VLOOKUP($K968,Players!$D:$E,2,FALSE),VLOOKUP($H968,Players!A:E,5,FALSE))</f>
        <v>QB</v>
      </c>
    </row>
    <row r="969" ht="15.75" customHeight="1">
      <c r="A969" s="1">
        <v>2016.0</v>
      </c>
      <c r="B969" s="1" t="s">
        <v>37</v>
      </c>
      <c r="C969" s="1" t="s">
        <v>10</v>
      </c>
      <c r="D969" s="1">
        <v>12.0</v>
      </c>
      <c r="E969" s="8" t="str">
        <f t="shared" si="1"/>
        <v>Non-Playoff Team</v>
      </c>
      <c r="F969" s="8">
        <v>9.0</v>
      </c>
      <c r="G969" s="8">
        <v>100.0</v>
      </c>
      <c r="H969" s="1" t="s">
        <v>1876</v>
      </c>
      <c r="I969" s="1" t="str">
        <f t="shared" si="2"/>
        <v>Markus</v>
      </c>
      <c r="J969" s="1" t="str">
        <f t="shared" si="3"/>
        <v>Wheaton</v>
      </c>
      <c r="K969" s="1" t="str">
        <f t="shared" si="4"/>
        <v>#N/A</v>
      </c>
      <c r="L969" s="1" t="str">
        <f>IFERROR(VLOOKUP($K969,Players!$D:$E,2,FALSE),VLOOKUP($H969,Players!A:E,5,FALSE))</f>
        <v>WR</v>
      </c>
    </row>
    <row r="970" ht="15.75" customHeight="1">
      <c r="A970" s="1">
        <v>2016.0</v>
      </c>
      <c r="B970" s="1" t="s">
        <v>37</v>
      </c>
      <c r="C970" s="1" t="s">
        <v>10</v>
      </c>
      <c r="D970" s="1">
        <v>12.0</v>
      </c>
      <c r="E970" s="8" t="str">
        <f t="shared" si="1"/>
        <v>Non-Playoff Team</v>
      </c>
      <c r="F970" s="8">
        <v>10.0</v>
      </c>
      <c r="G970" s="8">
        <v>117.0</v>
      </c>
      <c r="H970" s="1" t="s">
        <v>1878</v>
      </c>
      <c r="I970" s="1" t="str">
        <f t="shared" si="2"/>
        <v>Rashad</v>
      </c>
      <c r="J970" s="1" t="str">
        <f t="shared" si="3"/>
        <v>Jennings</v>
      </c>
      <c r="K970" s="1" t="str">
        <f t="shared" si="4"/>
        <v>#N/A</v>
      </c>
      <c r="L970" s="1" t="str">
        <f>IFERROR(VLOOKUP($K970,Players!$D:$E,2,FALSE),VLOOKUP($H970,Players!A:E,5,FALSE))</f>
        <v>RB</v>
      </c>
    </row>
    <row r="971" ht="15.75" customHeight="1">
      <c r="A971" s="1">
        <v>2016.0</v>
      </c>
      <c r="B971" s="1" t="s">
        <v>37</v>
      </c>
      <c r="C971" s="1" t="s">
        <v>10</v>
      </c>
      <c r="D971" s="1">
        <v>12.0</v>
      </c>
      <c r="E971" s="8" t="str">
        <f t="shared" si="1"/>
        <v>Non-Playoff Team</v>
      </c>
      <c r="F971" s="8">
        <v>11.0</v>
      </c>
      <c r="G971" s="8">
        <v>124.0</v>
      </c>
      <c r="H971" s="1" t="s">
        <v>307</v>
      </c>
      <c r="I971" s="1" t="str">
        <f t="shared" si="2"/>
        <v>Andy</v>
      </c>
      <c r="J971" s="1" t="str">
        <f t="shared" si="3"/>
        <v>Dalton</v>
      </c>
      <c r="K971" s="1" t="str">
        <f t="shared" si="4"/>
        <v>#N/A</v>
      </c>
      <c r="L971" s="1" t="str">
        <f>IFERROR(VLOOKUP($K971,Players!$D:$E,2,FALSE),VLOOKUP($H971,Players!A:E,5,FALSE))</f>
        <v>QB</v>
      </c>
    </row>
    <row r="972" ht="15.75" customHeight="1">
      <c r="A972" s="1">
        <v>2016.0</v>
      </c>
      <c r="B972" s="1" t="s">
        <v>37</v>
      </c>
      <c r="C972" s="1" t="s">
        <v>10</v>
      </c>
      <c r="D972" s="1">
        <v>12.0</v>
      </c>
      <c r="E972" s="8" t="str">
        <f t="shared" si="1"/>
        <v>Non-Playoff Team</v>
      </c>
      <c r="F972" s="8">
        <v>12.0</v>
      </c>
      <c r="G972" s="8">
        <v>141.0</v>
      </c>
      <c r="H972" s="1" t="s">
        <v>502</v>
      </c>
      <c r="I972" s="1" t="str">
        <f t="shared" si="2"/>
        <v>#VALUE!</v>
      </c>
      <c r="J972" s="1" t="str">
        <f t="shared" si="3"/>
        <v>#VALUE!</v>
      </c>
      <c r="K972" s="1" t="str">
        <f t="shared" si="4"/>
        <v>#N/A</v>
      </c>
      <c r="L972" s="1" t="str">
        <f>IFERROR(VLOOKUP($K972,Players!$D:$E,2,FALSE),VLOOKUP($H972,Players!A:E,5,FALSE))</f>
        <v>DEF</v>
      </c>
    </row>
    <row r="973" ht="15.75" customHeight="1">
      <c r="A973" s="1">
        <v>2016.0</v>
      </c>
      <c r="B973" s="1" t="s">
        <v>37</v>
      </c>
      <c r="C973" s="1" t="s">
        <v>10</v>
      </c>
      <c r="D973" s="1">
        <v>12.0</v>
      </c>
      <c r="E973" s="8" t="str">
        <f t="shared" si="1"/>
        <v>Non-Playoff Team</v>
      </c>
      <c r="F973" s="8">
        <v>13.0</v>
      </c>
      <c r="G973" s="8">
        <v>148.0</v>
      </c>
      <c r="H973" s="1" t="s">
        <v>1883</v>
      </c>
      <c r="I973" s="1" t="str">
        <f t="shared" si="2"/>
        <v>Zach</v>
      </c>
      <c r="J973" s="1" t="str">
        <f t="shared" si="3"/>
        <v>Miller</v>
      </c>
      <c r="K973" s="1" t="str">
        <f t="shared" si="4"/>
        <v>#N/A</v>
      </c>
      <c r="L973" s="1" t="str">
        <f>IFERROR(VLOOKUP($K973,Players!$D:$E,2,FALSE),VLOOKUP($H973,Players!A:E,5,FALSE))</f>
        <v>TE</v>
      </c>
    </row>
    <row r="974" ht="15.75" customHeight="1">
      <c r="A974" s="1">
        <v>2016.0</v>
      </c>
      <c r="B974" s="1" t="s">
        <v>37</v>
      </c>
      <c r="C974" s="1" t="s">
        <v>10</v>
      </c>
      <c r="D974" s="1">
        <v>12.0</v>
      </c>
      <c r="E974" s="8" t="str">
        <f t="shared" si="1"/>
        <v>Non-Playoff Team</v>
      </c>
      <c r="F974" s="8">
        <v>14.0</v>
      </c>
      <c r="G974" s="8">
        <v>165.0</v>
      </c>
      <c r="H974" s="1" t="s">
        <v>837</v>
      </c>
      <c r="I974" s="1" t="str">
        <f t="shared" si="2"/>
        <v>Clive</v>
      </c>
      <c r="J974" s="1" t="str">
        <f t="shared" si="3"/>
        <v>Walford</v>
      </c>
      <c r="K974" s="1" t="str">
        <f t="shared" si="4"/>
        <v>#N/A</v>
      </c>
      <c r="L974" s="1" t="str">
        <f>IFERROR(VLOOKUP($K974,Players!$D:$E,2,FALSE),VLOOKUP($H974,Players!A:E,5,FALSE))</f>
        <v>TE</v>
      </c>
    </row>
    <row r="975" ht="15.75" customHeight="1">
      <c r="A975" s="1">
        <v>2016.0</v>
      </c>
      <c r="B975" s="1" t="s">
        <v>37</v>
      </c>
      <c r="C975" s="1" t="s">
        <v>10</v>
      </c>
      <c r="D975" s="1">
        <v>12.0</v>
      </c>
      <c r="E975" s="8" t="str">
        <f t="shared" si="1"/>
        <v>Non-Playoff Team</v>
      </c>
      <c r="F975" s="8">
        <v>15.0</v>
      </c>
      <c r="G975" s="8">
        <v>172.0</v>
      </c>
      <c r="H975" s="1" t="s">
        <v>1886</v>
      </c>
      <c r="I975" s="1" t="str">
        <f t="shared" si="2"/>
        <v>Josh</v>
      </c>
      <c r="J975" s="1" t="str">
        <f t="shared" si="3"/>
        <v>Brown</v>
      </c>
      <c r="K975" s="1" t="str">
        <f t="shared" si="4"/>
        <v>#N/A</v>
      </c>
      <c r="L975" s="1" t="str">
        <f>IFERROR(VLOOKUP($K975,Players!$D:$E,2,FALSE),VLOOKUP($H975,Players!A:E,5,FALSE))</f>
        <v>K</v>
      </c>
    </row>
    <row r="976" ht="15.75" customHeight="1">
      <c r="A976" s="1">
        <v>2016.0</v>
      </c>
      <c r="B976" s="1" t="s">
        <v>30</v>
      </c>
      <c r="C976" s="1" t="s">
        <v>31</v>
      </c>
      <c r="D976" s="1">
        <v>6.0</v>
      </c>
      <c r="E976" s="8" t="str">
        <f t="shared" si="1"/>
        <v>Playoff Team</v>
      </c>
      <c r="F976" s="8">
        <v>1.0</v>
      </c>
      <c r="G976" s="8">
        <v>10.0</v>
      </c>
      <c r="H976" s="1" t="s">
        <v>152</v>
      </c>
      <c r="I976" s="1" t="str">
        <f t="shared" si="2"/>
        <v>AJ</v>
      </c>
      <c r="J976" s="1" t="str">
        <f t="shared" si="3"/>
        <v>Green</v>
      </c>
      <c r="K976" s="1" t="str">
        <f t="shared" si="4"/>
        <v>#N/A</v>
      </c>
      <c r="L976" s="1" t="str">
        <f>IFERROR(VLOOKUP($K976,Players!$D:$E,2,FALSE),VLOOKUP($H976,Players!A:E,5,FALSE))</f>
        <v>WR</v>
      </c>
    </row>
    <row r="977" ht="15.75" customHeight="1">
      <c r="A977" s="1">
        <v>2016.0</v>
      </c>
      <c r="B977" s="1" t="s">
        <v>30</v>
      </c>
      <c r="C977" s="1" t="s">
        <v>31</v>
      </c>
      <c r="D977" s="1">
        <v>6.0</v>
      </c>
      <c r="E977" s="8" t="str">
        <f t="shared" si="1"/>
        <v>Playoff Team</v>
      </c>
      <c r="F977" s="8">
        <v>2.0</v>
      </c>
      <c r="G977" s="8">
        <v>15.0</v>
      </c>
      <c r="H977" s="1" t="s">
        <v>1465</v>
      </c>
      <c r="I977" s="1" t="str">
        <f t="shared" si="2"/>
        <v>Lamar</v>
      </c>
      <c r="J977" s="1" t="str">
        <f t="shared" si="3"/>
        <v>Miller</v>
      </c>
      <c r="K977" s="1" t="str">
        <f t="shared" si="4"/>
        <v>#N/A</v>
      </c>
      <c r="L977" s="1" t="str">
        <f>IFERROR(VLOOKUP($K977,Players!$D:$E,2,FALSE),VLOOKUP($H977,Players!A:E,5,FALSE))</f>
        <v>RB</v>
      </c>
    </row>
    <row r="978" ht="15.75" customHeight="1">
      <c r="A978" s="1">
        <v>2016.0</v>
      </c>
      <c r="B978" s="1" t="s">
        <v>30</v>
      </c>
      <c r="C978" s="1" t="s">
        <v>31</v>
      </c>
      <c r="D978" s="1">
        <v>6.0</v>
      </c>
      <c r="E978" s="8" t="str">
        <f t="shared" si="1"/>
        <v>Playoff Team</v>
      </c>
      <c r="F978" s="8">
        <v>3.0</v>
      </c>
      <c r="G978" s="8">
        <v>34.0</v>
      </c>
      <c r="H978" s="1" t="s">
        <v>835</v>
      </c>
      <c r="I978" s="1" t="str">
        <f t="shared" si="2"/>
        <v>Sammy</v>
      </c>
      <c r="J978" s="1" t="str">
        <f t="shared" si="3"/>
        <v>Watkins</v>
      </c>
      <c r="K978" s="1" t="str">
        <f t="shared" si="4"/>
        <v>#N/A</v>
      </c>
      <c r="L978" s="1" t="str">
        <f>IFERROR(VLOOKUP($K978,Players!$D:$E,2,FALSE),VLOOKUP($H978,Players!A:E,5,FALSE))</f>
        <v>WR</v>
      </c>
    </row>
    <row r="979" ht="15.75" customHeight="1">
      <c r="A979" s="1">
        <v>2016.0</v>
      </c>
      <c r="B979" s="1" t="s">
        <v>30</v>
      </c>
      <c r="C979" s="1" t="s">
        <v>31</v>
      </c>
      <c r="D979" s="1">
        <v>6.0</v>
      </c>
      <c r="E979" s="8" t="str">
        <f t="shared" si="1"/>
        <v>Playoff Team</v>
      </c>
      <c r="F979" s="8">
        <v>4.0</v>
      </c>
      <c r="G979" s="8">
        <v>39.0</v>
      </c>
      <c r="H979" s="1" t="s">
        <v>1235</v>
      </c>
      <c r="I979" s="1" t="str">
        <f t="shared" si="2"/>
        <v>Doug</v>
      </c>
      <c r="J979" s="1" t="str">
        <f t="shared" si="3"/>
        <v>Baldwin</v>
      </c>
      <c r="K979" s="1" t="str">
        <f t="shared" si="4"/>
        <v>#N/A</v>
      </c>
      <c r="L979" s="1" t="str">
        <f>IFERROR(VLOOKUP($K979,Players!$D:$E,2,FALSE),VLOOKUP($H979,Players!A:E,5,FALSE))</f>
        <v>WR</v>
      </c>
    </row>
    <row r="980" ht="15.75" customHeight="1">
      <c r="A980" s="1">
        <v>2016.0</v>
      </c>
      <c r="B980" s="1" t="s">
        <v>30</v>
      </c>
      <c r="C980" s="1" t="s">
        <v>31</v>
      </c>
      <c r="D980" s="1">
        <v>6.0</v>
      </c>
      <c r="E980" s="8" t="str">
        <f t="shared" si="1"/>
        <v>Playoff Team</v>
      </c>
      <c r="F980" s="8">
        <v>5.0</v>
      </c>
      <c r="G980" s="8">
        <v>58.0</v>
      </c>
      <c r="H980" s="1" t="s">
        <v>1092</v>
      </c>
      <c r="I980" s="1" t="str">
        <f t="shared" si="2"/>
        <v>DeMarco</v>
      </c>
      <c r="J980" s="1" t="str">
        <f t="shared" si="3"/>
        <v>Murray</v>
      </c>
      <c r="K980" s="1" t="str">
        <f t="shared" si="4"/>
        <v>#N/A</v>
      </c>
      <c r="L980" s="1" t="str">
        <f>IFERROR(VLOOKUP($K980,Players!$D:$E,2,FALSE),VLOOKUP($H980,Players!A:E,5,FALSE))</f>
        <v>RB</v>
      </c>
    </row>
    <row r="981" ht="15.75" customHeight="1">
      <c r="A981" s="1">
        <v>2016.0</v>
      </c>
      <c r="B981" s="1" t="s">
        <v>30</v>
      </c>
      <c r="C981" s="1" t="s">
        <v>31</v>
      </c>
      <c r="D981" s="1">
        <v>6.0</v>
      </c>
      <c r="E981" s="8" t="str">
        <f t="shared" si="1"/>
        <v>Playoff Team</v>
      </c>
      <c r="F981" s="8">
        <v>6.0</v>
      </c>
      <c r="G981" s="8">
        <v>63.0</v>
      </c>
      <c r="H981" s="1" t="s">
        <v>267</v>
      </c>
      <c r="I981" s="1" t="str">
        <f t="shared" si="2"/>
        <v>Tom</v>
      </c>
      <c r="J981" s="1" t="str">
        <f t="shared" si="3"/>
        <v>Brady</v>
      </c>
      <c r="K981" s="1" t="str">
        <f t="shared" si="4"/>
        <v>#N/A</v>
      </c>
      <c r="L981" s="1" t="str">
        <f>IFERROR(VLOOKUP($K981,Players!$D:$E,2,FALSE),VLOOKUP($H981,Players!A:E,5,FALSE))</f>
        <v>QB</v>
      </c>
    </row>
    <row r="982" ht="15.75" customHeight="1">
      <c r="A982" s="1">
        <v>2016.0</v>
      </c>
      <c r="B982" s="1" t="s">
        <v>30</v>
      </c>
      <c r="C982" s="1" t="s">
        <v>31</v>
      </c>
      <c r="D982" s="1">
        <v>6.0</v>
      </c>
      <c r="E982" s="8" t="str">
        <f t="shared" si="1"/>
        <v>Playoff Team</v>
      </c>
      <c r="F982" s="8">
        <v>7.0</v>
      </c>
      <c r="G982" s="8">
        <v>82.0</v>
      </c>
      <c r="H982" s="1" t="s">
        <v>819</v>
      </c>
      <c r="I982" s="1" t="str">
        <f t="shared" si="2"/>
        <v>Zach</v>
      </c>
      <c r="J982" s="1" t="str">
        <f t="shared" si="3"/>
        <v>Ertz</v>
      </c>
      <c r="K982" s="1" t="str">
        <f t="shared" si="4"/>
        <v>#N/A</v>
      </c>
      <c r="L982" s="1" t="str">
        <f>IFERROR(VLOOKUP($K982,Players!$D:$E,2,FALSE),VLOOKUP($H982,Players!A:E,5,FALSE))</f>
        <v>TE</v>
      </c>
    </row>
    <row r="983" ht="15.75" customHeight="1">
      <c r="A983" s="1">
        <v>2016.0</v>
      </c>
      <c r="B983" s="1" t="s">
        <v>30</v>
      </c>
      <c r="C983" s="1" t="s">
        <v>31</v>
      </c>
      <c r="D983" s="1">
        <v>6.0</v>
      </c>
      <c r="E983" s="8" t="str">
        <f t="shared" si="1"/>
        <v>Playoff Team</v>
      </c>
      <c r="F983" s="8">
        <v>8.0</v>
      </c>
      <c r="G983" s="8">
        <v>87.0</v>
      </c>
      <c r="H983" s="1" t="s">
        <v>714</v>
      </c>
      <c r="I983" s="1" t="str">
        <f t="shared" si="2"/>
        <v>Drew</v>
      </c>
      <c r="J983" s="1" t="str">
        <f t="shared" si="3"/>
        <v>Brees</v>
      </c>
      <c r="K983" s="1" t="str">
        <f t="shared" si="4"/>
        <v>#N/A</v>
      </c>
      <c r="L983" s="1" t="str">
        <f>IFERROR(VLOOKUP($K983,Players!$D:$E,2,FALSE),VLOOKUP($H983,Players!A:E,5,FALSE))</f>
        <v>QB</v>
      </c>
    </row>
    <row r="984" ht="15.75" customHeight="1">
      <c r="A984" s="1">
        <v>2016.0</v>
      </c>
      <c r="B984" s="1" t="s">
        <v>30</v>
      </c>
      <c r="C984" s="1" t="s">
        <v>31</v>
      </c>
      <c r="D984" s="1">
        <v>6.0</v>
      </c>
      <c r="E984" s="8" t="str">
        <f t="shared" si="1"/>
        <v>Playoff Team</v>
      </c>
      <c r="F984" s="8">
        <v>9.0</v>
      </c>
      <c r="G984" s="8">
        <v>106.0</v>
      </c>
      <c r="H984" s="1" t="s">
        <v>1016</v>
      </c>
      <c r="I984" s="1" t="str">
        <f t="shared" si="2"/>
        <v>Darren</v>
      </c>
      <c r="J984" s="1" t="str">
        <f t="shared" si="3"/>
        <v>Sproles</v>
      </c>
      <c r="K984" s="1" t="str">
        <f t="shared" si="4"/>
        <v>#N/A</v>
      </c>
      <c r="L984" s="1" t="str">
        <f>IFERROR(VLOOKUP($K984,Players!$D:$E,2,FALSE),VLOOKUP($H984,Players!A:E,5,FALSE))</f>
        <v>RB</v>
      </c>
    </row>
    <row r="985" ht="15.75" customHeight="1">
      <c r="A985" s="1">
        <v>2016.0</v>
      </c>
      <c r="B985" s="1" t="s">
        <v>30</v>
      </c>
      <c r="C985" s="1" t="s">
        <v>31</v>
      </c>
      <c r="D985" s="1">
        <v>6.0</v>
      </c>
      <c r="E985" s="8" t="str">
        <f t="shared" si="1"/>
        <v>Playoff Team</v>
      </c>
      <c r="F985" s="8">
        <v>10.0</v>
      </c>
      <c r="G985" s="8">
        <v>111.0</v>
      </c>
      <c r="H985" s="1" t="s">
        <v>1073</v>
      </c>
      <c r="I985" s="1" t="str">
        <f t="shared" si="2"/>
        <v>DeAndre</v>
      </c>
      <c r="J985" s="1" t="str">
        <f t="shared" si="3"/>
        <v>Washington</v>
      </c>
      <c r="K985" s="1" t="str">
        <f t="shared" si="4"/>
        <v>#N/A</v>
      </c>
      <c r="L985" s="1" t="str">
        <f>IFERROR(VLOOKUP($K985,Players!$D:$E,2,FALSE),VLOOKUP($H985,Players!A:E,5,FALSE))</f>
        <v>RB</v>
      </c>
    </row>
    <row r="986" ht="15.75" customHeight="1">
      <c r="A986" s="1">
        <v>2016.0</v>
      </c>
      <c r="B986" s="1" t="s">
        <v>30</v>
      </c>
      <c r="C986" s="1" t="s">
        <v>31</v>
      </c>
      <c r="D986" s="1">
        <v>6.0</v>
      </c>
      <c r="E986" s="8" t="str">
        <f t="shared" si="1"/>
        <v>Playoff Team</v>
      </c>
      <c r="F986" s="8">
        <v>11.0</v>
      </c>
      <c r="G986" s="8">
        <v>130.0</v>
      </c>
      <c r="H986" s="1" t="s">
        <v>1578</v>
      </c>
      <c r="I986" s="1" t="str">
        <f t="shared" si="2"/>
        <v>Willie</v>
      </c>
      <c r="J986" s="1" t="str">
        <f t="shared" si="3"/>
        <v>Snead IV</v>
      </c>
      <c r="K986" s="1" t="str">
        <f t="shared" si="4"/>
        <v>#N/A</v>
      </c>
      <c r="L986" s="1" t="str">
        <f>IFERROR(VLOOKUP($K986,Players!$D:$E,2,FALSE),VLOOKUP($H986,Players!A:E,5,FALSE))</f>
        <v>#N/A</v>
      </c>
    </row>
    <row r="987" ht="15.75" customHeight="1">
      <c r="A987" s="1">
        <v>2016.0</v>
      </c>
      <c r="B987" s="1" t="s">
        <v>30</v>
      </c>
      <c r="C987" s="1" t="s">
        <v>31</v>
      </c>
      <c r="D987" s="1">
        <v>6.0</v>
      </c>
      <c r="E987" s="8" t="str">
        <f t="shared" si="1"/>
        <v>Playoff Team</v>
      </c>
      <c r="F987" s="8">
        <v>12.0</v>
      </c>
      <c r="G987" s="8">
        <v>135.0</v>
      </c>
      <c r="H987" s="1" t="s">
        <v>162</v>
      </c>
      <c r="I987" s="1" t="str">
        <f t="shared" si="2"/>
        <v>Green</v>
      </c>
      <c r="J987" s="1" t="str">
        <f t="shared" si="3"/>
        <v>Bay</v>
      </c>
      <c r="K987" s="1" t="str">
        <f t="shared" si="4"/>
        <v>#N/A</v>
      </c>
      <c r="L987" s="1" t="str">
        <f>IFERROR(VLOOKUP($K987,Players!$D:$E,2,FALSE),VLOOKUP($H987,Players!A:E,5,FALSE))</f>
        <v>DEF</v>
      </c>
    </row>
    <row r="988" ht="15.75" customHeight="1">
      <c r="A988" s="1">
        <v>2016.0</v>
      </c>
      <c r="B988" s="1" t="s">
        <v>30</v>
      </c>
      <c r="C988" s="1" t="s">
        <v>31</v>
      </c>
      <c r="D988" s="1">
        <v>6.0</v>
      </c>
      <c r="E988" s="8" t="str">
        <f t="shared" si="1"/>
        <v>Playoff Team</v>
      </c>
      <c r="F988" s="8">
        <v>13.0</v>
      </c>
      <c r="G988" s="8">
        <v>154.0</v>
      </c>
      <c r="H988" s="1" t="s">
        <v>790</v>
      </c>
      <c r="I988" s="1" t="str">
        <f t="shared" si="2"/>
        <v>Chris</v>
      </c>
      <c r="J988" s="1" t="str">
        <f t="shared" si="3"/>
        <v>Hogan</v>
      </c>
      <c r="K988" s="1" t="str">
        <f t="shared" si="4"/>
        <v>#N/A</v>
      </c>
      <c r="L988" s="1" t="str">
        <f>IFERROR(VLOOKUP($K988,Players!$D:$E,2,FALSE),VLOOKUP($H988,Players!A:E,5,FALSE))</f>
        <v>WR</v>
      </c>
    </row>
    <row r="989" ht="15.75" customHeight="1">
      <c r="A989" s="1">
        <v>2016.0</v>
      </c>
      <c r="B989" s="1" t="s">
        <v>30</v>
      </c>
      <c r="C989" s="1" t="s">
        <v>31</v>
      </c>
      <c r="D989" s="1">
        <v>6.0</v>
      </c>
      <c r="E989" s="8" t="str">
        <f t="shared" si="1"/>
        <v>Playoff Team</v>
      </c>
      <c r="F989" s="8">
        <v>14.0</v>
      </c>
      <c r="G989" s="8">
        <v>159.0</v>
      </c>
      <c r="H989" s="1" t="s">
        <v>1908</v>
      </c>
      <c r="I989" s="1" t="str">
        <f t="shared" si="2"/>
        <v>Nick</v>
      </c>
      <c r="J989" s="1" t="str">
        <f t="shared" si="3"/>
        <v>Novak</v>
      </c>
      <c r="K989" s="1" t="str">
        <f t="shared" si="4"/>
        <v>#N/A</v>
      </c>
      <c r="L989" s="1" t="str">
        <f>IFERROR(VLOOKUP($K989,Players!$D:$E,2,FALSE),VLOOKUP($H989,Players!A:E,5,FALSE))</f>
        <v>K</v>
      </c>
    </row>
    <row r="990" ht="15.75" customHeight="1">
      <c r="A990" s="1">
        <v>2016.0</v>
      </c>
      <c r="B990" s="1" t="s">
        <v>30</v>
      </c>
      <c r="C990" s="1" t="s">
        <v>31</v>
      </c>
      <c r="D990" s="1">
        <v>6.0</v>
      </c>
      <c r="E990" s="8" t="str">
        <f t="shared" si="1"/>
        <v>Playoff Team</v>
      </c>
      <c r="F990" s="8">
        <v>15.0</v>
      </c>
      <c r="G990" s="8">
        <v>178.0</v>
      </c>
      <c r="H990" s="1" t="s">
        <v>1910</v>
      </c>
      <c r="I990" s="1" t="str">
        <f t="shared" si="2"/>
        <v>Jordan</v>
      </c>
      <c r="J990" s="1" t="str">
        <f t="shared" si="3"/>
        <v>Cameron</v>
      </c>
      <c r="K990" s="1" t="str">
        <f t="shared" si="4"/>
        <v>#N/A</v>
      </c>
      <c r="L990" s="1" t="str">
        <f>IFERROR(VLOOKUP($K990,Players!$D:$E,2,FALSE),VLOOKUP($H990,Players!A:E,5,FALSE))</f>
        <v>#N/A</v>
      </c>
    </row>
    <row r="991" ht="15.75" customHeight="1">
      <c r="A991" s="1">
        <v>2016.0</v>
      </c>
      <c r="B991" s="1" t="s">
        <v>44</v>
      </c>
      <c r="C991" s="1" t="s">
        <v>23</v>
      </c>
      <c r="D991" s="1">
        <v>3.0</v>
      </c>
      <c r="E991" s="8" t="str">
        <f t="shared" si="1"/>
        <v>Playoff Team</v>
      </c>
      <c r="F991" s="8">
        <v>1.0</v>
      </c>
      <c r="G991" s="8">
        <v>12.0</v>
      </c>
      <c r="H991" s="1" t="s">
        <v>1183</v>
      </c>
      <c r="I991" s="1" t="str">
        <f t="shared" si="2"/>
        <v>Dez</v>
      </c>
      <c r="J991" s="1" t="str">
        <f t="shared" si="3"/>
        <v>Bryant</v>
      </c>
      <c r="K991" s="1" t="str">
        <f t="shared" si="4"/>
        <v>#N/A</v>
      </c>
      <c r="L991" s="1" t="str">
        <f>IFERROR(VLOOKUP($K991,Players!$D:$E,2,FALSE),VLOOKUP($H991,Players!A:E,5,FALSE))</f>
        <v>WR</v>
      </c>
    </row>
    <row r="992" ht="15.75" customHeight="1">
      <c r="A992" s="1">
        <v>2016.0</v>
      </c>
      <c r="B992" s="1" t="s">
        <v>44</v>
      </c>
      <c r="C992" s="1" t="s">
        <v>23</v>
      </c>
      <c r="D992" s="1">
        <v>3.0</v>
      </c>
      <c r="E992" s="8" t="str">
        <f t="shared" si="1"/>
        <v>Playoff Team</v>
      </c>
      <c r="F992" s="8">
        <v>2.0</v>
      </c>
      <c r="G992" s="8">
        <v>13.0</v>
      </c>
      <c r="H992" s="1" t="s">
        <v>788</v>
      </c>
      <c r="I992" s="1" t="str">
        <f t="shared" si="2"/>
        <v>Le'Veon</v>
      </c>
      <c r="J992" s="1" t="str">
        <f t="shared" si="3"/>
        <v>Bell</v>
      </c>
      <c r="K992" s="1" t="str">
        <f t="shared" si="4"/>
        <v>#N/A</v>
      </c>
      <c r="L992" s="1" t="str">
        <f>IFERROR(VLOOKUP($K992,Players!$D:$E,2,FALSE),VLOOKUP($H992,Players!A:E,5,FALSE))</f>
        <v>RB</v>
      </c>
    </row>
    <row r="993" ht="15.75" customHeight="1">
      <c r="A993" s="1">
        <v>2016.0</v>
      </c>
      <c r="B993" s="1" t="s">
        <v>44</v>
      </c>
      <c r="C993" s="1" t="s">
        <v>23</v>
      </c>
      <c r="D993" s="1">
        <v>3.0</v>
      </c>
      <c r="E993" s="8" t="str">
        <f t="shared" si="1"/>
        <v>Playoff Team</v>
      </c>
      <c r="F993" s="8">
        <v>3.0</v>
      </c>
      <c r="G993" s="8">
        <v>36.0</v>
      </c>
      <c r="H993" s="1" t="s">
        <v>972</v>
      </c>
      <c r="I993" s="1" t="str">
        <f t="shared" si="2"/>
        <v>Donte</v>
      </c>
      <c r="J993" s="1" t="str">
        <f t="shared" si="3"/>
        <v>Moncrief</v>
      </c>
      <c r="K993" s="1" t="str">
        <f t="shared" si="4"/>
        <v>#N/A</v>
      </c>
      <c r="L993" s="1" t="str">
        <f>IFERROR(VLOOKUP($K993,Players!$D:$E,2,FALSE),VLOOKUP($H993,Players!A:E,5,FALSE))</f>
        <v>WR</v>
      </c>
    </row>
    <row r="994" ht="15.75" customHeight="1">
      <c r="A994" s="1">
        <v>2016.0</v>
      </c>
      <c r="B994" s="1" t="s">
        <v>44</v>
      </c>
      <c r="C994" s="1" t="s">
        <v>23</v>
      </c>
      <c r="D994" s="1">
        <v>3.0</v>
      </c>
      <c r="E994" s="8" t="str">
        <f t="shared" si="1"/>
        <v>Playoff Team</v>
      </c>
      <c r="F994" s="8">
        <v>4.0</v>
      </c>
      <c r="G994" s="8">
        <v>37.0</v>
      </c>
      <c r="H994" s="1" t="s">
        <v>1597</v>
      </c>
      <c r="I994" s="1" t="str">
        <f t="shared" si="2"/>
        <v>Matt</v>
      </c>
      <c r="J994" s="1" t="str">
        <f t="shared" si="3"/>
        <v>Forte</v>
      </c>
      <c r="K994" s="1" t="str">
        <f t="shared" si="4"/>
        <v>#N/A</v>
      </c>
      <c r="L994" s="1" t="str">
        <f>IFERROR(VLOOKUP($K994,Players!$D:$E,2,FALSE),VLOOKUP($H994,Players!A:E,5,FALSE))</f>
        <v>RB</v>
      </c>
    </row>
    <row r="995" ht="15.75" customHeight="1">
      <c r="A995" s="1">
        <v>2016.0</v>
      </c>
      <c r="B995" s="1" t="s">
        <v>44</v>
      </c>
      <c r="C995" s="1" t="s">
        <v>23</v>
      </c>
      <c r="D995" s="1">
        <v>3.0</v>
      </c>
      <c r="E995" s="8" t="str">
        <f t="shared" si="1"/>
        <v>Playoff Team</v>
      </c>
      <c r="F995" s="8">
        <v>5.0</v>
      </c>
      <c r="G995" s="8">
        <v>60.0</v>
      </c>
      <c r="H995" s="1" t="s">
        <v>1919</v>
      </c>
      <c r="I995" s="1" t="str">
        <f t="shared" si="2"/>
        <v>Matt</v>
      </c>
      <c r="J995" s="1" t="str">
        <f t="shared" si="3"/>
        <v>Jones</v>
      </c>
      <c r="K995" s="1" t="str">
        <f t="shared" si="4"/>
        <v>#N/A</v>
      </c>
      <c r="L995" s="1" t="str">
        <f>IFERROR(VLOOKUP($K995,Players!$D:$E,2,FALSE),VLOOKUP($H995,Players!A:E,5,FALSE))</f>
        <v>RB</v>
      </c>
    </row>
    <row r="996" ht="15.75" customHeight="1">
      <c r="A996" s="1">
        <v>2016.0</v>
      </c>
      <c r="B996" s="1" t="s">
        <v>44</v>
      </c>
      <c r="C996" s="1" t="s">
        <v>23</v>
      </c>
      <c r="D996" s="1">
        <v>3.0</v>
      </c>
      <c r="E996" s="8" t="str">
        <f t="shared" si="1"/>
        <v>Playoff Team</v>
      </c>
      <c r="F996" s="8">
        <v>6.0</v>
      </c>
      <c r="G996" s="8">
        <v>61.0</v>
      </c>
      <c r="H996" s="1" t="s">
        <v>1665</v>
      </c>
      <c r="I996" s="1" t="str">
        <f t="shared" si="2"/>
        <v>Jordan</v>
      </c>
      <c r="J996" s="1" t="str">
        <f t="shared" si="3"/>
        <v>Matthews</v>
      </c>
      <c r="K996" s="1" t="str">
        <f t="shared" si="4"/>
        <v>#N/A</v>
      </c>
      <c r="L996" s="1" t="str">
        <f>IFERROR(VLOOKUP($K996,Players!$D:$E,2,FALSE),VLOOKUP($H996,Players!A:E,5,FALSE))</f>
        <v>TE</v>
      </c>
    </row>
    <row r="997" ht="15.75" customHeight="1">
      <c r="A997" s="1">
        <v>2016.0</v>
      </c>
      <c r="B997" s="1" t="s">
        <v>44</v>
      </c>
      <c r="C997" s="1" t="s">
        <v>23</v>
      </c>
      <c r="D997" s="1">
        <v>3.0</v>
      </c>
      <c r="E997" s="8" t="str">
        <f t="shared" si="1"/>
        <v>Playoff Team</v>
      </c>
      <c r="F997" s="8">
        <v>7.0</v>
      </c>
      <c r="G997" s="8">
        <v>84.0</v>
      </c>
      <c r="H997" s="1" t="s">
        <v>1078</v>
      </c>
      <c r="I997" s="1" t="str">
        <f t="shared" si="2"/>
        <v>DeAngelo</v>
      </c>
      <c r="J997" s="1" t="str">
        <f t="shared" si="3"/>
        <v>Williams</v>
      </c>
      <c r="K997" s="1" t="str">
        <f t="shared" si="4"/>
        <v>#N/A</v>
      </c>
      <c r="L997" s="1" t="str">
        <f>IFERROR(VLOOKUP($K997,Players!$D:$E,2,FALSE),VLOOKUP($H997,Players!A:E,5,FALSE))</f>
        <v>RB</v>
      </c>
    </row>
    <row r="998" ht="15.75" customHeight="1">
      <c r="A998" s="1">
        <v>2016.0</v>
      </c>
      <c r="B998" s="1" t="s">
        <v>44</v>
      </c>
      <c r="C998" s="1" t="s">
        <v>23</v>
      </c>
      <c r="D998" s="1">
        <v>3.0</v>
      </c>
      <c r="E998" s="8" t="str">
        <f t="shared" si="1"/>
        <v>Playoff Team</v>
      </c>
      <c r="F998" s="8">
        <v>8.0</v>
      </c>
      <c r="G998" s="8">
        <v>85.0</v>
      </c>
      <c r="H998" s="1" t="s">
        <v>862</v>
      </c>
      <c r="I998" s="1" t="str">
        <f t="shared" si="2"/>
        <v>Philip</v>
      </c>
      <c r="J998" s="1" t="str">
        <f t="shared" si="3"/>
        <v>Rivers</v>
      </c>
      <c r="K998" s="1" t="str">
        <f t="shared" si="4"/>
        <v>#N/A</v>
      </c>
      <c r="L998" s="1" t="str">
        <f>IFERROR(VLOOKUP($K998,Players!$D:$E,2,FALSE),VLOOKUP($H998,Players!A:E,5,FALSE))</f>
        <v>QB</v>
      </c>
    </row>
    <row r="999" ht="15.75" customHeight="1">
      <c r="A999" s="1">
        <v>2016.0</v>
      </c>
      <c r="B999" s="1" t="s">
        <v>44</v>
      </c>
      <c r="C999" s="1" t="s">
        <v>23</v>
      </c>
      <c r="D999" s="1">
        <v>3.0</v>
      </c>
      <c r="E999" s="8" t="str">
        <f t="shared" si="1"/>
        <v>Playoff Team</v>
      </c>
      <c r="F999" s="8">
        <v>9.0</v>
      </c>
      <c r="G999" s="8">
        <v>108.0</v>
      </c>
      <c r="H999" s="1" t="s">
        <v>1566</v>
      </c>
      <c r="I999" s="1" t="str">
        <f t="shared" si="2"/>
        <v>Kevin</v>
      </c>
      <c r="J999" s="1" t="str">
        <f t="shared" si="3"/>
        <v>White</v>
      </c>
      <c r="K999" s="1" t="str">
        <f t="shared" si="4"/>
        <v>#N/A</v>
      </c>
      <c r="L999" s="1" t="str">
        <f>IFERROR(VLOOKUP($K999,Players!$D:$E,2,FALSE),VLOOKUP($H999,Players!A:E,5,FALSE))</f>
        <v>WR</v>
      </c>
    </row>
    <row r="1000" ht="15.75" customHeight="1">
      <c r="A1000" s="1">
        <v>2016.0</v>
      </c>
      <c r="B1000" s="1" t="s">
        <v>44</v>
      </c>
      <c r="C1000" s="1" t="s">
        <v>23</v>
      </c>
      <c r="D1000" s="1">
        <v>3.0</v>
      </c>
      <c r="E1000" s="8" t="str">
        <f t="shared" si="1"/>
        <v>Playoff Team</v>
      </c>
      <c r="F1000" s="8">
        <v>10.0</v>
      </c>
      <c r="G1000" s="8">
        <v>109.0</v>
      </c>
      <c r="H1000" s="1" t="s">
        <v>1263</v>
      </c>
      <c r="I1000" s="1" t="str">
        <f t="shared" si="2"/>
        <v>Dwayne</v>
      </c>
      <c r="J1000" s="1" t="str">
        <f t="shared" si="3"/>
        <v>Allen</v>
      </c>
      <c r="K1000" s="1" t="str">
        <f t="shared" si="4"/>
        <v>#N/A</v>
      </c>
      <c r="L1000" s="1" t="str">
        <f>IFERROR(VLOOKUP($K1000,Players!$D:$E,2,FALSE),VLOOKUP($H1000,Players!A:E,5,FALSE))</f>
        <v>TE</v>
      </c>
    </row>
    <row r="1001" ht="15.75" customHeight="1">
      <c r="A1001" s="1">
        <v>2016.0</v>
      </c>
      <c r="B1001" s="1" t="s">
        <v>44</v>
      </c>
      <c r="C1001" s="1" t="s">
        <v>23</v>
      </c>
      <c r="D1001" s="1">
        <v>3.0</v>
      </c>
      <c r="E1001" s="8" t="str">
        <f t="shared" si="1"/>
        <v>Playoff Team</v>
      </c>
      <c r="F1001" s="8">
        <v>11.0</v>
      </c>
      <c r="G1001" s="8">
        <v>132.0</v>
      </c>
      <c r="H1001" s="1" t="s">
        <v>1930</v>
      </c>
      <c r="I1001" s="1" t="str">
        <f t="shared" si="2"/>
        <v>Tavon</v>
      </c>
      <c r="J1001" s="1" t="str">
        <f t="shared" si="3"/>
        <v>Austin</v>
      </c>
      <c r="K1001" s="1" t="str">
        <f t="shared" si="4"/>
        <v>#N/A</v>
      </c>
      <c r="L1001" s="1" t="str">
        <f>IFERROR(VLOOKUP($K1001,Players!$D:$E,2,FALSE),VLOOKUP($H1001,Players!A:E,5,FALSE))</f>
        <v>RB</v>
      </c>
    </row>
    <row r="1002" ht="15.75" customHeight="1">
      <c r="A1002" s="1">
        <v>2016.0</v>
      </c>
      <c r="B1002" s="1" t="s">
        <v>44</v>
      </c>
      <c r="C1002" s="1" t="s">
        <v>23</v>
      </c>
      <c r="D1002" s="1">
        <v>3.0</v>
      </c>
      <c r="E1002" s="8" t="str">
        <f t="shared" si="1"/>
        <v>Playoff Team</v>
      </c>
      <c r="F1002" s="8">
        <v>12.0</v>
      </c>
      <c r="G1002" s="8">
        <v>133.0</v>
      </c>
      <c r="H1002" s="1" t="s">
        <v>1082</v>
      </c>
      <c r="I1002" s="1" t="str">
        <f t="shared" si="2"/>
        <v>Derek</v>
      </c>
      <c r="J1002" s="1" t="str">
        <f t="shared" si="3"/>
        <v>Carr</v>
      </c>
      <c r="K1002" s="1" t="str">
        <f t="shared" si="4"/>
        <v>#N/A</v>
      </c>
      <c r="L1002" s="1" t="str">
        <f>IFERROR(VLOOKUP($K1002,Players!$D:$E,2,FALSE),VLOOKUP($H1002,Players!A:E,5,FALSE))</f>
        <v>QB</v>
      </c>
    </row>
    <row r="1003" ht="15.75" customHeight="1">
      <c r="A1003" s="1">
        <v>2016.0</v>
      </c>
      <c r="B1003" s="1" t="s">
        <v>44</v>
      </c>
      <c r="C1003" s="1" t="s">
        <v>23</v>
      </c>
      <c r="D1003" s="1">
        <v>3.0</v>
      </c>
      <c r="E1003" s="8" t="str">
        <f t="shared" si="1"/>
        <v>Playoff Team</v>
      </c>
      <c r="F1003" s="8">
        <v>13.0</v>
      </c>
      <c r="G1003" s="8">
        <v>156.0</v>
      </c>
      <c r="H1003" s="1" t="s">
        <v>1935</v>
      </c>
      <c r="I1003" s="1" t="str">
        <f t="shared" si="2"/>
        <v>Ladarius</v>
      </c>
      <c r="J1003" s="1" t="str">
        <f t="shared" si="3"/>
        <v>Green</v>
      </c>
      <c r="K1003" s="1" t="str">
        <f t="shared" si="4"/>
        <v>#N/A</v>
      </c>
      <c r="L1003" s="1" t="str">
        <f>IFERROR(VLOOKUP($K1003,Players!$D:$E,2,FALSE),VLOOKUP($H1003,Players!A:E,5,FALSE))</f>
        <v>TE</v>
      </c>
    </row>
    <row r="1004" ht="15.75" customHeight="1">
      <c r="A1004" s="1">
        <v>2016.0</v>
      </c>
      <c r="B1004" s="1" t="s">
        <v>44</v>
      </c>
      <c r="C1004" s="1" t="s">
        <v>23</v>
      </c>
      <c r="D1004" s="1">
        <v>3.0</v>
      </c>
      <c r="E1004" s="8" t="str">
        <f t="shared" si="1"/>
        <v>Playoff Team</v>
      </c>
      <c r="F1004" s="8">
        <v>14.0</v>
      </c>
      <c r="G1004" s="8">
        <v>157.0</v>
      </c>
      <c r="H1004" s="1" t="s">
        <v>668</v>
      </c>
      <c r="I1004" s="1" t="str">
        <f t="shared" si="2"/>
        <v>Cairo</v>
      </c>
      <c r="J1004" s="1" t="str">
        <f t="shared" si="3"/>
        <v>Santos</v>
      </c>
      <c r="K1004" s="1" t="str">
        <f t="shared" si="4"/>
        <v>#N/A</v>
      </c>
      <c r="L1004" s="1" t="str">
        <f>IFERROR(VLOOKUP($K1004,Players!$D:$E,2,FALSE),VLOOKUP($H1004,Players!A:E,5,FALSE))</f>
        <v>K</v>
      </c>
    </row>
    <row r="1005" ht="15.75" customHeight="1">
      <c r="A1005" s="1">
        <v>2016.0</v>
      </c>
      <c r="B1005" s="1" t="s">
        <v>44</v>
      </c>
      <c r="C1005" s="1" t="s">
        <v>23</v>
      </c>
      <c r="D1005" s="1">
        <v>3.0</v>
      </c>
      <c r="E1005" s="8" t="str">
        <f t="shared" si="1"/>
        <v>Playoff Team</v>
      </c>
      <c r="F1005" s="8">
        <v>15.0</v>
      </c>
      <c r="G1005" s="8">
        <v>180.0</v>
      </c>
      <c r="H1005" s="1" t="s">
        <v>407</v>
      </c>
      <c r="I1005" s="1" t="str">
        <f t="shared" si="2"/>
        <v>#VALUE!</v>
      </c>
      <c r="J1005" s="1" t="str">
        <f t="shared" si="3"/>
        <v>#VALUE!</v>
      </c>
      <c r="K1005" s="1" t="str">
        <f t="shared" si="4"/>
        <v>#N/A</v>
      </c>
      <c r="L1005" s="1" t="str">
        <f>IFERROR(VLOOKUP($K1005,Players!$D:$E,2,FALSE),VLOOKUP($H1005,Players!A:E,5,FALSE))</f>
        <v>DEF</v>
      </c>
    </row>
    <row r="1006" ht="15.75" customHeight="1">
      <c r="A1006" s="1">
        <v>2016.0</v>
      </c>
      <c r="B1006" s="1" t="s">
        <v>52</v>
      </c>
      <c r="C1006" s="1" t="s">
        <v>8</v>
      </c>
      <c r="D1006" s="1">
        <v>11.0</v>
      </c>
      <c r="E1006" s="8" t="str">
        <f t="shared" si="1"/>
        <v>Non-Playoff Team</v>
      </c>
      <c r="F1006" s="8">
        <v>1.0</v>
      </c>
      <c r="G1006" s="8">
        <v>6.0</v>
      </c>
      <c r="H1006" s="1" t="s">
        <v>760</v>
      </c>
      <c r="I1006" s="1" t="str">
        <f t="shared" si="2"/>
        <v>Todd</v>
      </c>
      <c r="J1006" s="1" t="str">
        <f t="shared" si="3"/>
        <v>Gurley II</v>
      </c>
      <c r="K1006" s="1" t="str">
        <f t="shared" si="4"/>
        <v>#N/A</v>
      </c>
      <c r="L1006" s="1" t="str">
        <f>IFERROR(VLOOKUP($K1006,Players!$D:$E,2,FALSE),VLOOKUP($H1006,Players!A:E,5,FALSE))</f>
        <v>#N/A</v>
      </c>
    </row>
    <row r="1007" ht="15.75" customHeight="1">
      <c r="A1007" s="1">
        <v>2016.0</v>
      </c>
      <c r="B1007" s="1" t="s">
        <v>52</v>
      </c>
      <c r="C1007" s="1" t="s">
        <v>8</v>
      </c>
      <c r="D1007" s="1">
        <v>11.0</v>
      </c>
      <c r="E1007" s="8" t="str">
        <f t="shared" si="1"/>
        <v>Non-Playoff Team</v>
      </c>
      <c r="F1007" s="8">
        <v>2.0</v>
      </c>
      <c r="G1007" s="8">
        <v>19.0</v>
      </c>
      <c r="H1007" s="1" t="s">
        <v>1504</v>
      </c>
      <c r="I1007" s="1" t="str">
        <f t="shared" si="2"/>
        <v>Jordy</v>
      </c>
      <c r="J1007" s="1" t="str">
        <f t="shared" si="3"/>
        <v>Nelson</v>
      </c>
      <c r="K1007" s="1" t="str">
        <f t="shared" si="4"/>
        <v>#N/A</v>
      </c>
      <c r="L1007" s="1" t="str">
        <f>IFERROR(VLOOKUP($K1007,Players!$D:$E,2,FALSE),VLOOKUP($H1007,Players!A:E,5,FALSE))</f>
        <v>WR</v>
      </c>
    </row>
    <row r="1008" ht="15.75" customHeight="1">
      <c r="A1008" s="1">
        <v>2016.0</v>
      </c>
      <c r="B1008" s="1" t="s">
        <v>52</v>
      </c>
      <c r="C1008" s="1" t="s">
        <v>8</v>
      </c>
      <c r="D1008" s="1">
        <v>11.0</v>
      </c>
      <c r="E1008" s="8" t="str">
        <f t="shared" si="1"/>
        <v>Non-Playoff Team</v>
      </c>
      <c r="F1008" s="8">
        <v>3.0</v>
      </c>
      <c r="G1008" s="8">
        <v>30.0</v>
      </c>
      <c r="H1008" s="1" t="s">
        <v>260</v>
      </c>
      <c r="I1008" s="1" t="str">
        <f t="shared" si="2"/>
        <v>Alshon</v>
      </c>
      <c r="J1008" s="1" t="str">
        <f t="shared" si="3"/>
        <v>Jeffery</v>
      </c>
      <c r="K1008" s="1" t="str">
        <f t="shared" si="4"/>
        <v>#N/A</v>
      </c>
      <c r="L1008" s="1" t="str">
        <f>IFERROR(VLOOKUP($K1008,Players!$D:$E,2,FALSE),VLOOKUP($H1008,Players!A:E,5,FALSE))</f>
        <v>WR</v>
      </c>
    </row>
    <row r="1009" ht="15.75" customHeight="1">
      <c r="A1009" s="1">
        <v>2016.0</v>
      </c>
      <c r="B1009" s="1" t="s">
        <v>52</v>
      </c>
      <c r="C1009" s="1" t="s">
        <v>8</v>
      </c>
      <c r="D1009" s="1">
        <v>11.0</v>
      </c>
      <c r="E1009" s="8" t="str">
        <f t="shared" si="1"/>
        <v>Non-Playoff Team</v>
      </c>
      <c r="F1009" s="8">
        <v>4.0</v>
      </c>
      <c r="G1009" s="8">
        <v>43.0</v>
      </c>
      <c r="H1009" s="1" t="s">
        <v>618</v>
      </c>
      <c r="I1009" s="1" t="str">
        <f t="shared" si="2"/>
        <v>Julian</v>
      </c>
      <c r="J1009" s="1" t="str">
        <f t="shared" si="3"/>
        <v>Edelman</v>
      </c>
      <c r="K1009" s="1" t="str">
        <f t="shared" si="4"/>
        <v>#N/A</v>
      </c>
      <c r="L1009" s="1" t="str">
        <f>IFERROR(VLOOKUP($K1009,Players!$D:$E,2,FALSE),VLOOKUP($H1009,Players!A:E,5,FALSE))</f>
        <v>WR</v>
      </c>
    </row>
    <row r="1010" ht="15.75" customHeight="1">
      <c r="A1010" s="1">
        <v>2016.0</v>
      </c>
      <c r="B1010" s="1" t="s">
        <v>52</v>
      </c>
      <c r="C1010" s="1" t="s">
        <v>8</v>
      </c>
      <c r="D1010" s="1">
        <v>11.0</v>
      </c>
      <c r="E1010" s="8" t="str">
        <f t="shared" si="1"/>
        <v>Non-Playoff Team</v>
      </c>
      <c r="F1010" s="8">
        <v>5.0</v>
      </c>
      <c r="G1010" s="8">
        <v>54.0</v>
      </c>
      <c r="H1010" s="1" t="s">
        <v>1949</v>
      </c>
      <c r="I1010" s="1" t="str">
        <f t="shared" si="2"/>
        <v>Ryan</v>
      </c>
      <c r="J1010" s="1" t="str">
        <f t="shared" si="3"/>
        <v>Mathews</v>
      </c>
      <c r="K1010" s="1" t="str">
        <f t="shared" si="4"/>
        <v>#N/A</v>
      </c>
      <c r="L1010" s="1" t="str">
        <f>IFERROR(VLOOKUP($K1010,Players!$D:$E,2,FALSE),VLOOKUP($H1010,Players!A:E,5,FALSE))</f>
        <v>RB</v>
      </c>
    </row>
    <row r="1011" ht="15.75" customHeight="1">
      <c r="A1011" s="1">
        <v>2016.0</v>
      </c>
      <c r="B1011" s="1" t="s">
        <v>52</v>
      </c>
      <c r="C1011" s="1" t="s">
        <v>8</v>
      </c>
      <c r="D1011" s="1">
        <v>11.0</v>
      </c>
      <c r="E1011" s="8" t="str">
        <f t="shared" si="1"/>
        <v>Non-Playoff Team</v>
      </c>
      <c r="F1011" s="8">
        <v>6.0</v>
      </c>
      <c r="G1011" s="8">
        <v>67.0</v>
      </c>
      <c r="H1011" s="1" t="s">
        <v>365</v>
      </c>
      <c r="I1011" s="1" t="str">
        <f t="shared" si="2"/>
        <v>Arian</v>
      </c>
      <c r="J1011" s="1" t="str">
        <f t="shared" si="3"/>
        <v>Foster</v>
      </c>
      <c r="K1011" s="1" t="str">
        <f t="shared" si="4"/>
        <v>#N/A</v>
      </c>
      <c r="L1011" s="1" t="str">
        <f>IFERROR(VLOOKUP($K1011,Players!$D:$E,2,FALSE),VLOOKUP($H1011,Players!A:E,5,FALSE))</f>
        <v>RB</v>
      </c>
    </row>
    <row r="1012" ht="15.75" customHeight="1">
      <c r="A1012" s="1">
        <v>2016.0</v>
      </c>
      <c r="B1012" s="1" t="s">
        <v>52</v>
      </c>
      <c r="C1012" s="1" t="s">
        <v>8</v>
      </c>
      <c r="D1012" s="1">
        <v>11.0</v>
      </c>
      <c r="E1012" s="8" t="str">
        <f t="shared" si="1"/>
        <v>Non-Playoff Team</v>
      </c>
      <c r="F1012" s="8">
        <v>7.0</v>
      </c>
      <c r="G1012" s="8">
        <v>78.0</v>
      </c>
      <c r="H1012" s="1" t="s">
        <v>346</v>
      </c>
      <c r="I1012" s="1" t="str">
        <f t="shared" si="2"/>
        <v>Antonio</v>
      </c>
      <c r="J1012" s="1" t="str">
        <f t="shared" si="3"/>
        <v>Gates</v>
      </c>
      <c r="K1012" s="1" t="str">
        <f t="shared" si="4"/>
        <v>#N/A</v>
      </c>
      <c r="L1012" s="1" t="str">
        <f>IFERROR(VLOOKUP($K1012,Players!$D:$E,2,FALSE),VLOOKUP($H1012,Players!A:E,5,FALSE))</f>
        <v>TE</v>
      </c>
    </row>
    <row r="1013" ht="15.75" customHeight="1">
      <c r="A1013" s="1">
        <v>2016.0</v>
      </c>
      <c r="B1013" s="1" t="s">
        <v>52</v>
      </c>
      <c r="C1013" s="1" t="s">
        <v>8</v>
      </c>
      <c r="D1013" s="1">
        <v>11.0</v>
      </c>
      <c r="E1013" s="8" t="str">
        <f t="shared" si="1"/>
        <v>Non-Playoff Team</v>
      </c>
      <c r="F1013" s="8">
        <v>8.0</v>
      </c>
      <c r="G1013" s="8">
        <v>91.0</v>
      </c>
      <c r="H1013" s="1" t="s">
        <v>478</v>
      </c>
      <c r="I1013" s="1" t="str">
        <f t="shared" si="2"/>
        <v>DeVante</v>
      </c>
      <c r="J1013" s="1" t="str">
        <f t="shared" si="3"/>
        <v>Parker</v>
      </c>
      <c r="K1013" s="1" t="str">
        <f t="shared" si="4"/>
        <v>#N/A</v>
      </c>
      <c r="L1013" s="1" t="str">
        <f>IFERROR(VLOOKUP($K1013,Players!$D:$E,2,FALSE),VLOOKUP($H1013,Players!A:E,5,FALSE))</f>
        <v>WR</v>
      </c>
    </row>
    <row r="1014" ht="15.75" customHeight="1">
      <c r="A1014" s="1">
        <v>2016.0</v>
      </c>
      <c r="B1014" s="1" t="s">
        <v>52</v>
      </c>
      <c r="C1014" s="1" t="s">
        <v>8</v>
      </c>
      <c r="D1014" s="1">
        <v>11.0</v>
      </c>
      <c r="E1014" s="8" t="str">
        <f t="shared" si="1"/>
        <v>Non-Playoff Team</v>
      </c>
      <c r="F1014" s="8">
        <v>9.0</v>
      </c>
      <c r="G1014" s="8">
        <v>102.0</v>
      </c>
      <c r="H1014" s="1" t="s">
        <v>1695</v>
      </c>
      <c r="I1014" s="1" t="str">
        <f t="shared" si="2"/>
        <v>Tyrod</v>
      </c>
      <c r="J1014" s="1" t="str">
        <f t="shared" si="3"/>
        <v>Taylor</v>
      </c>
      <c r="K1014" s="1" t="str">
        <f t="shared" si="4"/>
        <v>#N/A</v>
      </c>
      <c r="L1014" s="1" t="str">
        <f>IFERROR(VLOOKUP($K1014,Players!$D:$E,2,FALSE),VLOOKUP($H1014,Players!A:E,5,FALSE))</f>
        <v>QB</v>
      </c>
    </row>
    <row r="1015" ht="15.75" customHeight="1">
      <c r="A1015" s="1">
        <v>2016.0</v>
      </c>
      <c r="B1015" s="1" t="s">
        <v>52</v>
      </c>
      <c r="C1015" s="1" t="s">
        <v>8</v>
      </c>
      <c r="D1015" s="1">
        <v>11.0</v>
      </c>
      <c r="E1015" s="8" t="str">
        <f t="shared" si="1"/>
        <v>Non-Playoff Team</v>
      </c>
      <c r="F1015" s="8">
        <v>10.0</v>
      </c>
      <c r="G1015" s="8">
        <v>115.0</v>
      </c>
      <c r="H1015" s="1" t="s">
        <v>1556</v>
      </c>
      <c r="I1015" s="1" t="str">
        <f t="shared" si="2"/>
        <v>Torrey</v>
      </c>
      <c r="J1015" s="1" t="str">
        <f t="shared" si="3"/>
        <v>Smith</v>
      </c>
      <c r="K1015" s="1" t="str">
        <f t="shared" si="4"/>
        <v>#N/A</v>
      </c>
      <c r="L1015" s="1" t="str">
        <f>IFERROR(VLOOKUP($K1015,Players!$D:$E,2,FALSE),VLOOKUP($H1015,Players!A:E,5,FALSE))</f>
        <v>WR</v>
      </c>
    </row>
    <row r="1016" ht="15.75" customHeight="1">
      <c r="A1016" s="1">
        <v>2016.0</v>
      </c>
      <c r="B1016" s="1" t="s">
        <v>52</v>
      </c>
      <c r="C1016" s="1" t="s">
        <v>8</v>
      </c>
      <c r="D1016" s="1">
        <v>11.0</v>
      </c>
      <c r="E1016" s="8" t="str">
        <f t="shared" si="1"/>
        <v>Non-Playoff Team</v>
      </c>
      <c r="F1016" s="8">
        <v>11.0</v>
      </c>
      <c r="G1016" s="8">
        <v>126.0</v>
      </c>
      <c r="H1016" s="1" t="s">
        <v>573</v>
      </c>
      <c r="I1016" s="1" t="str">
        <f t="shared" si="2"/>
        <v>#VALUE!</v>
      </c>
      <c r="J1016" s="1" t="str">
        <f t="shared" si="3"/>
        <v>#VALUE!</v>
      </c>
      <c r="K1016" s="1" t="str">
        <f t="shared" si="4"/>
        <v>#N/A</v>
      </c>
      <c r="L1016" s="1" t="str">
        <f>IFERROR(VLOOKUP($K1016,Players!$D:$E,2,FALSE),VLOOKUP($H1016,Players!A:E,5,FALSE))</f>
        <v>DEF</v>
      </c>
    </row>
    <row r="1017" ht="15.75" customHeight="1">
      <c r="A1017" s="1">
        <v>2016.0</v>
      </c>
      <c r="B1017" s="1" t="s">
        <v>52</v>
      </c>
      <c r="C1017" s="1" t="s">
        <v>8</v>
      </c>
      <c r="D1017" s="1">
        <v>11.0</v>
      </c>
      <c r="E1017" s="8" t="str">
        <f t="shared" si="1"/>
        <v>Non-Playoff Team</v>
      </c>
      <c r="F1017" s="8">
        <v>12.0</v>
      </c>
      <c r="G1017" s="8">
        <v>139.0</v>
      </c>
      <c r="H1017" s="1" t="s">
        <v>1647</v>
      </c>
      <c r="I1017" s="1" t="str">
        <f t="shared" si="2"/>
        <v>Jason</v>
      </c>
      <c r="J1017" s="1" t="str">
        <f t="shared" si="3"/>
        <v>Witten</v>
      </c>
      <c r="K1017" s="1" t="str">
        <f t="shared" si="4"/>
        <v>#N/A</v>
      </c>
      <c r="L1017" s="1" t="str">
        <f>IFERROR(VLOOKUP($K1017,Players!$D:$E,2,FALSE),VLOOKUP($H1017,Players!A:E,5,FALSE))</f>
        <v>TE</v>
      </c>
    </row>
    <row r="1018" ht="15.75" customHeight="1">
      <c r="A1018" s="1">
        <v>2016.0</v>
      </c>
      <c r="B1018" s="1" t="s">
        <v>52</v>
      </c>
      <c r="C1018" s="1" t="s">
        <v>8</v>
      </c>
      <c r="D1018" s="1">
        <v>11.0</v>
      </c>
      <c r="E1018" s="8" t="str">
        <f t="shared" si="1"/>
        <v>Non-Playoff Team</v>
      </c>
      <c r="F1018" s="8">
        <v>13.0</v>
      </c>
      <c r="G1018" s="8">
        <v>150.0</v>
      </c>
      <c r="H1018" s="1" t="s">
        <v>732</v>
      </c>
      <c r="I1018" s="1" t="str">
        <f t="shared" si="2"/>
        <v>Chandler</v>
      </c>
      <c r="J1018" s="1" t="str">
        <f t="shared" si="3"/>
        <v>Catanzaro</v>
      </c>
      <c r="K1018" s="1" t="str">
        <f t="shared" si="4"/>
        <v>#N/A</v>
      </c>
      <c r="L1018" s="1" t="str">
        <f>IFERROR(VLOOKUP($K1018,Players!$D:$E,2,FALSE),VLOOKUP($H1018,Players!A:E,5,FALSE))</f>
        <v>K</v>
      </c>
    </row>
    <row r="1019" ht="15.75" customHeight="1">
      <c r="A1019" s="1">
        <v>2016.0</v>
      </c>
      <c r="B1019" s="1" t="s">
        <v>52</v>
      </c>
      <c r="C1019" s="1" t="s">
        <v>8</v>
      </c>
      <c r="D1019" s="1">
        <v>11.0</v>
      </c>
      <c r="E1019" s="8" t="str">
        <f t="shared" si="1"/>
        <v>Non-Playoff Team</v>
      </c>
      <c r="F1019" s="8">
        <v>14.0</v>
      </c>
      <c r="G1019" s="8">
        <v>163.0</v>
      </c>
      <c r="H1019" s="1" t="s">
        <v>357</v>
      </c>
      <c r="I1019" s="1" t="str">
        <f t="shared" si="2"/>
        <v>Ryan</v>
      </c>
      <c r="J1019" s="1" t="str">
        <f t="shared" si="3"/>
        <v>Tannehill</v>
      </c>
      <c r="K1019" s="1" t="str">
        <f t="shared" si="4"/>
        <v>#N/A</v>
      </c>
      <c r="L1019" s="1" t="str">
        <f>IFERROR(VLOOKUP($K1019,Players!$D:$E,2,FALSE),VLOOKUP($H1019,Players!A:E,5,FALSE))</f>
        <v>QB</v>
      </c>
    </row>
    <row r="1020" ht="15.75" customHeight="1">
      <c r="A1020" s="1">
        <v>2016.0</v>
      </c>
      <c r="B1020" s="1" t="s">
        <v>52</v>
      </c>
      <c r="C1020" s="1" t="s">
        <v>8</v>
      </c>
      <c r="D1020" s="1">
        <v>11.0</v>
      </c>
      <c r="E1020" s="8" t="str">
        <f t="shared" si="1"/>
        <v>Non-Playoff Team</v>
      </c>
      <c r="F1020" s="8">
        <v>15.0</v>
      </c>
      <c r="G1020" s="8">
        <v>174.0</v>
      </c>
      <c r="H1020" s="1" t="s">
        <v>160</v>
      </c>
      <c r="I1020" s="1" t="str">
        <f t="shared" si="2"/>
        <v>Tevin</v>
      </c>
      <c r="J1020" s="1" t="str">
        <f t="shared" si="3"/>
        <v>Coleman</v>
      </c>
      <c r="K1020" s="1" t="str">
        <f t="shared" si="4"/>
        <v>#N/A</v>
      </c>
      <c r="L1020" s="1" t="str">
        <f>IFERROR(VLOOKUP($K1020,Players!$D:$E,2,FALSE),VLOOKUP($H1020,Players!A:E,5,FALSE))</f>
        <v>RB</v>
      </c>
    </row>
    <row r="1021" ht="15.75" customHeight="1">
      <c r="A1021" s="1">
        <v>2016.0</v>
      </c>
      <c r="B1021" s="1" t="s">
        <v>41</v>
      </c>
      <c r="C1021" s="1" t="s">
        <v>26</v>
      </c>
      <c r="D1021" s="1">
        <v>2.0</v>
      </c>
      <c r="E1021" s="8" t="str">
        <f t="shared" si="1"/>
        <v>Playoff Team</v>
      </c>
      <c r="F1021" s="8">
        <v>1.0</v>
      </c>
      <c r="G1021" s="8">
        <v>11.0</v>
      </c>
      <c r="H1021" s="1" t="s">
        <v>95</v>
      </c>
      <c r="I1021" s="1" t="str">
        <f t="shared" si="2"/>
        <v>Allen</v>
      </c>
      <c r="J1021" s="1" t="str">
        <f t="shared" si="3"/>
        <v>Robinson II</v>
      </c>
      <c r="K1021" s="1" t="str">
        <f t="shared" si="4"/>
        <v>#N/A</v>
      </c>
      <c r="L1021" s="1" t="str">
        <f>IFERROR(VLOOKUP($K1021,Players!$D:$E,2,FALSE),VLOOKUP($H1021,Players!A:E,5,FALSE))</f>
        <v>#N/A</v>
      </c>
    </row>
    <row r="1022" ht="15.75" customHeight="1">
      <c r="A1022" s="1">
        <v>2016.0</v>
      </c>
      <c r="B1022" s="1" t="s">
        <v>41</v>
      </c>
      <c r="C1022" s="1" t="s">
        <v>26</v>
      </c>
      <c r="D1022" s="1">
        <v>2.0</v>
      </c>
      <c r="E1022" s="8" t="str">
        <f t="shared" si="1"/>
        <v>Playoff Team</v>
      </c>
      <c r="F1022" s="8">
        <v>2.0</v>
      </c>
      <c r="G1022" s="8">
        <v>14.0</v>
      </c>
      <c r="H1022" s="1" t="s">
        <v>123</v>
      </c>
      <c r="I1022" s="1" t="str">
        <f t="shared" si="2"/>
        <v>Ezekiel</v>
      </c>
      <c r="J1022" s="1" t="str">
        <f t="shared" si="3"/>
        <v>Elliott</v>
      </c>
      <c r="K1022" s="1" t="str">
        <f t="shared" si="4"/>
        <v>#N/A</v>
      </c>
      <c r="L1022" s="1" t="str">
        <f>IFERROR(VLOOKUP($K1022,Players!$D:$E,2,FALSE),VLOOKUP($H1022,Players!A:E,5,FALSE))</f>
        <v>RB</v>
      </c>
    </row>
    <row r="1023" ht="15.75" customHeight="1">
      <c r="A1023" s="1">
        <v>2016.0</v>
      </c>
      <c r="B1023" s="1" t="s">
        <v>41</v>
      </c>
      <c r="C1023" s="1" t="s">
        <v>26</v>
      </c>
      <c r="D1023" s="1">
        <v>2.0</v>
      </c>
      <c r="E1023" s="8" t="str">
        <f t="shared" si="1"/>
        <v>Playoff Team</v>
      </c>
      <c r="F1023" s="8">
        <v>3.0</v>
      </c>
      <c r="G1023" s="8">
        <v>35.0</v>
      </c>
      <c r="H1023" s="1" t="s">
        <v>335</v>
      </c>
      <c r="I1023" s="1" t="str">
        <f t="shared" si="2"/>
        <v>Randall</v>
      </c>
      <c r="J1023" s="1" t="str">
        <f t="shared" si="3"/>
        <v>Cobb</v>
      </c>
      <c r="K1023" s="1" t="str">
        <f t="shared" si="4"/>
        <v>#N/A</v>
      </c>
      <c r="L1023" s="1" t="str">
        <f>IFERROR(VLOOKUP($K1023,Players!$D:$E,2,FALSE),VLOOKUP($H1023,Players!A:E,5,FALSE))</f>
        <v>WR</v>
      </c>
    </row>
    <row r="1024" ht="15.75" customHeight="1">
      <c r="A1024" s="1">
        <v>2016.0</v>
      </c>
      <c r="B1024" s="1" t="s">
        <v>41</v>
      </c>
      <c r="C1024" s="1" t="s">
        <v>26</v>
      </c>
      <c r="D1024" s="1">
        <v>2.0</v>
      </c>
      <c r="E1024" s="8" t="str">
        <f t="shared" si="1"/>
        <v>Playoff Team</v>
      </c>
      <c r="F1024" s="8">
        <v>4.0</v>
      </c>
      <c r="G1024" s="8">
        <v>38.0</v>
      </c>
      <c r="H1024" s="1" t="s">
        <v>1443</v>
      </c>
      <c r="I1024" s="1" t="str">
        <f t="shared" si="2"/>
        <v>Jordan</v>
      </c>
      <c r="J1024" s="1" t="str">
        <f t="shared" si="3"/>
        <v>Reed</v>
      </c>
      <c r="K1024" s="1" t="str">
        <f t="shared" si="4"/>
        <v>#N/A</v>
      </c>
      <c r="L1024" s="1" t="str">
        <f>IFERROR(VLOOKUP($K1024,Players!$D:$E,2,FALSE),VLOOKUP($H1024,Players!A:E,5,FALSE))</f>
        <v>TE</v>
      </c>
    </row>
    <row r="1025" ht="15.75" customHeight="1">
      <c r="A1025" s="1">
        <v>2016.0</v>
      </c>
      <c r="B1025" s="1" t="s">
        <v>41</v>
      </c>
      <c r="C1025" s="1" t="s">
        <v>26</v>
      </c>
      <c r="D1025" s="1">
        <v>2.0</v>
      </c>
      <c r="E1025" s="8" t="str">
        <f t="shared" si="1"/>
        <v>Playoff Team</v>
      </c>
      <c r="F1025" s="8">
        <v>5.0</v>
      </c>
      <c r="G1025" s="8">
        <v>59.0</v>
      </c>
      <c r="H1025" s="1" t="s">
        <v>983</v>
      </c>
      <c r="I1025" s="1" t="str">
        <f t="shared" si="2"/>
        <v>Danny</v>
      </c>
      <c r="J1025" s="1" t="str">
        <f t="shared" si="3"/>
        <v>Woodhead</v>
      </c>
      <c r="K1025" s="1" t="str">
        <f t="shared" si="4"/>
        <v>#N/A</v>
      </c>
      <c r="L1025" s="1" t="str">
        <f>IFERROR(VLOOKUP($K1025,Players!$D:$E,2,FALSE),VLOOKUP($H1025,Players!A:E,5,FALSE))</f>
        <v>RB</v>
      </c>
    </row>
    <row r="1026" ht="15.75" customHeight="1">
      <c r="A1026" s="1">
        <v>2016.0</v>
      </c>
      <c r="B1026" s="1" t="s">
        <v>41</v>
      </c>
      <c r="C1026" s="1" t="s">
        <v>26</v>
      </c>
      <c r="D1026" s="1">
        <v>2.0</v>
      </c>
      <c r="E1026" s="8" t="str">
        <f t="shared" si="1"/>
        <v>Playoff Team</v>
      </c>
      <c r="F1026" s="8">
        <v>6.0</v>
      </c>
      <c r="G1026" s="8">
        <v>62.0</v>
      </c>
      <c r="H1026" s="1" t="s">
        <v>1977</v>
      </c>
      <c r="I1026" s="1" t="str">
        <f t="shared" si="2"/>
        <v>Michael</v>
      </c>
      <c r="J1026" s="1" t="str">
        <f t="shared" si="3"/>
        <v>Floyd</v>
      </c>
      <c r="K1026" s="1" t="str">
        <f t="shared" si="4"/>
        <v>#N/A</v>
      </c>
      <c r="L1026" s="1" t="str">
        <f>IFERROR(VLOOKUP($K1026,Players!$D:$E,2,FALSE),VLOOKUP($H1026,Players!A:E,5,FALSE))</f>
        <v>WR</v>
      </c>
    </row>
    <row r="1027" ht="15.75" customHeight="1">
      <c r="A1027" s="1">
        <v>2016.0</v>
      </c>
      <c r="B1027" s="1" t="s">
        <v>41</v>
      </c>
      <c r="C1027" s="1" t="s">
        <v>26</v>
      </c>
      <c r="D1027" s="1">
        <v>2.0</v>
      </c>
      <c r="E1027" s="8" t="str">
        <f t="shared" si="1"/>
        <v>Playoff Team</v>
      </c>
      <c r="F1027" s="8">
        <v>7.0</v>
      </c>
      <c r="G1027" s="8">
        <v>83.0</v>
      </c>
      <c r="H1027" s="1" t="s">
        <v>1980</v>
      </c>
      <c r="I1027" s="1" t="str">
        <f t="shared" si="2"/>
        <v>Travis</v>
      </c>
      <c r="J1027" s="1" t="str">
        <f t="shared" si="3"/>
        <v>Benjamin</v>
      </c>
      <c r="K1027" s="1" t="str">
        <f t="shared" si="4"/>
        <v>#N/A</v>
      </c>
      <c r="L1027" s="1" t="str">
        <f>IFERROR(VLOOKUP($K1027,Players!$D:$E,2,FALSE),VLOOKUP($H1027,Players!A:E,5,FALSE))</f>
        <v>WR</v>
      </c>
    </row>
    <row r="1028" ht="15.75" customHeight="1">
      <c r="A1028" s="1">
        <v>2016.0</v>
      </c>
      <c r="B1028" s="1" t="s">
        <v>41</v>
      </c>
      <c r="C1028" s="1" t="s">
        <v>26</v>
      </c>
      <c r="D1028" s="1">
        <v>2.0</v>
      </c>
      <c r="E1028" s="8" t="str">
        <f t="shared" si="1"/>
        <v>Playoff Team</v>
      </c>
      <c r="F1028" s="8">
        <v>8.0</v>
      </c>
      <c r="G1028" s="8">
        <v>86.0</v>
      </c>
      <c r="H1028" s="1" t="s">
        <v>792</v>
      </c>
      <c r="I1028" s="1" t="str">
        <f t="shared" si="2"/>
        <v>Chris</v>
      </c>
      <c r="J1028" s="1" t="str">
        <f t="shared" si="3"/>
        <v>Ivory</v>
      </c>
      <c r="K1028" s="1" t="str">
        <f t="shared" si="4"/>
        <v>#N/A</v>
      </c>
      <c r="L1028" s="1" t="str">
        <f>IFERROR(VLOOKUP($K1028,Players!$D:$E,2,FALSE),VLOOKUP($H1028,Players!A:E,5,FALSE))</f>
        <v>RB</v>
      </c>
    </row>
    <row r="1029" ht="15.75" customHeight="1">
      <c r="A1029" s="1">
        <v>2016.0</v>
      </c>
      <c r="B1029" s="1" t="s">
        <v>41</v>
      </c>
      <c r="C1029" s="1" t="s">
        <v>26</v>
      </c>
      <c r="D1029" s="1">
        <v>2.0</v>
      </c>
      <c r="E1029" s="8" t="str">
        <f t="shared" si="1"/>
        <v>Playoff Team</v>
      </c>
      <c r="F1029" s="8">
        <v>9.0</v>
      </c>
      <c r="G1029" s="8">
        <v>107.0</v>
      </c>
      <c r="H1029" s="1" t="s">
        <v>483</v>
      </c>
      <c r="I1029" s="1" t="str">
        <f t="shared" si="2"/>
        <v>Blake</v>
      </c>
      <c r="J1029" s="1" t="str">
        <f t="shared" si="3"/>
        <v>Bortles</v>
      </c>
      <c r="K1029" s="1" t="str">
        <f t="shared" si="4"/>
        <v>#N/A</v>
      </c>
      <c r="L1029" s="1" t="str">
        <f>IFERROR(VLOOKUP($K1029,Players!$D:$E,2,FALSE),VLOOKUP($H1029,Players!A:E,5,FALSE))</f>
        <v>QB</v>
      </c>
    </row>
    <row r="1030" ht="15.75" customHeight="1">
      <c r="A1030" s="1">
        <v>2016.0</v>
      </c>
      <c r="B1030" s="1" t="s">
        <v>41</v>
      </c>
      <c r="C1030" s="1" t="s">
        <v>26</v>
      </c>
      <c r="D1030" s="1">
        <v>2.0</v>
      </c>
      <c r="E1030" s="8" t="str">
        <f t="shared" si="1"/>
        <v>Playoff Team</v>
      </c>
      <c r="F1030" s="8">
        <v>10.0</v>
      </c>
      <c r="G1030" s="8">
        <v>110.0</v>
      </c>
      <c r="H1030" s="1" t="s">
        <v>703</v>
      </c>
      <c r="I1030" s="1" t="str">
        <f t="shared" si="2"/>
        <v>#VALUE!</v>
      </c>
      <c r="J1030" s="1" t="str">
        <f t="shared" si="3"/>
        <v>#VALUE!</v>
      </c>
      <c r="K1030" s="1" t="str">
        <f t="shared" si="4"/>
        <v>#N/A</v>
      </c>
      <c r="L1030" s="1" t="str">
        <f>IFERROR(VLOOKUP($K1030,Players!$D:$E,2,FALSE),VLOOKUP($H1030,Players!A:E,5,FALSE))</f>
        <v>DEF</v>
      </c>
    </row>
    <row r="1031" ht="15.75" customHeight="1">
      <c r="A1031" s="1">
        <v>2016.0</v>
      </c>
      <c r="B1031" s="1" t="s">
        <v>41</v>
      </c>
      <c r="C1031" s="1" t="s">
        <v>26</v>
      </c>
      <c r="D1031" s="1">
        <v>2.0</v>
      </c>
      <c r="E1031" s="8" t="str">
        <f t="shared" si="1"/>
        <v>Playoff Team</v>
      </c>
      <c r="F1031" s="8">
        <v>11.0</v>
      </c>
      <c r="G1031" s="8">
        <v>131.0</v>
      </c>
      <c r="H1031" s="1" t="s">
        <v>1467</v>
      </c>
      <c r="I1031" s="1" t="str">
        <f t="shared" si="2"/>
        <v>Jimmy</v>
      </c>
      <c r="J1031" s="1" t="str">
        <f t="shared" si="3"/>
        <v>Graham</v>
      </c>
      <c r="K1031" s="1" t="str">
        <f t="shared" si="4"/>
        <v>#N/A</v>
      </c>
      <c r="L1031" s="1" t="str">
        <f>IFERROR(VLOOKUP($K1031,Players!$D:$E,2,FALSE),VLOOKUP($H1031,Players!A:E,5,FALSE))</f>
        <v>TE</v>
      </c>
    </row>
    <row r="1032" ht="15.75" customHeight="1">
      <c r="A1032" s="1">
        <v>2016.0</v>
      </c>
      <c r="B1032" s="1" t="s">
        <v>41</v>
      </c>
      <c r="C1032" s="1" t="s">
        <v>26</v>
      </c>
      <c r="D1032" s="1">
        <v>2.0</v>
      </c>
      <c r="E1032" s="8" t="str">
        <f t="shared" si="1"/>
        <v>Playoff Team</v>
      </c>
      <c r="F1032" s="8">
        <v>12.0</v>
      </c>
      <c r="G1032" s="8">
        <v>134.0</v>
      </c>
      <c r="H1032" s="1" t="s">
        <v>1993</v>
      </c>
      <c r="I1032" s="1" t="str">
        <f t="shared" si="2"/>
        <v>Robert</v>
      </c>
      <c r="J1032" s="1" t="str">
        <f t="shared" si="3"/>
        <v>Griffin III</v>
      </c>
      <c r="K1032" s="1" t="str">
        <f t="shared" si="4"/>
        <v>#N/A</v>
      </c>
      <c r="L1032" s="1" t="str">
        <f>IFERROR(VLOOKUP($K1032,Players!$D:$E,2,FALSE),VLOOKUP($H1032,Players!A:E,5,FALSE))</f>
        <v>QB</v>
      </c>
    </row>
    <row r="1033" ht="15.75" customHeight="1">
      <c r="A1033" s="1">
        <v>2016.0</v>
      </c>
      <c r="B1033" s="1" t="s">
        <v>41</v>
      </c>
      <c r="C1033" s="1" t="s">
        <v>26</v>
      </c>
      <c r="D1033" s="1">
        <v>2.0</v>
      </c>
      <c r="E1033" s="8" t="str">
        <f t="shared" si="1"/>
        <v>Playoff Team</v>
      </c>
      <c r="F1033" s="8">
        <v>13.0</v>
      </c>
      <c r="G1033" s="8">
        <v>155.0</v>
      </c>
      <c r="H1033" s="1" t="s">
        <v>1177</v>
      </c>
      <c r="I1033" s="1" t="str">
        <f t="shared" si="2"/>
        <v>Devontae</v>
      </c>
      <c r="J1033" s="1" t="str">
        <f t="shared" si="3"/>
        <v>Booker</v>
      </c>
      <c r="K1033" s="1" t="str">
        <f t="shared" si="4"/>
        <v>#N/A</v>
      </c>
      <c r="L1033" s="1" t="str">
        <f>IFERROR(VLOOKUP($K1033,Players!$D:$E,2,FALSE),VLOOKUP($H1033,Players!A:E,5,FALSE))</f>
        <v>RB</v>
      </c>
    </row>
    <row r="1034" ht="15.75" customHeight="1">
      <c r="A1034" s="1">
        <v>2016.0</v>
      </c>
      <c r="B1034" s="1" t="s">
        <v>41</v>
      </c>
      <c r="C1034" s="1" t="s">
        <v>26</v>
      </c>
      <c r="D1034" s="1">
        <v>2.0</v>
      </c>
      <c r="E1034" s="8" t="str">
        <f t="shared" si="1"/>
        <v>Playoff Team</v>
      </c>
      <c r="F1034" s="8">
        <v>14.0</v>
      </c>
      <c r="G1034" s="8">
        <v>158.0</v>
      </c>
      <c r="H1034" s="1" t="s">
        <v>1411</v>
      </c>
      <c r="I1034" s="1" t="str">
        <f t="shared" si="2"/>
        <v>Graham</v>
      </c>
      <c r="J1034" s="1" t="str">
        <f t="shared" si="3"/>
        <v>Gano</v>
      </c>
      <c r="K1034" s="1" t="str">
        <f t="shared" si="4"/>
        <v>#N/A</v>
      </c>
      <c r="L1034" s="1" t="str">
        <f>IFERROR(VLOOKUP($K1034,Players!$D:$E,2,FALSE),VLOOKUP($H1034,Players!A:E,5,FALSE))</f>
        <v>K</v>
      </c>
    </row>
    <row r="1035" ht="15.75" customHeight="1">
      <c r="A1035" s="1">
        <v>2016.0</v>
      </c>
      <c r="B1035" s="1" t="s">
        <v>41</v>
      </c>
      <c r="C1035" s="1" t="s">
        <v>26</v>
      </c>
      <c r="D1035" s="1">
        <v>2.0</v>
      </c>
      <c r="E1035" s="8" t="str">
        <f t="shared" si="1"/>
        <v>Playoff Team</v>
      </c>
      <c r="F1035" s="8">
        <v>15.0</v>
      </c>
      <c r="G1035" s="8">
        <v>179.0</v>
      </c>
      <c r="H1035" s="1" t="s">
        <v>1999</v>
      </c>
      <c r="I1035" s="1" t="str">
        <f t="shared" si="2"/>
        <v>Phillip</v>
      </c>
      <c r="J1035" s="1" t="str">
        <f t="shared" si="3"/>
        <v>Dorsett II</v>
      </c>
      <c r="K1035" s="1" t="str">
        <f t="shared" si="4"/>
        <v>#N/A</v>
      </c>
      <c r="L1035" s="1" t="str">
        <f>IFERROR(VLOOKUP($K1035,Players!$D:$E,2,FALSE),VLOOKUP($H1035,Players!A:E,5,FALSE))</f>
        <v>#N/A</v>
      </c>
    </row>
    <row r="1036" ht="15.75" customHeight="1">
      <c r="A1036" s="1">
        <v>2016.0</v>
      </c>
      <c r="B1036" s="1" t="s">
        <v>53</v>
      </c>
      <c r="C1036" s="1" t="s">
        <v>15</v>
      </c>
      <c r="D1036" s="1">
        <v>4.0</v>
      </c>
      <c r="E1036" s="8" t="str">
        <f t="shared" si="1"/>
        <v>Playoff Team</v>
      </c>
      <c r="F1036" s="8">
        <v>1.0</v>
      </c>
      <c r="G1036" s="8">
        <v>5.0</v>
      </c>
      <c r="H1036" s="1" t="s">
        <v>96</v>
      </c>
      <c r="I1036" s="1" t="str">
        <f t="shared" si="2"/>
        <v>Julio</v>
      </c>
      <c r="J1036" s="1" t="str">
        <f t="shared" si="3"/>
        <v>Jones</v>
      </c>
      <c r="K1036" s="1" t="str">
        <f t="shared" si="4"/>
        <v>#N/A</v>
      </c>
      <c r="L1036" s="1" t="str">
        <f>IFERROR(VLOOKUP($K1036,Players!$D:$E,2,FALSE),VLOOKUP($H1036,Players!A:E,5,FALSE))</f>
        <v>WR</v>
      </c>
    </row>
    <row r="1037" ht="15.75" customHeight="1">
      <c r="A1037" s="1">
        <v>2016.0</v>
      </c>
      <c r="B1037" s="1" t="s">
        <v>53</v>
      </c>
      <c r="C1037" s="1" t="s">
        <v>15</v>
      </c>
      <c r="D1037" s="1">
        <v>4.0</v>
      </c>
      <c r="E1037" s="8" t="str">
        <f t="shared" si="1"/>
        <v>Playoff Team</v>
      </c>
      <c r="F1037" s="8">
        <v>2.0</v>
      </c>
      <c r="G1037" s="8">
        <v>20.0</v>
      </c>
      <c r="H1037" s="1" t="s">
        <v>841</v>
      </c>
      <c r="I1037" s="1" t="str">
        <f t="shared" si="2"/>
        <v>Devonta</v>
      </c>
      <c r="J1037" s="1" t="str">
        <f t="shared" si="3"/>
        <v>Freeman</v>
      </c>
      <c r="K1037" s="1" t="str">
        <f t="shared" si="4"/>
        <v>#N/A</v>
      </c>
      <c r="L1037" s="1" t="str">
        <f>IFERROR(VLOOKUP($K1037,Players!$D:$E,2,FALSE),VLOOKUP($H1037,Players!A:E,5,FALSE))</f>
        <v>RB</v>
      </c>
    </row>
    <row r="1038" ht="15.75" customHeight="1">
      <c r="A1038" s="1">
        <v>2016.0</v>
      </c>
      <c r="B1038" s="1" t="s">
        <v>53</v>
      </c>
      <c r="C1038" s="1" t="s">
        <v>15</v>
      </c>
      <c r="D1038" s="1">
        <v>4.0</v>
      </c>
      <c r="E1038" s="8" t="str">
        <f t="shared" si="1"/>
        <v>Playoff Team</v>
      </c>
      <c r="F1038" s="8">
        <v>3.0</v>
      </c>
      <c r="G1038" s="8">
        <v>29.0</v>
      </c>
      <c r="H1038" s="1" t="s">
        <v>680</v>
      </c>
      <c r="I1038" s="1" t="str">
        <f t="shared" si="2"/>
        <v>Cam</v>
      </c>
      <c r="J1038" s="1" t="str">
        <f t="shared" si="3"/>
        <v>Newton</v>
      </c>
      <c r="K1038" s="1" t="str">
        <f t="shared" si="4"/>
        <v>#N/A</v>
      </c>
      <c r="L1038" s="1" t="str">
        <f>IFERROR(VLOOKUP($K1038,Players!$D:$E,2,FALSE),VLOOKUP($H1038,Players!A:E,5,FALSE))</f>
        <v>QB</v>
      </c>
    </row>
    <row r="1039" ht="15.75" customHeight="1">
      <c r="A1039" s="1">
        <v>2016.0</v>
      </c>
      <c r="B1039" s="1" t="s">
        <v>53</v>
      </c>
      <c r="C1039" s="1" t="s">
        <v>15</v>
      </c>
      <c r="D1039" s="1">
        <v>4.0</v>
      </c>
      <c r="E1039" s="8" t="str">
        <f t="shared" si="1"/>
        <v>Playoff Team</v>
      </c>
      <c r="F1039" s="8">
        <v>4.0</v>
      </c>
      <c r="G1039" s="8">
        <v>44.0</v>
      </c>
      <c r="H1039" s="1" t="s">
        <v>944</v>
      </c>
      <c r="I1039" s="1" t="str">
        <f t="shared" si="2"/>
        <v>Golden</v>
      </c>
      <c r="J1039" s="1" t="str">
        <f t="shared" si="3"/>
        <v>Tate</v>
      </c>
      <c r="K1039" s="1" t="str">
        <f t="shared" si="4"/>
        <v>#N/A</v>
      </c>
      <c r="L1039" s="1" t="str">
        <f>IFERROR(VLOOKUP($K1039,Players!$D:$E,2,FALSE),VLOOKUP($H1039,Players!A:E,5,FALSE))</f>
        <v>WR</v>
      </c>
    </row>
    <row r="1040" ht="15.75" customHeight="1">
      <c r="A1040" s="1">
        <v>2016.0</v>
      </c>
      <c r="B1040" s="1" t="s">
        <v>53</v>
      </c>
      <c r="C1040" s="1" t="s">
        <v>15</v>
      </c>
      <c r="D1040" s="1">
        <v>4.0</v>
      </c>
      <c r="E1040" s="8" t="str">
        <f t="shared" si="1"/>
        <v>Playoff Team</v>
      </c>
      <c r="F1040" s="8">
        <v>5.0</v>
      </c>
      <c r="G1040" s="8">
        <v>53.0</v>
      </c>
      <c r="H1040" s="1" t="s">
        <v>1351</v>
      </c>
      <c r="I1040" s="1" t="str">
        <f t="shared" si="2"/>
        <v>LeGarrette</v>
      </c>
      <c r="J1040" s="1" t="str">
        <f t="shared" si="3"/>
        <v>Blount</v>
      </c>
      <c r="K1040" s="1" t="str">
        <f t="shared" si="4"/>
        <v>#N/A</v>
      </c>
      <c r="L1040" s="1" t="str">
        <f>IFERROR(VLOOKUP($K1040,Players!$D:$E,2,FALSE),VLOOKUP($H1040,Players!A:E,5,FALSE))</f>
        <v>RB</v>
      </c>
    </row>
    <row r="1041" ht="15.75" customHeight="1">
      <c r="A1041" s="1">
        <v>2016.0</v>
      </c>
      <c r="B1041" s="1" t="s">
        <v>53</v>
      </c>
      <c r="C1041" s="1" t="s">
        <v>15</v>
      </c>
      <c r="D1041" s="1">
        <v>4.0</v>
      </c>
      <c r="E1041" s="8" t="str">
        <f t="shared" si="1"/>
        <v>Playoff Team</v>
      </c>
      <c r="F1041" s="8">
        <v>6.0</v>
      </c>
      <c r="G1041" s="8">
        <v>68.0</v>
      </c>
      <c r="H1041" s="1" t="s">
        <v>250</v>
      </c>
      <c r="I1041" s="1" t="str">
        <f t="shared" si="2"/>
        <v>Allen</v>
      </c>
      <c r="J1041" s="1" t="str">
        <f t="shared" si="3"/>
        <v>Hurns</v>
      </c>
      <c r="K1041" s="1" t="str">
        <f t="shared" si="4"/>
        <v>#N/A</v>
      </c>
      <c r="L1041" s="1" t="str">
        <f>IFERROR(VLOOKUP($K1041,Players!$D:$E,2,FALSE),VLOOKUP($H1041,Players!A:E,5,FALSE))</f>
        <v>WR</v>
      </c>
    </row>
    <row r="1042" ht="15.75" customHeight="1">
      <c r="A1042" s="1">
        <v>2016.0</v>
      </c>
      <c r="B1042" s="1" t="s">
        <v>53</v>
      </c>
      <c r="C1042" s="1" t="s">
        <v>15</v>
      </c>
      <c r="D1042" s="1">
        <v>4.0</v>
      </c>
      <c r="E1042" s="8" t="str">
        <f t="shared" si="1"/>
        <v>Playoff Team</v>
      </c>
      <c r="F1042" s="8">
        <v>7.0</v>
      </c>
      <c r="G1042" s="8">
        <v>77.0</v>
      </c>
      <c r="H1042" s="1" t="s">
        <v>1376</v>
      </c>
      <c r="I1042" s="1" t="str">
        <f t="shared" si="2"/>
        <v>Gary</v>
      </c>
      <c r="J1042" s="1" t="str">
        <f t="shared" si="3"/>
        <v>Barnidge</v>
      </c>
      <c r="K1042" s="1" t="str">
        <f t="shared" si="4"/>
        <v>#N/A</v>
      </c>
      <c r="L1042" s="1" t="str">
        <f>IFERROR(VLOOKUP($K1042,Players!$D:$E,2,FALSE),VLOOKUP($H1042,Players!A:E,5,FALSE))</f>
        <v>TE</v>
      </c>
    </row>
    <row r="1043" ht="15.75" customHeight="1">
      <c r="A1043" s="1">
        <v>2016.0</v>
      </c>
      <c r="B1043" s="1" t="s">
        <v>53</v>
      </c>
      <c r="C1043" s="1" t="s">
        <v>15</v>
      </c>
      <c r="D1043" s="1">
        <v>4.0</v>
      </c>
      <c r="E1043" s="8" t="str">
        <f t="shared" si="1"/>
        <v>Playoff Team</v>
      </c>
      <c r="F1043" s="8">
        <v>8.0</v>
      </c>
      <c r="G1043" s="8">
        <v>92.0</v>
      </c>
      <c r="H1043" s="1" t="s">
        <v>2008</v>
      </c>
      <c r="I1043" s="1" t="str">
        <f t="shared" si="2"/>
        <v>TJ</v>
      </c>
      <c r="J1043" s="1" t="str">
        <f t="shared" si="3"/>
        <v>Yeldon</v>
      </c>
      <c r="K1043" s="1" t="str">
        <f t="shared" si="4"/>
        <v>#N/A</v>
      </c>
      <c r="L1043" s="1" t="str">
        <f>IFERROR(VLOOKUP($K1043,Players!$D:$E,2,FALSE),VLOOKUP($H1043,Players!A:E,5,FALSE))</f>
        <v>RB</v>
      </c>
    </row>
    <row r="1044" ht="15.75" customHeight="1">
      <c r="A1044" s="1">
        <v>2016.0</v>
      </c>
      <c r="B1044" s="1" t="s">
        <v>53</v>
      </c>
      <c r="C1044" s="1" t="s">
        <v>15</v>
      </c>
      <c r="D1044" s="1">
        <v>4.0</v>
      </c>
      <c r="E1044" s="8" t="str">
        <f t="shared" si="1"/>
        <v>Playoff Team</v>
      </c>
      <c r="F1044" s="8">
        <v>9.0</v>
      </c>
      <c r="G1044" s="8">
        <v>101.0</v>
      </c>
      <c r="H1044" s="1" t="s">
        <v>270</v>
      </c>
      <c r="I1044" s="1" t="str">
        <f t="shared" si="2"/>
        <v>Michael</v>
      </c>
      <c r="J1044" s="1" t="str">
        <f t="shared" si="3"/>
        <v>Thomas</v>
      </c>
      <c r="K1044" s="1" t="str">
        <f t="shared" si="4"/>
        <v>#N/A</v>
      </c>
      <c r="L1044" s="1" t="str">
        <f>IFERROR(VLOOKUP($K1044,Players!$D:$E,2,FALSE),VLOOKUP($H1044,Players!A:E,5,FALSE))</f>
        <v>WR</v>
      </c>
    </row>
    <row r="1045" ht="15.75" customHeight="1">
      <c r="A1045" s="1">
        <v>2016.0</v>
      </c>
      <c r="B1045" s="1" t="s">
        <v>53</v>
      </c>
      <c r="C1045" s="1" t="s">
        <v>15</v>
      </c>
      <c r="D1045" s="1">
        <v>4.0</v>
      </c>
      <c r="E1045" s="8" t="str">
        <f t="shared" si="1"/>
        <v>Playoff Team</v>
      </c>
      <c r="F1045" s="8">
        <v>10.0</v>
      </c>
      <c r="G1045" s="8">
        <v>116.0</v>
      </c>
      <c r="H1045" s="1" t="s">
        <v>440</v>
      </c>
      <c r="I1045" s="1" t="str">
        <f t="shared" si="2"/>
        <v>Tyler</v>
      </c>
      <c r="J1045" s="1" t="str">
        <f t="shared" si="3"/>
        <v>Boyd</v>
      </c>
      <c r="K1045" s="1" t="str">
        <f t="shared" si="4"/>
        <v>#N/A</v>
      </c>
      <c r="L1045" s="1" t="str">
        <f>IFERROR(VLOOKUP($K1045,Players!$D:$E,2,FALSE),VLOOKUP($H1045,Players!A:E,5,FALSE))</f>
        <v>WR</v>
      </c>
    </row>
    <row r="1046" ht="15.75" customHeight="1">
      <c r="A1046" s="1">
        <v>2016.0</v>
      </c>
      <c r="B1046" s="1" t="s">
        <v>53</v>
      </c>
      <c r="C1046" s="1" t="s">
        <v>15</v>
      </c>
      <c r="D1046" s="1">
        <v>4.0</v>
      </c>
      <c r="E1046" s="8" t="str">
        <f t="shared" si="1"/>
        <v>Playoff Team</v>
      </c>
      <c r="F1046" s="8">
        <v>11.0</v>
      </c>
      <c r="G1046" s="8">
        <v>125.0</v>
      </c>
      <c r="H1046" s="1" t="s">
        <v>833</v>
      </c>
      <c r="I1046" s="1" t="str">
        <f t="shared" si="2"/>
        <v>#VALUE!</v>
      </c>
      <c r="J1046" s="1" t="str">
        <f t="shared" si="3"/>
        <v>#VALUE!</v>
      </c>
      <c r="K1046" s="1" t="str">
        <f t="shared" si="4"/>
        <v>#N/A</v>
      </c>
      <c r="L1046" s="1" t="str">
        <f>IFERROR(VLOOKUP($K1046,Players!$D:$E,2,FALSE),VLOOKUP($H1046,Players!A:E,5,FALSE))</f>
        <v>DEF</v>
      </c>
    </row>
    <row r="1047" ht="15.75" customHeight="1">
      <c r="A1047" s="1">
        <v>2016.0</v>
      </c>
      <c r="B1047" s="1" t="s">
        <v>53</v>
      </c>
      <c r="C1047" s="1" t="s">
        <v>15</v>
      </c>
      <c r="D1047" s="1">
        <v>4.0</v>
      </c>
      <c r="E1047" s="8" t="str">
        <f t="shared" si="1"/>
        <v>Playoff Team</v>
      </c>
      <c r="F1047" s="8">
        <v>12.0</v>
      </c>
      <c r="G1047" s="8">
        <v>140.0</v>
      </c>
      <c r="H1047" s="1" t="s">
        <v>891</v>
      </c>
      <c r="I1047" s="1" t="str">
        <f t="shared" si="2"/>
        <v>Stephen</v>
      </c>
      <c r="J1047" s="1" t="str">
        <f t="shared" si="3"/>
        <v>Gostkowski</v>
      </c>
      <c r="K1047" s="1" t="str">
        <f t="shared" si="4"/>
        <v>#N/A</v>
      </c>
      <c r="L1047" s="1" t="str">
        <f>IFERROR(VLOOKUP($K1047,Players!$D:$E,2,FALSE),VLOOKUP($H1047,Players!A:E,5,FALSE))</f>
        <v>K</v>
      </c>
    </row>
    <row r="1048" ht="15.75" customHeight="1">
      <c r="A1048" s="1">
        <v>2016.0</v>
      </c>
      <c r="B1048" s="1" t="s">
        <v>53</v>
      </c>
      <c r="C1048" s="1" t="s">
        <v>15</v>
      </c>
      <c r="D1048" s="1">
        <v>4.0</v>
      </c>
      <c r="E1048" s="8" t="str">
        <f t="shared" si="1"/>
        <v>Playoff Team</v>
      </c>
      <c r="F1048" s="8">
        <v>13.0</v>
      </c>
      <c r="G1048" s="8">
        <v>149.0</v>
      </c>
      <c r="H1048" s="1" t="s">
        <v>524</v>
      </c>
      <c r="I1048" s="1" t="str">
        <f t="shared" si="2"/>
        <v>Matt</v>
      </c>
      <c r="J1048" s="1" t="str">
        <f t="shared" si="3"/>
        <v>Ryan</v>
      </c>
      <c r="K1048" s="1" t="str">
        <f t="shared" si="4"/>
        <v>#N/A</v>
      </c>
      <c r="L1048" s="1" t="str">
        <f>IFERROR(VLOOKUP($K1048,Players!$D:$E,2,FALSE),VLOOKUP($H1048,Players!A:E,5,FALSE))</f>
        <v>QB</v>
      </c>
    </row>
    <row r="1049" ht="15.75" customHeight="1">
      <c r="A1049" s="1">
        <v>2016.0</v>
      </c>
      <c r="B1049" s="1" t="s">
        <v>53</v>
      </c>
      <c r="C1049" s="1" t="s">
        <v>15</v>
      </c>
      <c r="D1049" s="1">
        <v>4.0</v>
      </c>
      <c r="E1049" s="8" t="str">
        <f t="shared" si="1"/>
        <v>Playoff Team</v>
      </c>
      <c r="F1049" s="8">
        <v>14.0</v>
      </c>
      <c r="G1049" s="8">
        <v>164.0</v>
      </c>
      <c r="H1049" s="1" t="s">
        <v>2020</v>
      </c>
      <c r="I1049" s="1" t="str">
        <f t="shared" si="2"/>
        <v>Malcolm</v>
      </c>
      <c r="J1049" s="1" t="str">
        <f t="shared" si="3"/>
        <v>Mitchell</v>
      </c>
      <c r="K1049" s="1" t="str">
        <f t="shared" si="4"/>
        <v>#N/A</v>
      </c>
      <c r="L1049" s="1" t="str">
        <f>IFERROR(VLOOKUP($K1049,Players!$D:$E,2,FALSE),VLOOKUP($H1049,Players!A:E,5,FALSE))</f>
        <v>WR</v>
      </c>
    </row>
    <row r="1050" ht="15.75" customHeight="1">
      <c r="A1050" s="1">
        <v>2016.0</v>
      </c>
      <c r="B1050" s="1" t="s">
        <v>53</v>
      </c>
      <c r="C1050" s="1" t="s">
        <v>15</v>
      </c>
      <c r="D1050" s="1">
        <v>4.0</v>
      </c>
      <c r="E1050" s="8" t="str">
        <f t="shared" si="1"/>
        <v>Playoff Team</v>
      </c>
      <c r="F1050" s="8">
        <v>15.0</v>
      </c>
      <c r="G1050" s="8">
        <v>173.0</v>
      </c>
      <c r="H1050" s="1" t="s">
        <v>2022</v>
      </c>
      <c r="I1050" s="1" t="str">
        <f t="shared" si="2"/>
        <v>Alfred</v>
      </c>
      <c r="J1050" s="1" t="str">
        <f t="shared" si="3"/>
        <v>Morris</v>
      </c>
      <c r="K1050" s="1" t="str">
        <f t="shared" si="4"/>
        <v>#N/A</v>
      </c>
      <c r="L1050" s="1" t="str">
        <f>IFERROR(VLOOKUP($K1050,Players!$D:$E,2,FALSE),VLOOKUP($H1050,Players!A:E,5,FALSE))</f>
        <v>#N/A</v>
      </c>
    </row>
    <row r="1051" ht="15.75" customHeight="1">
      <c r="A1051" s="1">
        <v>2016.0</v>
      </c>
      <c r="B1051" s="1" t="s">
        <v>28</v>
      </c>
      <c r="C1051" s="1" t="s">
        <v>12</v>
      </c>
      <c r="D1051" s="1">
        <v>5.0</v>
      </c>
      <c r="E1051" s="8" t="str">
        <f t="shared" si="1"/>
        <v>Playoff Team</v>
      </c>
      <c r="F1051" s="8">
        <v>1.0</v>
      </c>
      <c r="G1051" s="8">
        <v>1.0</v>
      </c>
      <c r="H1051" s="1" t="s">
        <v>229</v>
      </c>
      <c r="I1051" s="1" t="str">
        <f t="shared" si="2"/>
        <v>Antonio</v>
      </c>
      <c r="J1051" s="1" t="str">
        <f t="shared" si="3"/>
        <v>Brown</v>
      </c>
      <c r="K1051" s="1" t="str">
        <f t="shared" si="4"/>
        <v>#N/A</v>
      </c>
      <c r="L1051" s="1" t="str">
        <f>IFERROR(VLOOKUP($K1051,Players!$D:$E,2,FALSE),VLOOKUP($H1051,Players!A:E,5,FALSE))</f>
        <v>WR</v>
      </c>
    </row>
    <row r="1052" ht="15.75" customHeight="1">
      <c r="A1052" s="1">
        <v>2016.0</v>
      </c>
      <c r="B1052" s="1" t="s">
        <v>28</v>
      </c>
      <c r="C1052" s="1" t="s">
        <v>12</v>
      </c>
      <c r="D1052" s="1">
        <v>5.0</v>
      </c>
      <c r="E1052" s="8" t="str">
        <f t="shared" si="1"/>
        <v>Playoff Team</v>
      </c>
      <c r="F1052" s="8">
        <v>2.0</v>
      </c>
      <c r="G1052" s="8">
        <v>24.0</v>
      </c>
      <c r="H1052" s="1" t="s">
        <v>1288</v>
      </c>
      <c r="I1052" s="1" t="str">
        <f t="shared" si="2"/>
        <v>Eddie</v>
      </c>
      <c r="J1052" s="1" t="str">
        <f t="shared" si="3"/>
        <v>Lacy</v>
      </c>
      <c r="K1052" s="1" t="str">
        <f t="shared" si="4"/>
        <v>#N/A</v>
      </c>
      <c r="L1052" s="1" t="str">
        <f>IFERROR(VLOOKUP($K1052,Players!$D:$E,2,FALSE),VLOOKUP($H1052,Players!A:E,5,FALSE))</f>
        <v>RB</v>
      </c>
    </row>
    <row r="1053" ht="15.75" customHeight="1">
      <c r="A1053" s="1">
        <v>2016.0</v>
      </c>
      <c r="B1053" s="1" t="s">
        <v>28</v>
      </c>
      <c r="C1053" s="1" t="s">
        <v>12</v>
      </c>
      <c r="D1053" s="1">
        <v>5.0</v>
      </c>
      <c r="E1053" s="8" t="str">
        <f t="shared" si="1"/>
        <v>Playoff Team</v>
      </c>
      <c r="F1053" s="8">
        <v>3.0</v>
      </c>
      <c r="G1053" s="8">
        <v>25.0</v>
      </c>
      <c r="H1053" s="1" t="s">
        <v>1237</v>
      </c>
      <c r="I1053" s="1" t="str">
        <f t="shared" si="2"/>
        <v>Doug</v>
      </c>
      <c r="J1053" s="1" t="str">
        <f t="shared" si="3"/>
        <v>Martin</v>
      </c>
      <c r="K1053" s="1" t="str">
        <f t="shared" si="4"/>
        <v>#N/A</v>
      </c>
      <c r="L1053" s="1" t="str">
        <f>IFERROR(VLOOKUP($K1053,Players!$D:$E,2,FALSE),VLOOKUP($H1053,Players!A:E,5,FALSE))</f>
        <v>RB</v>
      </c>
    </row>
    <row r="1054" ht="15.75" customHeight="1">
      <c r="A1054" s="1">
        <v>2016.0</v>
      </c>
      <c r="B1054" s="1" t="s">
        <v>28</v>
      </c>
      <c r="C1054" s="1" t="s">
        <v>12</v>
      </c>
      <c r="D1054" s="1">
        <v>5.0</v>
      </c>
      <c r="E1054" s="8" t="str">
        <f t="shared" si="1"/>
        <v>Playoff Team</v>
      </c>
      <c r="F1054" s="8">
        <v>4.0</v>
      </c>
      <c r="G1054" s="8">
        <v>48.0</v>
      </c>
      <c r="H1054" s="1" t="s">
        <v>144</v>
      </c>
      <c r="I1054" s="1" t="str">
        <f t="shared" si="2"/>
        <v>Russell</v>
      </c>
      <c r="J1054" s="1" t="str">
        <f t="shared" si="3"/>
        <v>Wilson</v>
      </c>
      <c r="K1054" s="1" t="str">
        <f t="shared" si="4"/>
        <v>#N/A</v>
      </c>
      <c r="L1054" s="1" t="str">
        <f>IFERROR(VLOOKUP($K1054,Players!$D:$E,2,FALSE),VLOOKUP($H1054,Players!A:E,5,FALSE))</f>
        <v>QB</v>
      </c>
    </row>
    <row r="1055" ht="15.75" customHeight="1">
      <c r="A1055" s="1">
        <v>2016.0</v>
      </c>
      <c r="B1055" s="1" t="s">
        <v>28</v>
      </c>
      <c r="C1055" s="1" t="s">
        <v>12</v>
      </c>
      <c r="D1055" s="1">
        <v>5.0</v>
      </c>
      <c r="E1055" s="8" t="str">
        <f t="shared" si="1"/>
        <v>Playoff Team</v>
      </c>
      <c r="F1055" s="8">
        <v>5.0</v>
      </c>
      <c r="G1055" s="8">
        <v>49.0</v>
      </c>
      <c r="H1055" s="1" t="s">
        <v>139</v>
      </c>
      <c r="I1055" s="1" t="str">
        <f t="shared" si="2"/>
        <v>Travis</v>
      </c>
      <c r="J1055" s="1" t="str">
        <f t="shared" si="3"/>
        <v>Kelce</v>
      </c>
      <c r="K1055" s="1" t="str">
        <f t="shared" si="4"/>
        <v>#N/A</v>
      </c>
      <c r="L1055" s="1" t="str">
        <f>IFERROR(VLOOKUP($K1055,Players!$D:$E,2,FALSE),VLOOKUP($H1055,Players!A:E,5,FALSE))</f>
        <v>TE</v>
      </c>
    </row>
    <row r="1056" ht="15.75" customHeight="1">
      <c r="A1056" s="1">
        <v>2016.0</v>
      </c>
      <c r="B1056" s="1" t="s">
        <v>28</v>
      </c>
      <c r="C1056" s="1" t="s">
        <v>12</v>
      </c>
      <c r="D1056" s="1">
        <v>5.0</v>
      </c>
      <c r="E1056" s="8" t="str">
        <f t="shared" si="1"/>
        <v>Playoff Team</v>
      </c>
      <c r="F1056" s="8">
        <v>6.0</v>
      </c>
      <c r="G1056" s="8">
        <v>72.0</v>
      </c>
      <c r="H1056" s="1" t="s">
        <v>498</v>
      </c>
      <c r="I1056" s="1" t="str">
        <f t="shared" si="2"/>
        <v>Duke</v>
      </c>
      <c r="J1056" s="1" t="str">
        <f t="shared" si="3"/>
        <v>Johnson</v>
      </c>
      <c r="K1056" s="1" t="str">
        <f t="shared" si="4"/>
        <v>#N/A</v>
      </c>
      <c r="L1056" s="1" t="str">
        <f>IFERROR(VLOOKUP($K1056,Players!$D:$E,2,FALSE),VLOOKUP($H1056,Players!A:E,5,FALSE))</f>
        <v>RB</v>
      </c>
    </row>
    <row r="1057" ht="15.75" customHeight="1">
      <c r="A1057" s="1">
        <v>2016.0</v>
      </c>
      <c r="B1057" s="1" t="s">
        <v>28</v>
      </c>
      <c r="C1057" s="1" t="s">
        <v>12</v>
      </c>
      <c r="D1057" s="1">
        <v>5.0</v>
      </c>
      <c r="E1057" s="8" t="str">
        <f t="shared" si="1"/>
        <v>Playoff Team</v>
      </c>
      <c r="F1057" s="8">
        <v>7.0</v>
      </c>
      <c r="G1057" s="8">
        <v>73.0</v>
      </c>
      <c r="H1057" s="1" t="s">
        <v>243</v>
      </c>
      <c r="I1057" s="1" t="str">
        <f t="shared" si="2"/>
        <v>Marvin</v>
      </c>
      <c r="J1057" s="1" t="str">
        <f t="shared" si="3"/>
        <v>Jones Jr</v>
      </c>
      <c r="K1057" s="1" t="str">
        <f t="shared" si="4"/>
        <v>#N/A</v>
      </c>
      <c r="L1057" s="1" t="str">
        <f>IFERROR(VLOOKUP($K1057,Players!$D:$E,2,FALSE),VLOOKUP($H1057,Players!A:E,5,FALSE))</f>
        <v>#N/A</v>
      </c>
    </row>
    <row r="1058" ht="15.75" customHeight="1">
      <c r="A1058" s="1">
        <v>2016.0</v>
      </c>
      <c r="B1058" s="1" t="s">
        <v>28</v>
      </c>
      <c r="C1058" s="1" t="s">
        <v>12</v>
      </c>
      <c r="D1058" s="1">
        <v>5.0</v>
      </c>
      <c r="E1058" s="8" t="str">
        <f t="shared" si="1"/>
        <v>Playoff Team</v>
      </c>
      <c r="F1058" s="8">
        <v>8.0</v>
      </c>
      <c r="G1058" s="8">
        <v>96.0</v>
      </c>
      <c r="H1058" s="1" t="s">
        <v>1390</v>
      </c>
      <c r="I1058" s="1" t="str">
        <f t="shared" si="2"/>
        <v>Michael</v>
      </c>
      <c r="J1058" s="1" t="str">
        <f t="shared" si="3"/>
        <v>Crabtree</v>
      </c>
      <c r="K1058" s="1" t="str">
        <f t="shared" si="4"/>
        <v>#N/A</v>
      </c>
      <c r="L1058" s="1" t="str">
        <f>IFERROR(VLOOKUP($K1058,Players!$D:$E,2,FALSE),VLOOKUP($H1058,Players!A:E,5,FALSE))</f>
        <v>WR</v>
      </c>
    </row>
    <row r="1059" ht="15.75" customHeight="1">
      <c r="A1059" s="1">
        <v>2016.0</v>
      </c>
      <c r="B1059" s="1" t="s">
        <v>28</v>
      </c>
      <c r="C1059" s="1" t="s">
        <v>12</v>
      </c>
      <c r="D1059" s="1">
        <v>5.0</v>
      </c>
      <c r="E1059" s="8" t="str">
        <f t="shared" si="1"/>
        <v>Playoff Team</v>
      </c>
      <c r="F1059" s="8">
        <v>9.0</v>
      </c>
      <c r="G1059" s="8">
        <v>97.0</v>
      </c>
      <c r="H1059" s="1" t="s">
        <v>328</v>
      </c>
      <c r="I1059" s="1" t="str">
        <f t="shared" si="2"/>
        <v>Sterling</v>
      </c>
      <c r="J1059" s="1" t="str">
        <f t="shared" si="3"/>
        <v>Shepard</v>
      </c>
      <c r="K1059" s="1" t="str">
        <f t="shared" si="4"/>
        <v>#N/A</v>
      </c>
      <c r="L1059" s="1" t="str">
        <f>IFERROR(VLOOKUP($K1059,Players!$D:$E,2,FALSE),VLOOKUP($H1059,Players!A:E,5,FALSE))</f>
        <v>WR</v>
      </c>
    </row>
    <row r="1060" ht="15.75" customHeight="1">
      <c r="A1060" s="1">
        <v>2016.0</v>
      </c>
      <c r="B1060" s="1" t="s">
        <v>28</v>
      </c>
      <c r="C1060" s="1" t="s">
        <v>12</v>
      </c>
      <c r="D1060" s="1">
        <v>5.0</v>
      </c>
      <c r="E1060" s="8" t="str">
        <f t="shared" si="1"/>
        <v>Playoff Team</v>
      </c>
      <c r="F1060" s="8">
        <v>10.0</v>
      </c>
      <c r="G1060" s="8">
        <v>120.0</v>
      </c>
      <c r="H1060" s="1" t="s">
        <v>1731</v>
      </c>
      <c r="I1060" s="1" t="str">
        <f t="shared" si="2"/>
        <v>Julius</v>
      </c>
      <c r="J1060" s="1" t="str">
        <f t="shared" si="3"/>
        <v>Thomas</v>
      </c>
      <c r="K1060" s="1" t="str">
        <f t="shared" si="4"/>
        <v>#N/A</v>
      </c>
      <c r="L1060" s="1" t="str">
        <f>IFERROR(VLOOKUP($K1060,Players!$D:$E,2,FALSE),VLOOKUP($H1060,Players!A:E,5,FALSE))</f>
        <v>TE</v>
      </c>
    </row>
    <row r="1061" ht="15.75" customHeight="1">
      <c r="A1061" s="1">
        <v>2016.0</v>
      </c>
      <c r="B1061" s="1" t="s">
        <v>28</v>
      </c>
      <c r="C1061" s="1" t="s">
        <v>12</v>
      </c>
      <c r="D1061" s="1">
        <v>5.0</v>
      </c>
      <c r="E1061" s="8" t="str">
        <f t="shared" si="1"/>
        <v>Playoff Team</v>
      </c>
      <c r="F1061" s="8">
        <v>11.0</v>
      </c>
      <c r="G1061" s="8">
        <v>121.0</v>
      </c>
      <c r="H1061" s="1" t="s">
        <v>368</v>
      </c>
      <c r="I1061" s="1" t="str">
        <f t="shared" si="2"/>
        <v>#VALUE!</v>
      </c>
      <c r="J1061" s="1" t="str">
        <f t="shared" si="3"/>
        <v>#VALUE!</v>
      </c>
      <c r="K1061" s="1" t="str">
        <f t="shared" si="4"/>
        <v>#N/A</v>
      </c>
      <c r="L1061" s="1" t="str">
        <f>IFERROR(VLOOKUP($K1061,Players!$D:$E,2,FALSE),VLOOKUP($H1061,Players!A:E,5,FALSE))</f>
        <v>DEF</v>
      </c>
    </row>
    <row r="1062" ht="15.75" customHeight="1">
      <c r="A1062" s="1">
        <v>2016.0</v>
      </c>
      <c r="B1062" s="1" t="s">
        <v>28</v>
      </c>
      <c r="C1062" s="1" t="s">
        <v>12</v>
      </c>
      <c r="D1062" s="1">
        <v>5.0</v>
      </c>
      <c r="E1062" s="8" t="str">
        <f t="shared" si="1"/>
        <v>Playoff Team</v>
      </c>
      <c r="F1062" s="8">
        <v>12.0</v>
      </c>
      <c r="G1062" s="8">
        <v>144.0</v>
      </c>
      <c r="H1062" s="1" t="s">
        <v>1403</v>
      </c>
      <c r="I1062" s="1" t="str">
        <f t="shared" si="2"/>
        <v>Mason</v>
      </c>
      <c r="J1062" s="1" t="str">
        <f t="shared" si="3"/>
        <v>Crosby</v>
      </c>
      <c r="K1062" s="1" t="str">
        <f t="shared" si="4"/>
        <v>#N/A</v>
      </c>
      <c r="L1062" s="1" t="str">
        <f>IFERROR(VLOOKUP($K1062,Players!$D:$E,2,FALSE),VLOOKUP($H1062,Players!A:E,5,FALSE))</f>
        <v>K</v>
      </c>
    </row>
    <row r="1063" ht="15.75" customHeight="1">
      <c r="A1063" s="1">
        <v>2016.0</v>
      </c>
      <c r="B1063" s="1" t="s">
        <v>28</v>
      </c>
      <c r="C1063" s="1" t="s">
        <v>12</v>
      </c>
      <c r="D1063" s="1">
        <v>5.0</v>
      </c>
      <c r="E1063" s="8" t="str">
        <f t="shared" si="1"/>
        <v>Playoff Team</v>
      </c>
      <c r="F1063" s="8">
        <v>13.0</v>
      </c>
      <c r="G1063" s="8">
        <v>145.0</v>
      </c>
      <c r="H1063" s="1" t="s">
        <v>888</v>
      </c>
      <c r="I1063" s="1" t="str">
        <f t="shared" si="2"/>
        <v>Corey</v>
      </c>
      <c r="J1063" s="1" t="str">
        <f t="shared" si="3"/>
        <v>Coleman</v>
      </c>
      <c r="K1063" s="1" t="str">
        <f t="shared" si="4"/>
        <v>#N/A</v>
      </c>
      <c r="L1063" s="1" t="str">
        <f>IFERROR(VLOOKUP($K1063,Players!$D:$E,2,FALSE),VLOOKUP($H1063,Players!A:E,5,FALSE))</f>
        <v>WR</v>
      </c>
    </row>
    <row r="1064" ht="15.75" customHeight="1">
      <c r="A1064" s="1">
        <v>2016.0</v>
      </c>
      <c r="B1064" s="1" t="s">
        <v>28</v>
      </c>
      <c r="C1064" s="1" t="s">
        <v>12</v>
      </c>
      <c r="D1064" s="1">
        <v>5.0</v>
      </c>
      <c r="E1064" s="8" t="str">
        <f t="shared" si="1"/>
        <v>Playoff Team</v>
      </c>
      <c r="F1064" s="8">
        <v>14.0</v>
      </c>
      <c r="G1064" s="8">
        <v>168.0</v>
      </c>
      <c r="H1064" s="1" t="s">
        <v>366</v>
      </c>
      <c r="I1064" s="1" t="str">
        <f t="shared" si="2"/>
        <v>Matthew</v>
      </c>
      <c r="J1064" s="1" t="str">
        <f t="shared" si="3"/>
        <v>Stafford</v>
      </c>
      <c r="K1064" s="1" t="str">
        <f t="shared" si="4"/>
        <v>#N/A</v>
      </c>
      <c r="L1064" s="1" t="str">
        <f>IFERROR(VLOOKUP($K1064,Players!$D:$E,2,FALSE),VLOOKUP($H1064,Players!A:E,5,FALSE))</f>
        <v>QB</v>
      </c>
    </row>
    <row r="1065" ht="15.75" customHeight="1">
      <c r="A1065" s="1">
        <v>2016.0</v>
      </c>
      <c r="B1065" s="1" t="s">
        <v>28</v>
      </c>
      <c r="C1065" s="1" t="s">
        <v>12</v>
      </c>
      <c r="D1065" s="1">
        <v>5.0</v>
      </c>
      <c r="E1065" s="8" t="str">
        <f t="shared" si="1"/>
        <v>Playoff Team</v>
      </c>
      <c r="F1065" s="8">
        <v>15.0</v>
      </c>
      <c r="G1065" s="8">
        <v>169.0</v>
      </c>
      <c r="H1065" s="1" t="s">
        <v>2048</v>
      </c>
      <c r="I1065" s="1" t="str">
        <f t="shared" si="2"/>
        <v>Theo</v>
      </c>
      <c r="J1065" s="1" t="str">
        <f t="shared" si="3"/>
        <v>Riddick</v>
      </c>
      <c r="K1065" s="1" t="str">
        <f t="shared" si="4"/>
        <v>#N/A</v>
      </c>
      <c r="L1065" s="1" t="str">
        <f>IFERROR(VLOOKUP($K1065,Players!$D:$E,2,FALSE),VLOOKUP($H1065,Players!A:E,5,FALSE))</f>
        <v>#N/A</v>
      </c>
    </row>
    <row r="1066" ht="15.75" customHeight="1">
      <c r="A1066" s="1">
        <v>2016.0</v>
      </c>
      <c r="B1066" s="1" t="s">
        <v>36</v>
      </c>
      <c r="C1066" s="1" t="s">
        <v>17</v>
      </c>
      <c r="D1066" s="1">
        <v>7.0</v>
      </c>
      <c r="E1066" s="8" t="str">
        <f t="shared" si="1"/>
        <v>Non-Playoff Team</v>
      </c>
      <c r="F1066" s="8">
        <v>1.0</v>
      </c>
      <c r="G1066" s="8">
        <v>3.0</v>
      </c>
      <c r="H1066" s="1" t="s">
        <v>133</v>
      </c>
      <c r="I1066" s="1" t="str">
        <f t="shared" si="2"/>
        <v>David</v>
      </c>
      <c r="J1066" s="1" t="str">
        <f t="shared" si="3"/>
        <v>Johnson</v>
      </c>
      <c r="K1066" s="1" t="str">
        <f t="shared" si="4"/>
        <v>#N/A</v>
      </c>
      <c r="L1066" s="1" t="str">
        <f>IFERROR(VLOOKUP($K1066,Players!$D:$E,2,FALSE),VLOOKUP($H1066,Players!A:E,5,FALSE))</f>
        <v>RB</v>
      </c>
    </row>
    <row r="1067" ht="15.75" customHeight="1">
      <c r="A1067" s="1">
        <v>2016.0</v>
      </c>
      <c r="B1067" s="1" t="s">
        <v>36</v>
      </c>
      <c r="C1067" s="1" t="s">
        <v>17</v>
      </c>
      <c r="D1067" s="1">
        <v>7.0</v>
      </c>
      <c r="E1067" s="8" t="str">
        <f t="shared" si="1"/>
        <v>Non-Playoff Team</v>
      </c>
      <c r="F1067" s="8">
        <v>2.0</v>
      </c>
      <c r="G1067" s="8">
        <v>22.0</v>
      </c>
      <c r="H1067" s="1" t="s">
        <v>80</v>
      </c>
      <c r="I1067" s="1" t="str">
        <f t="shared" si="2"/>
        <v>Keenan</v>
      </c>
      <c r="J1067" s="1" t="str">
        <f t="shared" si="3"/>
        <v>Allen</v>
      </c>
      <c r="K1067" s="1" t="str">
        <f t="shared" si="4"/>
        <v>#N/A</v>
      </c>
      <c r="L1067" s="1" t="str">
        <f>IFERROR(VLOOKUP($K1067,Players!$D:$E,2,FALSE),VLOOKUP($H1067,Players!A:E,5,FALSE))</f>
        <v>WR</v>
      </c>
    </row>
    <row r="1068" ht="15.75" customHeight="1">
      <c r="A1068" s="1">
        <v>2016.0</v>
      </c>
      <c r="B1068" s="1" t="s">
        <v>36</v>
      </c>
      <c r="C1068" s="1" t="s">
        <v>17</v>
      </c>
      <c r="D1068" s="1">
        <v>7.0</v>
      </c>
      <c r="E1068" s="8" t="str">
        <f t="shared" si="1"/>
        <v>Non-Playoff Team</v>
      </c>
      <c r="F1068" s="8">
        <v>3.0</v>
      </c>
      <c r="G1068" s="8">
        <v>27.0</v>
      </c>
      <c r="H1068" s="1" t="s">
        <v>263</v>
      </c>
      <c r="I1068" s="1" t="str">
        <f t="shared" si="2"/>
        <v>Amari</v>
      </c>
      <c r="J1068" s="1" t="str">
        <f t="shared" si="3"/>
        <v>Cooper</v>
      </c>
      <c r="K1068" s="1" t="str">
        <f t="shared" si="4"/>
        <v>#N/A</v>
      </c>
      <c r="L1068" s="1" t="str">
        <f>IFERROR(VLOOKUP($K1068,Players!$D:$E,2,FALSE),VLOOKUP($H1068,Players!A:E,5,FALSE))</f>
        <v>WR</v>
      </c>
    </row>
    <row r="1069" ht="15.75" customHeight="1">
      <c r="A1069" s="1">
        <v>2016.0</v>
      </c>
      <c r="B1069" s="1" t="s">
        <v>36</v>
      </c>
      <c r="C1069" s="1" t="s">
        <v>17</v>
      </c>
      <c r="D1069" s="1">
        <v>7.0</v>
      </c>
      <c r="E1069" s="8" t="str">
        <f t="shared" si="1"/>
        <v>Non-Playoff Team</v>
      </c>
      <c r="F1069" s="8">
        <v>4.0</v>
      </c>
      <c r="G1069" s="8">
        <v>46.0</v>
      </c>
      <c r="H1069" s="1" t="s">
        <v>2056</v>
      </c>
      <c r="I1069" s="1" t="str">
        <f t="shared" si="2"/>
        <v>Thomas</v>
      </c>
      <c r="J1069" s="1" t="str">
        <f t="shared" si="3"/>
        <v>Rawls</v>
      </c>
      <c r="K1069" s="1" t="str">
        <f t="shared" si="4"/>
        <v>#N/A</v>
      </c>
      <c r="L1069" s="1" t="str">
        <f>IFERROR(VLOOKUP($K1069,Players!$D:$E,2,FALSE),VLOOKUP($H1069,Players!A:E,5,FALSE))</f>
        <v>RB</v>
      </c>
    </row>
    <row r="1070" ht="15.75" customHeight="1">
      <c r="A1070" s="1">
        <v>2016.0</v>
      </c>
      <c r="B1070" s="1" t="s">
        <v>36</v>
      </c>
      <c r="C1070" s="1" t="s">
        <v>17</v>
      </c>
      <c r="D1070" s="1">
        <v>7.0</v>
      </c>
      <c r="E1070" s="8" t="str">
        <f t="shared" si="1"/>
        <v>Non-Playoff Team</v>
      </c>
      <c r="F1070" s="8">
        <v>5.0</v>
      </c>
      <c r="G1070" s="8">
        <v>51.0</v>
      </c>
      <c r="H1070" s="1" t="s">
        <v>299</v>
      </c>
      <c r="I1070" s="1" t="str">
        <f t="shared" si="2"/>
        <v>Andrew</v>
      </c>
      <c r="J1070" s="1" t="str">
        <f t="shared" si="3"/>
        <v>Luck</v>
      </c>
      <c r="K1070" s="1" t="str">
        <f t="shared" si="4"/>
        <v>#N/A</v>
      </c>
      <c r="L1070" s="1" t="str">
        <f>IFERROR(VLOOKUP($K1070,Players!$D:$E,2,FALSE),VLOOKUP($H1070,Players!A:E,5,FALSE))</f>
        <v>QB</v>
      </c>
    </row>
    <row r="1071" ht="15.75" customHeight="1">
      <c r="A1071" s="1">
        <v>2016.0</v>
      </c>
      <c r="B1071" s="1" t="s">
        <v>36</v>
      </c>
      <c r="C1071" s="1" t="s">
        <v>17</v>
      </c>
      <c r="D1071" s="1">
        <v>7.0</v>
      </c>
      <c r="E1071" s="8" t="str">
        <f t="shared" si="1"/>
        <v>Non-Playoff Team</v>
      </c>
      <c r="F1071" s="8">
        <v>6.0</v>
      </c>
      <c r="G1071" s="8">
        <v>70.0</v>
      </c>
      <c r="H1071" s="1" t="s">
        <v>840</v>
      </c>
      <c r="I1071" s="1" t="str">
        <f t="shared" si="2"/>
        <v>Coby</v>
      </c>
      <c r="J1071" s="1" t="str">
        <f t="shared" si="3"/>
        <v>Fleener</v>
      </c>
      <c r="K1071" s="1" t="str">
        <f t="shared" si="4"/>
        <v>#N/A</v>
      </c>
      <c r="L1071" s="1" t="str">
        <f>IFERROR(VLOOKUP($K1071,Players!$D:$E,2,FALSE),VLOOKUP($H1071,Players!A:E,5,FALSE))</f>
        <v>TE</v>
      </c>
    </row>
    <row r="1072" ht="15.75" customHeight="1">
      <c r="A1072" s="1">
        <v>2016.0</v>
      </c>
      <c r="B1072" s="1" t="s">
        <v>36</v>
      </c>
      <c r="C1072" s="1" t="s">
        <v>17</v>
      </c>
      <c r="D1072" s="1">
        <v>7.0</v>
      </c>
      <c r="E1072" s="8" t="str">
        <f t="shared" si="1"/>
        <v>Non-Playoff Team</v>
      </c>
      <c r="F1072" s="8">
        <v>7.0</v>
      </c>
      <c r="G1072" s="8">
        <v>75.0</v>
      </c>
      <c r="H1072" s="1" t="s">
        <v>701</v>
      </c>
      <c r="I1072" s="1" t="str">
        <f t="shared" si="2"/>
        <v>DeSean</v>
      </c>
      <c r="J1072" s="1" t="str">
        <f t="shared" si="3"/>
        <v>Jackson</v>
      </c>
      <c r="K1072" s="1" t="str">
        <f t="shared" si="4"/>
        <v>#N/A</v>
      </c>
      <c r="L1072" s="1" t="str">
        <f>IFERROR(VLOOKUP($K1072,Players!$D:$E,2,FALSE),VLOOKUP($H1072,Players!A:E,5,FALSE))</f>
        <v>WR</v>
      </c>
    </row>
    <row r="1073" ht="15.75" customHeight="1">
      <c r="A1073" s="1">
        <v>2016.0</v>
      </c>
      <c r="B1073" s="1" t="s">
        <v>36</v>
      </c>
      <c r="C1073" s="1" t="s">
        <v>17</v>
      </c>
      <c r="D1073" s="1">
        <v>7.0</v>
      </c>
      <c r="E1073" s="8" t="str">
        <f t="shared" si="1"/>
        <v>Non-Playoff Team</v>
      </c>
      <c r="F1073" s="8">
        <v>8.0</v>
      </c>
      <c r="G1073" s="8">
        <v>94.0</v>
      </c>
      <c r="H1073" s="1" t="s">
        <v>105</v>
      </c>
      <c r="I1073" s="1" t="str">
        <f t="shared" si="2"/>
        <v>#VALUE!</v>
      </c>
      <c r="J1073" s="1" t="str">
        <f t="shared" si="3"/>
        <v>#VALUE!</v>
      </c>
      <c r="K1073" s="1" t="str">
        <f t="shared" si="4"/>
        <v>#N/A</v>
      </c>
      <c r="L1073" s="1" t="str">
        <f>IFERROR(VLOOKUP($K1073,Players!$D:$E,2,FALSE),VLOOKUP($H1073,Players!A:E,5,FALSE))</f>
        <v>DEF</v>
      </c>
    </row>
    <row r="1074" ht="15.75" customHeight="1">
      <c r="A1074" s="1">
        <v>2016.0</v>
      </c>
      <c r="B1074" s="1" t="s">
        <v>36</v>
      </c>
      <c r="C1074" s="1" t="s">
        <v>17</v>
      </c>
      <c r="D1074" s="1">
        <v>7.0</v>
      </c>
      <c r="E1074" s="8" t="str">
        <f t="shared" si="1"/>
        <v>Non-Playoff Team</v>
      </c>
      <c r="F1074" s="8">
        <v>9.0</v>
      </c>
      <c r="G1074" s="8">
        <v>99.0</v>
      </c>
      <c r="H1074" s="1" t="s">
        <v>2003</v>
      </c>
      <c r="I1074" s="1" t="str">
        <f t="shared" si="2"/>
        <v>Kamar</v>
      </c>
      <c r="J1074" s="1" t="str">
        <f t="shared" si="3"/>
        <v>Aiken</v>
      </c>
      <c r="K1074" s="1" t="str">
        <f t="shared" si="4"/>
        <v>#N/A</v>
      </c>
      <c r="L1074" s="1" t="str">
        <f>IFERROR(VLOOKUP($K1074,Players!$D:$E,2,FALSE),VLOOKUP($H1074,Players!A:E,5,FALSE))</f>
        <v>WR</v>
      </c>
    </row>
    <row r="1075" ht="15.75" customHeight="1">
      <c r="A1075" s="1">
        <v>2016.0</v>
      </c>
      <c r="B1075" s="1" t="s">
        <v>36</v>
      </c>
      <c r="C1075" s="1" t="s">
        <v>17</v>
      </c>
      <c r="D1075" s="1">
        <v>7.0</v>
      </c>
      <c r="E1075" s="8" t="str">
        <f t="shared" si="1"/>
        <v>Non-Playoff Team</v>
      </c>
      <c r="F1075" s="8">
        <v>10.0</v>
      </c>
      <c r="G1075" s="8">
        <v>118.0</v>
      </c>
      <c r="H1075" s="1" t="s">
        <v>1961</v>
      </c>
      <c r="I1075" s="1" t="str">
        <f t="shared" si="2"/>
        <v>Justin</v>
      </c>
      <c r="J1075" s="1" t="str">
        <f t="shared" si="3"/>
        <v>Forsett</v>
      </c>
      <c r="K1075" s="1" t="str">
        <f t="shared" si="4"/>
        <v>#N/A</v>
      </c>
      <c r="L1075" s="1" t="str">
        <f>IFERROR(VLOOKUP($K1075,Players!$D:$E,2,FALSE),VLOOKUP($H1075,Players!A:E,5,FALSE))</f>
        <v>RB</v>
      </c>
    </row>
    <row r="1076" ht="15.75" customHeight="1">
      <c r="A1076" s="1">
        <v>2016.0</v>
      </c>
      <c r="B1076" s="1" t="s">
        <v>36</v>
      </c>
      <c r="C1076" s="1" t="s">
        <v>17</v>
      </c>
      <c r="D1076" s="1">
        <v>7.0</v>
      </c>
      <c r="E1076" s="8" t="str">
        <f t="shared" si="1"/>
        <v>Non-Playoff Team</v>
      </c>
      <c r="F1076" s="8">
        <v>11.0</v>
      </c>
      <c r="G1076" s="8">
        <v>123.0</v>
      </c>
      <c r="H1076" s="1" t="s">
        <v>694</v>
      </c>
      <c r="I1076" s="1" t="str">
        <f t="shared" si="2"/>
        <v>Jared</v>
      </c>
      <c r="J1076" s="1" t="str">
        <f t="shared" si="3"/>
        <v>Cook</v>
      </c>
      <c r="K1076" s="1" t="str">
        <f t="shared" si="4"/>
        <v>#N/A</v>
      </c>
      <c r="L1076" s="1" t="str">
        <f>IFERROR(VLOOKUP($K1076,Players!$D:$E,2,FALSE),VLOOKUP($H1076,Players!A:E,5,FALSE))</f>
        <v>TE</v>
      </c>
    </row>
    <row r="1077" ht="15.75" customHeight="1">
      <c r="A1077" s="1">
        <v>2016.0</v>
      </c>
      <c r="B1077" s="1" t="s">
        <v>36</v>
      </c>
      <c r="C1077" s="1" t="s">
        <v>17</v>
      </c>
      <c r="D1077" s="1">
        <v>7.0</v>
      </c>
      <c r="E1077" s="8" t="str">
        <f t="shared" si="1"/>
        <v>Non-Playoff Team</v>
      </c>
      <c r="F1077" s="8">
        <v>12.0</v>
      </c>
      <c r="G1077" s="8">
        <v>142.0</v>
      </c>
      <c r="H1077" s="1" t="s">
        <v>190</v>
      </c>
      <c r="I1077" s="1" t="str">
        <f t="shared" si="2"/>
        <v>Justin</v>
      </c>
      <c r="J1077" s="1" t="str">
        <f t="shared" si="3"/>
        <v>Tucker</v>
      </c>
      <c r="K1077" s="1" t="str">
        <f t="shared" si="4"/>
        <v>#N/A</v>
      </c>
      <c r="L1077" s="1" t="str">
        <f>IFERROR(VLOOKUP($K1077,Players!$D:$E,2,FALSE),VLOOKUP($H1077,Players!A:E,5,FALSE))</f>
        <v>K</v>
      </c>
    </row>
    <row r="1078" ht="15.75" customHeight="1">
      <c r="A1078" s="1">
        <v>2016.0</v>
      </c>
      <c r="B1078" s="1" t="s">
        <v>36</v>
      </c>
      <c r="C1078" s="1" t="s">
        <v>17</v>
      </c>
      <c r="D1078" s="1">
        <v>7.0</v>
      </c>
      <c r="E1078" s="8" t="str">
        <f t="shared" si="1"/>
        <v>Non-Playoff Team</v>
      </c>
      <c r="F1078" s="8">
        <v>13.0</v>
      </c>
      <c r="G1078" s="8">
        <v>147.0</v>
      </c>
      <c r="H1078" s="1" t="s">
        <v>306</v>
      </c>
      <c r="I1078" s="1" t="str">
        <f t="shared" si="2"/>
        <v>Dak</v>
      </c>
      <c r="J1078" s="1" t="str">
        <f t="shared" si="3"/>
        <v>Prescott</v>
      </c>
      <c r="K1078" s="1" t="str">
        <f t="shared" si="4"/>
        <v>#N/A</v>
      </c>
      <c r="L1078" s="1" t="str">
        <f>IFERROR(VLOOKUP($K1078,Players!$D:$E,2,FALSE),VLOOKUP($H1078,Players!A:E,5,FALSE))</f>
        <v>QB</v>
      </c>
    </row>
    <row r="1079" ht="15.75" customHeight="1">
      <c r="A1079" s="1">
        <v>2016.0</v>
      </c>
      <c r="B1079" s="1" t="s">
        <v>36</v>
      </c>
      <c r="C1079" s="1" t="s">
        <v>17</v>
      </c>
      <c r="D1079" s="1">
        <v>7.0</v>
      </c>
      <c r="E1079" s="8" t="str">
        <f t="shared" si="1"/>
        <v>Non-Playoff Team</v>
      </c>
      <c r="F1079" s="8">
        <v>14.0</v>
      </c>
      <c r="G1079" s="8">
        <v>166.0</v>
      </c>
      <c r="H1079" s="1" t="s">
        <v>1553</v>
      </c>
      <c r="I1079" s="1" t="str">
        <f t="shared" si="2"/>
        <v>Terrelle</v>
      </c>
      <c r="J1079" s="1" t="str">
        <f t="shared" si="3"/>
        <v>Pryor Sr</v>
      </c>
      <c r="K1079" s="1" t="str">
        <f t="shared" si="4"/>
        <v>#N/A</v>
      </c>
      <c r="L1079" s="1" t="str">
        <f>IFERROR(VLOOKUP($K1079,Players!$D:$E,2,FALSE),VLOOKUP($H1079,Players!A:E,5,FALSE))</f>
        <v>#N/A</v>
      </c>
    </row>
    <row r="1080" ht="15.75" customHeight="1">
      <c r="A1080" s="1">
        <v>2016.0</v>
      </c>
      <c r="B1080" s="1" t="s">
        <v>36</v>
      </c>
      <c r="C1080" s="1" t="s">
        <v>17</v>
      </c>
      <c r="D1080" s="1">
        <v>7.0</v>
      </c>
      <c r="E1080" s="8" t="str">
        <f t="shared" si="1"/>
        <v>Non-Playoff Team</v>
      </c>
      <c r="F1080" s="8">
        <v>15.0</v>
      </c>
      <c r="G1080" s="8">
        <v>171.0</v>
      </c>
      <c r="H1080" s="1" t="s">
        <v>369</v>
      </c>
      <c r="I1080" s="1" t="str">
        <f t="shared" si="2"/>
        <v>New</v>
      </c>
      <c r="J1080" s="1" t="str">
        <f t="shared" si="3"/>
        <v>England</v>
      </c>
      <c r="K1080" s="1" t="str">
        <f t="shared" si="4"/>
        <v>#N/A</v>
      </c>
      <c r="L1080" s="1" t="str">
        <f>IFERROR(VLOOKUP($K1080,Players!$D:$E,2,FALSE),VLOOKUP($H1080,Players!A:E,5,FALSE))</f>
        <v>DEF</v>
      </c>
    </row>
  </sheetData>
  <autoFilter ref="$A$1:$L$1"/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8.67"/>
    <col customWidth="1" min="2" max="3" width="22.22"/>
    <col customWidth="1" min="4" max="4" width="13.22"/>
    <col customWidth="1" min="5" max="5" width="10.44"/>
    <col customWidth="1" min="6" max="6" width="8.33"/>
    <col customWidth="1" min="7" max="7" width="22.22"/>
    <col customWidth="1" hidden="1" min="8" max="8" width="10.44"/>
    <col customWidth="1" hidden="1" min="9" max="9" width="14.44"/>
    <col customWidth="1" hidden="1" min="10" max="10" width="22.22"/>
    <col customWidth="1" min="11" max="11" width="11.89"/>
    <col customWidth="1" min="12" max="26" width="8.56"/>
  </cols>
  <sheetData>
    <row r="1" ht="15.75" customHeight="1">
      <c r="A1" s="6" t="s">
        <v>1</v>
      </c>
      <c r="B1" s="6" t="s">
        <v>2</v>
      </c>
      <c r="C1" s="6" t="s">
        <v>4</v>
      </c>
      <c r="D1" s="6" t="s">
        <v>6</v>
      </c>
      <c r="E1" s="6" t="s">
        <v>62</v>
      </c>
      <c r="F1" s="6" t="s">
        <v>0</v>
      </c>
      <c r="G1" s="6" t="s">
        <v>74</v>
      </c>
      <c r="H1" s="6" t="s">
        <v>75</v>
      </c>
      <c r="I1" s="6" t="s">
        <v>76</v>
      </c>
      <c r="J1" s="6" t="s">
        <v>77</v>
      </c>
      <c r="K1" s="6" t="s">
        <v>56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">
        <v>2021.0</v>
      </c>
      <c r="B2" s="1" t="s">
        <v>33</v>
      </c>
      <c r="C2" s="1" t="s">
        <v>13</v>
      </c>
      <c r="D2" s="8">
        <v>7.0</v>
      </c>
      <c r="E2" s="8">
        <v>1.0</v>
      </c>
      <c r="F2" s="8">
        <v>1.0</v>
      </c>
      <c r="G2" s="1" t="s">
        <v>78</v>
      </c>
      <c r="H2" s="1" t="str">
        <f t="shared" ref="H2:H1080" si="1">TRIM(SUBSTITUTE(LEFT($G2,(FIND(" ",$G2,1)-1)),".",""))</f>
        <v>Christian</v>
      </c>
      <c r="I2" s="1" t="str">
        <f t="shared" ref="I2:I1080" si="2">TRIM(SUBSTITUTE(MID($G2,FIND(" ",$G2)+1,256),".",""))</f>
        <v>McCaffrey</v>
      </c>
      <c r="J2" s="1" t="str">
        <f t="shared" ref="J2:J1080" si="3">TRIM(CONCAT($H2," ",IF(RIGHT($I2,2)="FA",SUBSTITUTE($I2,"FA",""),IF(RIGHT($I2,2)="Sr",SUBSTITUTE($I2,"Sr",""),IF(RIGHT($I2,2)="Jr",SUBSTITUTE($I2,"Jr",""),IF(RIGHT($I2,3)="III",SUBSTITUTE($I2,"III",""),IF(RIGHT($I2,2)="IV",SUBSTITUTE($I2,"IV",""),IF(RIGHT($I2,2)=" V",SUBSTITUTE($I2," V",""),IF(RIGHT($I2,3)=" II",SUBSTITUTE($I2," II",""),$I2)))))))))</f>
        <v>#N/A</v>
      </c>
      <c r="K2" s="1" t="str">
        <f>IFERROR(VLOOKUP($J2,Players!$D:$E,2,FALSE),VLOOKUP($G2,Players!A:E,5,FALSE))</f>
        <v>RB</v>
      </c>
    </row>
    <row r="3" ht="15.75" customHeight="1">
      <c r="A3" s="1">
        <v>2021.0</v>
      </c>
      <c r="B3" s="1" t="s">
        <v>33</v>
      </c>
      <c r="C3" s="1" t="s">
        <v>13</v>
      </c>
      <c r="D3" s="8">
        <v>7.0</v>
      </c>
      <c r="E3" s="8">
        <v>2.0</v>
      </c>
      <c r="F3" s="8">
        <v>24.0</v>
      </c>
      <c r="G3" s="1" t="s">
        <v>79</v>
      </c>
      <c r="H3" s="1" t="str">
        <f t="shared" si="1"/>
        <v>Clyde</v>
      </c>
      <c r="I3" s="1" t="str">
        <f t="shared" si="2"/>
        <v>Edwards-Helaire</v>
      </c>
      <c r="J3" s="1" t="str">
        <f t="shared" si="3"/>
        <v>#N/A</v>
      </c>
      <c r="K3" s="1" t="str">
        <f>IFERROR(VLOOKUP($J3,Players!$D:$E,2,FALSE),VLOOKUP($G3,Players!A:E,5,FALSE))</f>
        <v>RB</v>
      </c>
    </row>
    <row r="4" ht="15.75" customHeight="1">
      <c r="A4" s="1">
        <v>2021.0</v>
      </c>
      <c r="B4" s="1" t="s">
        <v>33</v>
      </c>
      <c r="C4" s="1" t="s">
        <v>13</v>
      </c>
      <c r="D4" s="8">
        <v>7.0</v>
      </c>
      <c r="E4" s="8">
        <v>3.0</v>
      </c>
      <c r="F4" s="8">
        <v>25.0</v>
      </c>
      <c r="G4" s="1" t="s">
        <v>80</v>
      </c>
      <c r="H4" s="1" t="str">
        <f t="shared" si="1"/>
        <v>Keenan</v>
      </c>
      <c r="I4" s="1" t="str">
        <f t="shared" si="2"/>
        <v>Allen</v>
      </c>
      <c r="J4" s="1" t="str">
        <f t="shared" si="3"/>
        <v>#N/A</v>
      </c>
      <c r="K4" s="1" t="str">
        <f>IFERROR(VLOOKUP($J4,Players!$D:$E,2,FALSE),VLOOKUP($G4,Players!A:E,5,FALSE))</f>
        <v>WR</v>
      </c>
    </row>
    <row r="5" ht="15.75" customHeight="1">
      <c r="A5" s="1">
        <v>2021.0</v>
      </c>
      <c r="B5" s="1" t="s">
        <v>33</v>
      </c>
      <c r="C5" s="1" t="s">
        <v>13</v>
      </c>
      <c r="D5" s="8">
        <v>7.0</v>
      </c>
      <c r="E5" s="8">
        <v>4.0</v>
      </c>
      <c r="F5" s="8">
        <v>48.0</v>
      </c>
      <c r="G5" s="1" t="s">
        <v>81</v>
      </c>
      <c r="H5" s="1" t="str">
        <f t="shared" si="1"/>
        <v>Mark</v>
      </c>
      <c r="I5" s="1" t="str">
        <f t="shared" si="2"/>
        <v>Andrews</v>
      </c>
      <c r="J5" s="1" t="str">
        <f t="shared" si="3"/>
        <v>#N/A</v>
      </c>
      <c r="K5" s="1" t="str">
        <f>IFERROR(VLOOKUP($J5,Players!$D:$E,2,FALSE),VLOOKUP($G5,Players!A:E,5,FALSE))</f>
        <v>TE</v>
      </c>
    </row>
    <row r="6" ht="15.75" customHeight="1">
      <c r="A6" s="1">
        <v>2021.0</v>
      </c>
      <c r="B6" s="1" t="s">
        <v>33</v>
      </c>
      <c r="C6" s="1" t="s">
        <v>13</v>
      </c>
      <c r="D6" s="8">
        <v>7.0</v>
      </c>
      <c r="E6" s="8">
        <v>5.0</v>
      </c>
      <c r="F6" s="8">
        <v>49.0</v>
      </c>
      <c r="G6" s="1" t="s">
        <v>82</v>
      </c>
      <c r="H6" s="1" t="str">
        <f t="shared" si="1"/>
        <v>Diontae</v>
      </c>
      <c r="I6" s="1" t="str">
        <f t="shared" si="2"/>
        <v>Johnson</v>
      </c>
      <c r="J6" s="1" t="str">
        <f t="shared" si="3"/>
        <v>#N/A</v>
      </c>
      <c r="K6" s="1" t="str">
        <f>IFERROR(VLOOKUP($J6,Players!$D:$E,2,FALSE),VLOOKUP($G6,Players!A:E,5,FALSE))</f>
        <v>WR</v>
      </c>
    </row>
    <row r="7" ht="15.75" customHeight="1">
      <c r="A7" s="1">
        <v>2021.0</v>
      </c>
      <c r="B7" s="1" t="s">
        <v>33</v>
      </c>
      <c r="C7" s="1" t="s">
        <v>13</v>
      </c>
      <c r="D7" s="8">
        <v>7.0</v>
      </c>
      <c r="E7" s="8">
        <v>6.0</v>
      </c>
      <c r="F7" s="8">
        <v>72.0</v>
      </c>
      <c r="G7" s="1" t="s">
        <v>83</v>
      </c>
      <c r="H7" s="1" t="str">
        <f t="shared" si="1"/>
        <v>Jalen</v>
      </c>
      <c r="I7" s="1" t="str">
        <f t="shared" si="2"/>
        <v>Hurts</v>
      </c>
      <c r="J7" s="1" t="str">
        <f t="shared" si="3"/>
        <v>#N/A</v>
      </c>
      <c r="K7" s="1" t="str">
        <f>IFERROR(VLOOKUP($J7,Players!$D:$E,2,FALSE),VLOOKUP($G7,Players!A:E,5,FALSE))</f>
        <v>QB</v>
      </c>
    </row>
    <row r="8" ht="15.75" customHeight="1">
      <c r="A8" s="1">
        <v>2021.0</v>
      </c>
      <c r="B8" s="1" t="s">
        <v>33</v>
      </c>
      <c r="C8" s="1" t="s">
        <v>13</v>
      </c>
      <c r="D8" s="8">
        <v>7.0</v>
      </c>
      <c r="E8" s="8">
        <v>7.0</v>
      </c>
      <c r="F8" s="8">
        <v>73.0</v>
      </c>
      <c r="G8" s="1" t="s">
        <v>84</v>
      </c>
      <c r="H8" s="1" t="str">
        <f t="shared" si="1"/>
        <v>Jerry</v>
      </c>
      <c r="I8" s="1" t="str">
        <f t="shared" si="2"/>
        <v>Jeudy</v>
      </c>
      <c r="J8" s="1" t="str">
        <f t="shared" si="3"/>
        <v>#N/A</v>
      </c>
      <c r="K8" s="1" t="str">
        <f>IFERROR(VLOOKUP($J8,Players!$D:$E,2,FALSE),VLOOKUP($G8,Players!A:E,5,FALSE))</f>
        <v>WR</v>
      </c>
    </row>
    <row r="9" ht="15.75" customHeight="1">
      <c r="A9" s="1">
        <v>2021.0</v>
      </c>
      <c r="B9" s="1" t="s">
        <v>33</v>
      </c>
      <c r="C9" s="1" t="s">
        <v>13</v>
      </c>
      <c r="D9" s="8">
        <v>7.0</v>
      </c>
      <c r="E9" s="8">
        <v>8.0</v>
      </c>
      <c r="F9" s="8">
        <v>96.0</v>
      </c>
      <c r="G9" s="1" t="s">
        <v>85</v>
      </c>
      <c r="H9" s="1" t="str">
        <f t="shared" si="1"/>
        <v>James</v>
      </c>
      <c r="I9" s="1" t="str">
        <f t="shared" si="2"/>
        <v>Conner</v>
      </c>
      <c r="J9" s="1" t="str">
        <f t="shared" si="3"/>
        <v>#N/A</v>
      </c>
      <c r="K9" s="1" t="str">
        <f>IFERROR(VLOOKUP($J9,Players!$D:$E,2,FALSE),VLOOKUP($G9,Players!A:E,5,FALSE))</f>
        <v>RB</v>
      </c>
    </row>
    <row r="10" ht="15.75" customHeight="1">
      <c r="A10" s="1">
        <v>2021.0</v>
      </c>
      <c r="B10" s="1" t="s">
        <v>33</v>
      </c>
      <c r="C10" s="1" t="s">
        <v>13</v>
      </c>
      <c r="D10" s="8">
        <v>7.0</v>
      </c>
      <c r="E10" s="8">
        <v>9.0</v>
      </c>
      <c r="F10" s="8">
        <v>97.0</v>
      </c>
      <c r="G10" s="1" t="s">
        <v>86</v>
      </c>
      <c r="H10" s="1" t="str">
        <f t="shared" si="1"/>
        <v>DeVonta</v>
      </c>
      <c r="I10" s="1" t="str">
        <f t="shared" si="2"/>
        <v>Smith</v>
      </c>
      <c r="J10" s="1" t="str">
        <f t="shared" si="3"/>
        <v>#N/A</v>
      </c>
      <c r="K10" s="1" t="str">
        <f>IFERROR(VLOOKUP($J10,Players!$D:$E,2,FALSE),VLOOKUP($G10,Players!A:E,5,FALSE))</f>
        <v>WR</v>
      </c>
    </row>
    <row r="11" ht="15.75" customHeight="1">
      <c r="A11" s="1">
        <v>2021.0</v>
      </c>
      <c r="B11" s="1" t="s">
        <v>33</v>
      </c>
      <c r="C11" s="1" t="s">
        <v>13</v>
      </c>
      <c r="D11" s="8">
        <v>7.0</v>
      </c>
      <c r="E11" s="8">
        <v>10.0</v>
      </c>
      <c r="F11" s="8">
        <v>120.0</v>
      </c>
      <c r="G11" s="1" t="s">
        <v>87</v>
      </c>
      <c r="H11" s="1" t="str">
        <f t="shared" si="1"/>
        <v>#VALUE!</v>
      </c>
      <c r="I11" s="1" t="str">
        <f t="shared" si="2"/>
        <v>#VALUE!</v>
      </c>
      <c r="J11" s="1" t="str">
        <f t="shared" si="3"/>
        <v>#N/A</v>
      </c>
      <c r="K11" s="1" t="str">
        <f>IFERROR(VLOOKUP($J11,Players!$D:$E,2,FALSE),VLOOKUP($G11,Players!A:E,5,FALSE))</f>
        <v>DEF</v>
      </c>
    </row>
    <row r="12" ht="15.75" customHeight="1">
      <c r="A12" s="1">
        <v>2021.0</v>
      </c>
      <c r="B12" s="1" t="s">
        <v>33</v>
      </c>
      <c r="C12" s="1" t="s">
        <v>13</v>
      </c>
      <c r="D12" s="8">
        <v>7.0</v>
      </c>
      <c r="E12" s="8">
        <v>11.0</v>
      </c>
      <c r="F12" s="8">
        <v>121.0</v>
      </c>
      <c r="G12" s="1" t="s">
        <v>88</v>
      </c>
      <c r="H12" s="1" t="str">
        <f t="shared" si="1"/>
        <v>Tony</v>
      </c>
      <c r="I12" s="1" t="str">
        <f t="shared" si="2"/>
        <v>Pollard</v>
      </c>
      <c r="J12" s="1" t="str">
        <f t="shared" si="3"/>
        <v>#N/A</v>
      </c>
      <c r="K12" s="1" t="str">
        <f>IFERROR(VLOOKUP($J12,Players!$D:$E,2,FALSE),VLOOKUP($G12,Players!A:E,5,FALSE))</f>
        <v>RB</v>
      </c>
    </row>
    <row r="13" ht="15.75" customHeight="1">
      <c r="A13" s="1">
        <v>2021.0</v>
      </c>
      <c r="B13" s="1" t="s">
        <v>33</v>
      </c>
      <c r="C13" s="1" t="s">
        <v>13</v>
      </c>
      <c r="D13" s="8">
        <v>7.0</v>
      </c>
      <c r="E13" s="8">
        <v>12.0</v>
      </c>
      <c r="F13" s="8">
        <v>144.0</v>
      </c>
      <c r="G13" s="1" t="s">
        <v>89</v>
      </c>
      <c r="H13" s="1" t="str">
        <f t="shared" si="1"/>
        <v>Chuba</v>
      </c>
      <c r="I13" s="1" t="str">
        <f t="shared" si="2"/>
        <v>Hubbard</v>
      </c>
      <c r="J13" s="1" t="str">
        <f t="shared" si="3"/>
        <v>#N/A</v>
      </c>
      <c r="K13" s="1" t="str">
        <f>IFERROR(VLOOKUP($J13,Players!$D:$E,2,FALSE),VLOOKUP($G13,Players!A:E,5,FALSE))</f>
        <v>RB</v>
      </c>
    </row>
    <row r="14" ht="15.75" customHeight="1">
      <c r="A14" s="1">
        <v>2021.0</v>
      </c>
      <c r="B14" s="1" t="s">
        <v>33</v>
      </c>
      <c r="C14" s="1" t="s">
        <v>13</v>
      </c>
      <c r="D14" s="8">
        <v>7.0</v>
      </c>
      <c r="E14" s="8">
        <v>13.0</v>
      </c>
      <c r="F14" s="8">
        <v>145.0</v>
      </c>
      <c r="G14" s="1" t="s">
        <v>90</v>
      </c>
      <c r="H14" s="1" t="str">
        <f t="shared" si="1"/>
        <v>Ryan</v>
      </c>
      <c r="I14" s="1" t="str">
        <f t="shared" si="2"/>
        <v>Succop</v>
      </c>
      <c r="J14" s="1" t="str">
        <f t="shared" si="3"/>
        <v>#N/A</v>
      </c>
      <c r="K14" s="1" t="str">
        <f>IFERROR(VLOOKUP($J14,Players!$D:$E,2,FALSE),VLOOKUP($G14,Players!A:E,5,FALSE))</f>
        <v>K</v>
      </c>
    </row>
    <row r="15" ht="15.75" customHeight="1">
      <c r="A15" s="1">
        <v>2021.0</v>
      </c>
      <c r="B15" s="1" t="s">
        <v>33</v>
      </c>
      <c r="C15" s="1" t="s">
        <v>13</v>
      </c>
      <c r="D15" s="8">
        <v>7.0</v>
      </c>
      <c r="E15" s="8">
        <v>14.0</v>
      </c>
      <c r="F15" s="8">
        <v>168.0</v>
      </c>
      <c r="G15" s="1" t="s">
        <v>91</v>
      </c>
      <c r="H15" s="1" t="str">
        <f t="shared" si="1"/>
        <v>Tyrell</v>
      </c>
      <c r="I15" s="1" t="str">
        <f t="shared" si="2"/>
        <v>Williams</v>
      </c>
      <c r="J15" s="1" t="str">
        <f t="shared" si="3"/>
        <v>#N/A</v>
      </c>
      <c r="K15" s="1" t="str">
        <f>IFERROR(VLOOKUP($J15,Players!$D:$E,2,FALSE),VLOOKUP($G15,Players!A:E,5,FALSE))</f>
        <v>WR</v>
      </c>
    </row>
    <row r="16" ht="15.75" customHeight="1">
      <c r="A16" s="1">
        <v>2021.0</v>
      </c>
      <c r="B16" s="1" t="s">
        <v>33</v>
      </c>
      <c r="C16" s="1" t="s">
        <v>13</v>
      </c>
      <c r="D16" s="8">
        <v>7.0</v>
      </c>
      <c r="E16" s="8">
        <v>15.0</v>
      </c>
      <c r="F16" s="8">
        <v>169.0</v>
      </c>
      <c r="G16" s="1" t="s">
        <v>92</v>
      </c>
      <c r="H16" s="1" t="str">
        <f t="shared" si="1"/>
        <v>Devontae</v>
      </c>
      <c r="I16" s="1" t="str">
        <f t="shared" si="2"/>
        <v>Booker</v>
      </c>
      <c r="J16" s="1" t="str">
        <f t="shared" si="3"/>
        <v>#N/A</v>
      </c>
      <c r="K16" s="1" t="str">
        <f>IFERROR(VLOOKUP($J16,Players!$D:$E,2,FALSE),VLOOKUP($G16,Players!A:E,5,FALSE))</f>
        <v>#N/A</v>
      </c>
    </row>
    <row r="17" ht="15.75" customHeight="1">
      <c r="A17" s="1">
        <v>2021.0</v>
      </c>
      <c r="B17" s="1" t="s">
        <v>40</v>
      </c>
      <c r="C17" s="1" t="s">
        <v>19</v>
      </c>
      <c r="D17" s="8">
        <v>11.0</v>
      </c>
      <c r="E17" s="8">
        <v>1.0</v>
      </c>
      <c r="F17" s="8">
        <v>2.0</v>
      </c>
      <c r="G17" s="1" t="s">
        <v>93</v>
      </c>
      <c r="H17" s="1" t="str">
        <f t="shared" si="1"/>
        <v>Dalvin</v>
      </c>
      <c r="I17" s="1" t="str">
        <f t="shared" si="2"/>
        <v>Cook</v>
      </c>
      <c r="J17" s="1" t="str">
        <f t="shared" si="3"/>
        <v>#N/A</v>
      </c>
      <c r="K17" s="1" t="str">
        <f>IFERROR(VLOOKUP($J17,Players!$D:$E,2,FALSE),VLOOKUP($G17,Players!A:E,5,FALSE))</f>
        <v>RB</v>
      </c>
    </row>
    <row r="18" ht="15.75" customHeight="1">
      <c r="A18" s="1">
        <v>2021.0</v>
      </c>
      <c r="B18" s="1" t="s">
        <v>40</v>
      </c>
      <c r="C18" s="1" t="s">
        <v>19</v>
      </c>
      <c r="D18" s="8">
        <v>11.0</v>
      </c>
      <c r="E18" s="8">
        <v>2.0</v>
      </c>
      <c r="F18" s="8">
        <v>23.0</v>
      </c>
      <c r="G18" s="1" t="s">
        <v>94</v>
      </c>
      <c r="H18" s="1" t="str">
        <f t="shared" si="1"/>
        <v>Joe</v>
      </c>
      <c r="I18" s="1" t="str">
        <f t="shared" si="2"/>
        <v>Mixon</v>
      </c>
      <c r="J18" s="1" t="str">
        <f t="shared" si="3"/>
        <v>#N/A</v>
      </c>
      <c r="K18" s="1" t="str">
        <f>IFERROR(VLOOKUP($J18,Players!$D:$E,2,FALSE),VLOOKUP($G18,Players!A:E,5,FALSE))</f>
        <v>RB</v>
      </c>
    </row>
    <row r="19" ht="15.75" customHeight="1">
      <c r="A19" s="1">
        <v>2021.0</v>
      </c>
      <c r="B19" s="1" t="s">
        <v>40</v>
      </c>
      <c r="C19" s="1" t="s">
        <v>19</v>
      </c>
      <c r="D19" s="8">
        <v>11.0</v>
      </c>
      <c r="E19" s="8">
        <v>3.0</v>
      </c>
      <c r="F19" s="8">
        <v>26.0</v>
      </c>
      <c r="G19" s="1" t="s">
        <v>95</v>
      </c>
      <c r="H19" s="1" t="str">
        <f t="shared" si="1"/>
        <v>Allen</v>
      </c>
      <c r="I19" s="1" t="str">
        <f t="shared" si="2"/>
        <v>Robinson II</v>
      </c>
      <c r="J19" s="1" t="str">
        <f t="shared" si="3"/>
        <v>#N/A</v>
      </c>
      <c r="K19" s="1" t="str">
        <f>IFERROR(VLOOKUP($J19,Players!$D:$E,2,FALSE),VLOOKUP($G19,Players!A:E,5,FALSE))</f>
        <v>#N/A</v>
      </c>
    </row>
    <row r="20" ht="15.75" customHeight="1">
      <c r="A20" s="1">
        <v>2021.0</v>
      </c>
      <c r="B20" s="1" t="s">
        <v>40</v>
      </c>
      <c r="C20" s="1" t="s">
        <v>19</v>
      </c>
      <c r="D20" s="8">
        <v>11.0</v>
      </c>
      <c r="E20" s="8">
        <v>4.0</v>
      </c>
      <c r="F20" s="8">
        <v>47.0</v>
      </c>
      <c r="G20" s="1" t="s">
        <v>96</v>
      </c>
      <c r="H20" s="1" t="str">
        <f t="shared" si="1"/>
        <v>Julio</v>
      </c>
      <c r="I20" s="1" t="str">
        <f t="shared" si="2"/>
        <v>Jones</v>
      </c>
      <c r="J20" s="1" t="str">
        <f t="shared" si="3"/>
        <v>#N/A</v>
      </c>
      <c r="K20" s="1" t="str">
        <f>IFERROR(VLOOKUP($J20,Players!$D:$E,2,FALSE),VLOOKUP($G20,Players!A:E,5,FALSE))</f>
        <v>WR</v>
      </c>
    </row>
    <row r="21" ht="15.75" customHeight="1">
      <c r="A21" s="1">
        <v>2021.0</v>
      </c>
      <c r="B21" s="1" t="s">
        <v>40</v>
      </c>
      <c r="C21" s="1" t="s">
        <v>19</v>
      </c>
      <c r="D21" s="8">
        <v>11.0</v>
      </c>
      <c r="E21" s="8">
        <v>5.0</v>
      </c>
      <c r="F21" s="8">
        <v>50.0</v>
      </c>
      <c r="G21" s="1" t="s">
        <v>97</v>
      </c>
      <c r="H21" s="1" t="str">
        <f t="shared" si="1"/>
        <v>Josh</v>
      </c>
      <c r="I21" s="1" t="str">
        <f t="shared" si="2"/>
        <v>Jacobs</v>
      </c>
      <c r="J21" s="1" t="str">
        <f t="shared" si="3"/>
        <v>#N/A</v>
      </c>
      <c r="K21" s="1" t="str">
        <f>IFERROR(VLOOKUP($J21,Players!$D:$E,2,FALSE),VLOOKUP($G21,Players!A:E,5,FALSE))</f>
        <v>RB</v>
      </c>
    </row>
    <row r="22" ht="15.75" customHeight="1">
      <c r="A22" s="1">
        <v>2021.0</v>
      </c>
      <c r="B22" s="1" t="s">
        <v>40</v>
      </c>
      <c r="C22" s="1" t="s">
        <v>19</v>
      </c>
      <c r="D22" s="8">
        <v>11.0</v>
      </c>
      <c r="E22" s="8">
        <v>6.0</v>
      </c>
      <c r="F22" s="8">
        <v>71.0</v>
      </c>
      <c r="G22" s="1" t="s">
        <v>98</v>
      </c>
      <c r="H22" s="1" t="str">
        <f t="shared" si="1"/>
        <v>Deebo</v>
      </c>
      <c r="I22" s="1" t="str">
        <f t="shared" si="2"/>
        <v>Samuel</v>
      </c>
      <c r="J22" s="1" t="str">
        <f t="shared" si="3"/>
        <v>#N/A</v>
      </c>
      <c r="K22" s="1" t="str">
        <f>IFERROR(VLOOKUP($J22,Players!$D:$E,2,FALSE),VLOOKUP($G22,Players!A:E,5,FALSE))</f>
        <v>WR</v>
      </c>
    </row>
    <row r="23" ht="15.75" customHeight="1">
      <c r="A23" s="1">
        <v>2021.0</v>
      </c>
      <c r="B23" s="1" t="s">
        <v>40</v>
      </c>
      <c r="C23" s="1" t="s">
        <v>19</v>
      </c>
      <c r="D23" s="8">
        <v>11.0</v>
      </c>
      <c r="E23" s="8">
        <v>7.0</v>
      </c>
      <c r="F23" s="8">
        <v>74.0</v>
      </c>
      <c r="G23" s="1" t="s">
        <v>99</v>
      </c>
      <c r="H23" s="1" t="str">
        <f t="shared" si="1"/>
        <v>Robbie</v>
      </c>
      <c r="I23" s="1" t="str">
        <f t="shared" si="2"/>
        <v>Anderson</v>
      </c>
      <c r="J23" s="1" t="str">
        <f t="shared" si="3"/>
        <v>#N/A</v>
      </c>
      <c r="K23" s="1" t="str">
        <f>IFERROR(VLOOKUP($J23,Players!$D:$E,2,FALSE),VLOOKUP($G23,Players!A:E,5,FALSE))</f>
        <v>WR</v>
      </c>
    </row>
    <row r="24" ht="15.75" customHeight="1">
      <c r="A24" s="1">
        <v>2021.0</v>
      </c>
      <c r="B24" s="1" t="s">
        <v>40</v>
      </c>
      <c r="C24" s="1" t="s">
        <v>19</v>
      </c>
      <c r="D24" s="8">
        <v>11.0</v>
      </c>
      <c r="E24" s="8">
        <v>8.0</v>
      </c>
      <c r="F24" s="8">
        <v>95.0</v>
      </c>
      <c r="G24" s="1" t="s">
        <v>100</v>
      </c>
      <c r="H24" s="1" t="str">
        <f t="shared" si="1"/>
        <v>Trey</v>
      </c>
      <c r="I24" s="1" t="str">
        <f t="shared" si="2"/>
        <v>Lance</v>
      </c>
      <c r="J24" s="1" t="str">
        <f t="shared" si="3"/>
        <v>#N/A</v>
      </c>
      <c r="K24" s="1" t="str">
        <f>IFERROR(VLOOKUP($J24,Players!$D:$E,2,FALSE),VLOOKUP($G24,Players!A:E,5,FALSE))</f>
        <v>QB</v>
      </c>
    </row>
    <row r="25" ht="15.75" customHeight="1">
      <c r="A25" s="1">
        <v>2021.0</v>
      </c>
      <c r="B25" s="1" t="s">
        <v>40</v>
      </c>
      <c r="C25" s="1" t="s">
        <v>19</v>
      </c>
      <c r="D25" s="8">
        <v>11.0</v>
      </c>
      <c r="E25" s="8">
        <v>9.0</v>
      </c>
      <c r="F25" s="8">
        <v>98.0</v>
      </c>
      <c r="G25" s="1" t="s">
        <v>101</v>
      </c>
      <c r="H25" s="1" t="str">
        <f t="shared" si="1"/>
        <v>Tyler</v>
      </c>
      <c r="I25" s="1" t="str">
        <f t="shared" si="2"/>
        <v>Higbee</v>
      </c>
      <c r="J25" s="1" t="str">
        <f t="shared" si="3"/>
        <v>#N/A</v>
      </c>
      <c r="K25" s="1" t="str">
        <f>IFERROR(VLOOKUP($J25,Players!$D:$E,2,FALSE),VLOOKUP($G25,Players!A:E,5,FALSE))</f>
        <v>TE</v>
      </c>
    </row>
    <row r="26" ht="15.75" customHeight="1">
      <c r="A26" s="1">
        <v>2021.0</v>
      </c>
      <c r="B26" s="1" t="s">
        <v>40</v>
      </c>
      <c r="C26" s="1" t="s">
        <v>19</v>
      </c>
      <c r="D26" s="8">
        <v>11.0</v>
      </c>
      <c r="E26" s="8">
        <v>10.0</v>
      </c>
      <c r="F26" s="8">
        <v>119.0</v>
      </c>
      <c r="G26" s="1" t="s">
        <v>102</v>
      </c>
      <c r="H26" s="1" t="str">
        <f t="shared" si="1"/>
        <v>Nyheim</v>
      </c>
      <c r="I26" s="1" t="str">
        <f t="shared" si="2"/>
        <v>Hines</v>
      </c>
      <c r="J26" s="1" t="str">
        <f t="shared" si="3"/>
        <v>#N/A</v>
      </c>
      <c r="K26" s="1" t="str">
        <f>IFERROR(VLOOKUP($J26,Players!$D:$E,2,FALSE),VLOOKUP($G26,Players!A:E,5,FALSE))</f>
        <v>RB</v>
      </c>
    </row>
    <row r="27" ht="15.75" customHeight="1">
      <c r="A27" s="1">
        <v>2021.0</v>
      </c>
      <c r="B27" s="1" t="s">
        <v>40</v>
      </c>
      <c r="C27" s="1" t="s">
        <v>19</v>
      </c>
      <c r="D27" s="8">
        <v>11.0</v>
      </c>
      <c r="E27" s="8">
        <v>11.0</v>
      </c>
      <c r="F27" s="8">
        <v>122.0</v>
      </c>
      <c r="G27" s="1" t="s">
        <v>103</v>
      </c>
      <c r="H27" s="1" t="str">
        <f t="shared" si="1"/>
        <v>Cole</v>
      </c>
      <c r="I27" s="1" t="str">
        <f t="shared" si="2"/>
        <v>Beasley</v>
      </c>
      <c r="J27" s="1" t="str">
        <f t="shared" si="3"/>
        <v>#N/A</v>
      </c>
      <c r="K27" s="1" t="str">
        <f>IFERROR(VLOOKUP($J27,Players!$D:$E,2,FALSE),VLOOKUP($G27,Players!A:E,5,FALSE))</f>
        <v>WR</v>
      </c>
    </row>
    <row r="28" ht="15.75" customHeight="1">
      <c r="A28" s="1">
        <v>2021.0</v>
      </c>
      <c r="B28" s="1" t="s">
        <v>40</v>
      </c>
      <c r="C28" s="1" t="s">
        <v>19</v>
      </c>
      <c r="D28" s="8">
        <v>11.0</v>
      </c>
      <c r="E28" s="8">
        <v>12.0</v>
      </c>
      <c r="F28" s="8">
        <v>143.0</v>
      </c>
      <c r="G28" s="1" t="s">
        <v>104</v>
      </c>
      <c r="H28" s="1" t="str">
        <f t="shared" si="1"/>
        <v>Parris</v>
      </c>
      <c r="I28" s="1" t="str">
        <f t="shared" si="2"/>
        <v>Campbell</v>
      </c>
      <c r="J28" s="1" t="str">
        <f t="shared" si="3"/>
        <v>#N/A</v>
      </c>
      <c r="K28" s="1" t="str">
        <f>IFERROR(VLOOKUP($J28,Players!$D:$E,2,FALSE),VLOOKUP($G28,Players!A:E,5,FALSE))</f>
        <v>WR</v>
      </c>
    </row>
    <row r="29" ht="15.75" customHeight="1">
      <c r="A29" s="1">
        <v>2021.0</v>
      </c>
      <c r="B29" s="1" t="s">
        <v>40</v>
      </c>
      <c r="C29" s="1" t="s">
        <v>19</v>
      </c>
      <c r="D29" s="8">
        <v>11.0</v>
      </c>
      <c r="E29" s="8">
        <v>13.0</v>
      </c>
      <c r="F29" s="8">
        <v>146.0</v>
      </c>
      <c r="G29" s="1" t="s">
        <v>105</v>
      </c>
      <c r="H29" s="1" t="str">
        <f t="shared" si="1"/>
        <v>#VALUE!</v>
      </c>
      <c r="I29" s="1" t="str">
        <f t="shared" si="2"/>
        <v>#VALUE!</v>
      </c>
      <c r="J29" s="1" t="str">
        <f t="shared" si="3"/>
        <v>#N/A</v>
      </c>
      <c r="K29" s="1" t="str">
        <f>IFERROR(VLOOKUP($J29,Players!$D:$E,2,FALSE),VLOOKUP($G29,Players!A:E,5,FALSE))</f>
        <v>DEF</v>
      </c>
    </row>
    <row r="30" ht="15.75" customHeight="1">
      <c r="A30" s="1">
        <v>2021.0</v>
      </c>
      <c r="B30" s="1" t="s">
        <v>40</v>
      </c>
      <c r="C30" s="1" t="s">
        <v>19</v>
      </c>
      <c r="D30" s="8">
        <v>11.0</v>
      </c>
      <c r="E30" s="8">
        <v>14.0</v>
      </c>
      <c r="F30" s="8">
        <v>167.0</v>
      </c>
      <c r="G30" s="1" t="s">
        <v>106</v>
      </c>
      <c r="H30" s="1" t="str">
        <f t="shared" si="1"/>
        <v>Matt</v>
      </c>
      <c r="I30" s="1" t="str">
        <f t="shared" si="2"/>
        <v>Gay</v>
      </c>
      <c r="J30" s="1" t="str">
        <f t="shared" si="3"/>
        <v>#N/A</v>
      </c>
      <c r="K30" s="1" t="str">
        <f>IFERROR(VLOOKUP($J30,Players!$D:$E,2,FALSE),VLOOKUP($G30,Players!A:E,5,FALSE))</f>
        <v>K</v>
      </c>
    </row>
    <row r="31" ht="15.75" customHeight="1">
      <c r="A31" s="1">
        <v>2021.0</v>
      </c>
      <c r="B31" s="1" t="s">
        <v>40</v>
      </c>
      <c r="C31" s="1" t="s">
        <v>19</v>
      </c>
      <c r="D31" s="8">
        <v>11.0</v>
      </c>
      <c r="E31" s="8">
        <v>15.0</v>
      </c>
      <c r="F31" s="8">
        <v>170.0</v>
      </c>
      <c r="G31" s="1" t="s">
        <v>107</v>
      </c>
      <c r="H31" s="1" t="str">
        <f t="shared" si="1"/>
        <v>Matt</v>
      </c>
      <c r="I31" s="1" t="str">
        <f t="shared" si="2"/>
        <v>Ryan</v>
      </c>
      <c r="J31" s="1" t="str">
        <f t="shared" si="3"/>
        <v>#N/A</v>
      </c>
      <c r="K31" s="1" t="str">
        <f>IFERROR(VLOOKUP($J31,Players!$D:$E,2,FALSE),VLOOKUP($G31,Players!A:E,5,FALSE))</f>
        <v>#N/A</v>
      </c>
    </row>
    <row r="32" ht="15.75" customHeight="1">
      <c r="A32" s="1">
        <v>2021.0</v>
      </c>
      <c r="B32" s="1" t="s">
        <v>27</v>
      </c>
      <c r="C32" s="1" t="s">
        <v>23</v>
      </c>
      <c r="D32" s="8">
        <v>4.0</v>
      </c>
      <c r="E32" s="8">
        <v>1.0</v>
      </c>
      <c r="F32" s="8">
        <v>3.0</v>
      </c>
      <c r="G32" s="1" t="s">
        <v>108</v>
      </c>
      <c r="H32" s="1" t="str">
        <f t="shared" si="1"/>
        <v>Alvin</v>
      </c>
      <c r="I32" s="1" t="str">
        <f t="shared" si="2"/>
        <v>Kamara</v>
      </c>
      <c r="J32" s="1" t="str">
        <f t="shared" si="3"/>
        <v>#N/A</v>
      </c>
      <c r="K32" s="1" t="str">
        <f>IFERROR(VLOOKUP($J32,Players!$D:$E,2,FALSE),VLOOKUP($G32,Players!A:E,5,FALSE))</f>
        <v>RB</v>
      </c>
    </row>
    <row r="33" ht="15.75" customHeight="1">
      <c r="A33" s="1">
        <v>2021.0</v>
      </c>
      <c r="B33" s="1" t="s">
        <v>27</v>
      </c>
      <c r="C33" s="1" t="s">
        <v>23</v>
      </c>
      <c r="D33" s="8">
        <v>4.0</v>
      </c>
      <c r="E33" s="8">
        <v>2.0</v>
      </c>
      <c r="F33" s="8">
        <v>22.0</v>
      </c>
      <c r="G33" s="1" t="s">
        <v>109</v>
      </c>
      <c r="H33" s="1" t="str">
        <f t="shared" si="1"/>
        <v>Antonio</v>
      </c>
      <c r="I33" s="1" t="str">
        <f t="shared" si="2"/>
        <v>Gibson</v>
      </c>
      <c r="J33" s="1" t="str">
        <f t="shared" si="3"/>
        <v>#N/A</v>
      </c>
      <c r="K33" s="1" t="str">
        <f>IFERROR(VLOOKUP($J33,Players!$D:$E,2,FALSE),VLOOKUP($G33,Players!A:E,5,FALSE))</f>
        <v>RB</v>
      </c>
    </row>
    <row r="34" ht="15.75" customHeight="1">
      <c r="A34" s="1">
        <v>2021.0</v>
      </c>
      <c r="B34" s="1" t="s">
        <v>27</v>
      </c>
      <c r="C34" s="1" t="s">
        <v>23</v>
      </c>
      <c r="D34" s="8">
        <v>4.0</v>
      </c>
      <c r="E34" s="8">
        <v>3.0</v>
      </c>
      <c r="F34" s="8">
        <v>27.0</v>
      </c>
      <c r="G34" s="1" t="s">
        <v>110</v>
      </c>
      <c r="H34" s="1" t="str">
        <f t="shared" si="1"/>
        <v>Patrick</v>
      </c>
      <c r="I34" s="1" t="str">
        <f t="shared" si="2"/>
        <v>Mahomes</v>
      </c>
      <c r="J34" s="1" t="str">
        <f t="shared" si="3"/>
        <v>#N/A</v>
      </c>
      <c r="K34" s="1" t="str">
        <f>IFERROR(VLOOKUP($J34,Players!$D:$E,2,FALSE),VLOOKUP($G34,Players!A:E,5,FALSE))</f>
        <v>QB</v>
      </c>
    </row>
    <row r="35" ht="15.75" customHeight="1">
      <c r="A35" s="1">
        <v>2021.0</v>
      </c>
      <c r="B35" s="1" t="s">
        <v>27</v>
      </c>
      <c r="C35" s="1" t="s">
        <v>23</v>
      </c>
      <c r="D35" s="8">
        <v>4.0</v>
      </c>
      <c r="E35" s="8">
        <v>4.0</v>
      </c>
      <c r="F35" s="8">
        <v>46.0</v>
      </c>
      <c r="G35" s="1" t="s">
        <v>111</v>
      </c>
      <c r="H35" s="1" t="str">
        <f t="shared" si="1"/>
        <v>DJ</v>
      </c>
      <c r="I35" s="1" t="str">
        <f t="shared" si="2"/>
        <v>Moore</v>
      </c>
      <c r="J35" s="1" t="str">
        <f t="shared" si="3"/>
        <v>#N/A</v>
      </c>
      <c r="K35" s="1" t="str">
        <f>IFERROR(VLOOKUP($J35,Players!$D:$E,2,FALSE),VLOOKUP($G35,Players!A:E,5,FALSE))</f>
        <v>#N/A</v>
      </c>
    </row>
    <row r="36" ht="15.75" customHeight="1">
      <c r="A36" s="1">
        <v>2021.0</v>
      </c>
      <c r="B36" s="1" t="s">
        <v>27</v>
      </c>
      <c r="C36" s="1" t="s">
        <v>23</v>
      </c>
      <c r="D36" s="8">
        <v>4.0</v>
      </c>
      <c r="E36" s="8">
        <v>5.0</v>
      </c>
      <c r="F36" s="8">
        <v>51.0</v>
      </c>
      <c r="G36" s="1" t="s">
        <v>112</v>
      </c>
      <c r="H36" s="1" t="str">
        <f t="shared" si="1"/>
        <v>Adam</v>
      </c>
      <c r="I36" s="1" t="str">
        <f t="shared" si="2"/>
        <v>Thielen</v>
      </c>
      <c r="J36" s="1" t="str">
        <f t="shared" si="3"/>
        <v>#N/A</v>
      </c>
      <c r="K36" s="1" t="str">
        <f>IFERROR(VLOOKUP($J36,Players!$D:$E,2,FALSE),VLOOKUP($G36,Players!A:E,5,FALSE))</f>
        <v>WR</v>
      </c>
    </row>
    <row r="37" ht="15.75" customHeight="1">
      <c r="A37" s="1">
        <v>2021.0</v>
      </c>
      <c r="B37" s="1" t="s">
        <v>27</v>
      </c>
      <c r="C37" s="1" t="s">
        <v>23</v>
      </c>
      <c r="D37" s="8">
        <v>4.0</v>
      </c>
      <c r="E37" s="8">
        <v>6.0</v>
      </c>
      <c r="F37" s="8">
        <v>70.0</v>
      </c>
      <c r="G37" s="1" t="s">
        <v>113</v>
      </c>
      <c r="H37" s="1" t="str">
        <f t="shared" si="1"/>
        <v>Kareem</v>
      </c>
      <c r="I37" s="1" t="str">
        <f t="shared" si="2"/>
        <v>Hunt</v>
      </c>
      <c r="J37" s="1" t="str">
        <f t="shared" si="3"/>
        <v>#N/A</v>
      </c>
      <c r="K37" s="1" t="str">
        <f>IFERROR(VLOOKUP($J37,Players!$D:$E,2,FALSE),VLOOKUP($G37,Players!A:E,5,FALSE))</f>
        <v>RB</v>
      </c>
    </row>
    <row r="38" ht="15.75" customHeight="1">
      <c r="A38" s="1">
        <v>2021.0</v>
      </c>
      <c r="B38" s="1" t="s">
        <v>27</v>
      </c>
      <c r="C38" s="1" t="s">
        <v>23</v>
      </c>
      <c r="D38" s="8">
        <v>4.0</v>
      </c>
      <c r="E38" s="8">
        <v>7.0</v>
      </c>
      <c r="F38" s="8">
        <v>75.0</v>
      </c>
      <c r="G38" s="1" t="s">
        <v>114</v>
      </c>
      <c r="H38" s="1" t="str">
        <f t="shared" si="1"/>
        <v>Tee</v>
      </c>
      <c r="I38" s="1" t="str">
        <f t="shared" si="2"/>
        <v>Higgins</v>
      </c>
      <c r="J38" s="1" t="str">
        <f t="shared" si="3"/>
        <v>#N/A</v>
      </c>
      <c r="K38" s="1" t="str">
        <f>IFERROR(VLOOKUP($J38,Players!$D:$E,2,FALSE),VLOOKUP($G38,Players!A:E,5,FALSE))</f>
        <v>WR</v>
      </c>
    </row>
    <row r="39" ht="15.75" customHeight="1">
      <c r="A39" s="1">
        <v>2021.0</v>
      </c>
      <c r="B39" s="1" t="s">
        <v>27</v>
      </c>
      <c r="C39" s="1" t="s">
        <v>23</v>
      </c>
      <c r="D39" s="8">
        <v>4.0</v>
      </c>
      <c r="E39" s="8">
        <v>8.0</v>
      </c>
      <c r="F39" s="8">
        <v>94.0</v>
      </c>
      <c r="G39" s="1" t="s">
        <v>115</v>
      </c>
      <c r="H39" s="1" t="str">
        <f t="shared" si="1"/>
        <v>Tampa</v>
      </c>
      <c r="I39" s="1" t="str">
        <f t="shared" si="2"/>
        <v>Bay</v>
      </c>
      <c r="J39" s="1" t="str">
        <f t="shared" si="3"/>
        <v>#N/A</v>
      </c>
      <c r="K39" s="1" t="str">
        <f>IFERROR(VLOOKUP($J39,Players!$D:$E,2,FALSE),VLOOKUP($G39,Players!A:E,5,FALSE))</f>
        <v>DEF</v>
      </c>
    </row>
    <row r="40" ht="15.75" customHeight="1">
      <c r="A40" s="1">
        <v>2021.0</v>
      </c>
      <c r="B40" s="1" t="s">
        <v>27</v>
      </c>
      <c r="C40" s="1" t="s">
        <v>23</v>
      </c>
      <c r="D40" s="8">
        <v>4.0</v>
      </c>
      <c r="E40" s="8">
        <v>9.0</v>
      </c>
      <c r="F40" s="8">
        <v>99.0</v>
      </c>
      <c r="G40" s="1" t="s">
        <v>116</v>
      </c>
      <c r="H40" s="1" t="str">
        <f t="shared" si="1"/>
        <v>Marquez</v>
      </c>
      <c r="I40" s="1" t="str">
        <f t="shared" si="2"/>
        <v>Callaway</v>
      </c>
      <c r="J40" s="1" t="str">
        <f t="shared" si="3"/>
        <v>#N/A</v>
      </c>
      <c r="K40" s="1" t="str">
        <f>IFERROR(VLOOKUP($J40,Players!$D:$E,2,FALSE),VLOOKUP($G40,Players!A:E,5,FALSE))</f>
        <v>WR</v>
      </c>
    </row>
    <row r="41" ht="15.75" customHeight="1">
      <c r="A41" s="1">
        <v>2021.0</v>
      </c>
      <c r="B41" s="1" t="s">
        <v>27</v>
      </c>
      <c r="C41" s="1" t="s">
        <v>23</v>
      </c>
      <c r="D41" s="8">
        <v>4.0</v>
      </c>
      <c r="E41" s="8">
        <v>10.0</v>
      </c>
      <c r="F41" s="8">
        <v>118.0</v>
      </c>
      <c r="G41" s="1" t="s">
        <v>117</v>
      </c>
      <c r="H41" s="1" t="str">
        <f t="shared" si="1"/>
        <v>Jarvis</v>
      </c>
      <c r="I41" s="1" t="str">
        <f t="shared" si="2"/>
        <v>Landry</v>
      </c>
      <c r="J41" s="1" t="str">
        <f t="shared" si="3"/>
        <v>#N/A</v>
      </c>
      <c r="K41" s="1" t="str">
        <f>IFERROR(VLOOKUP($J41,Players!$D:$E,2,FALSE),VLOOKUP($G41,Players!A:E,5,FALSE))</f>
        <v>WR</v>
      </c>
    </row>
    <row r="42" ht="15.75" customHeight="1">
      <c r="A42" s="1">
        <v>2021.0</v>
      </c>
      <c r="B42" s="1" t="s">
        <v>27</v>
      </c>
      <c r="C42" s="1" t="s">
        <v>23</v>
      </c>
      <c r="D42" s="8">
        <v>4.0</v>
      </c>
      <c r="E42" s="8">
        <v>11.0</v>
      </c>
      <c r="F42" s="8">
        <v>123.0</v>
      </c>
      <c r="G42" s="1" t="s">
        <v>118</v>
      </c>
      <c r="H42" s="1" t="str">
        <f t="shared" si="1"/>
        <v>Mike</v>
      </c>
      <c r="I42" s="1" t="str">
        <f t="shared" si="2"/>
        <v>Gesicki</v>
      </c>
      <c r="J42" s="1" t="str">
        <f t="shared" si="3"/>
        <v>#N/A</v>
      </c>
      <c r="K42" s="1" t="str">
        <f>IFERROR(VLOOKUP($J42,Players!$D:$E,2,FALSE),VLOOKUP($G42,Players!A:E,5,FALSE))</f>
        <v>TE</v>
      </c>
    </row>
    <row r="43" ht="15.75" customHeight="1">
      <c r="A43" s="1">
        <v>2021.0</v>
      </c>
      <c r="B43" s="1" t="s">
        <v>27</v>
      </c>
      <c r="C43" s="1" t="s">
        <v>23</v>
      </c>
      <c r="D43" s="8">
        <v>4.0</v>
      </c>
      <c r="E43" s="8">
        <v>12.0</v>
      </c>
      <c r="F43" s="8">
        <v>142.0</v>
      </c>
      <c r="G43" s="1" t="s">
        <v>119</v>
      </c>
      <c r="H43" s="1" t="str">
        <f t="shared" si="1"/>
        <v>Marquise</v>
      </c>
      <c r="I43" s="1" t="str">
        <f t="shared" si="2"/>
        <v>Brown</v>
      </c>
      <c r="J43" s="1" t="str">
        <f t="shared" si="3"/>
        <v>#N/A</v>
      </c>
      <c r="K43" s="1" t="str">
        <f>IFERROR(VLOOKUP($J43,Players!$D:$E,2,FALSE),VLOOKUP($G43,Players!A:E,5,FALSE))</f>
        <v>WR</v>
      </c>
    </row>
    <row r="44" ht="15.75" customHeight="1">
      <c r="A44" s="1">
        <v>2021.0</v>
      </c>
      <c r="B44" s="1" t="s">
        <v>27</v>
      </c>
      <c r="C44" s="1" t="s">
        <v>23</v>
      </c>
      <c r="D44" s="8">
        <v>4.0</v>
      </c>
      <c r="E44" s="8">
        <v>13.0</v>
      </c>
      <c r="F44" s="8">
        <v>147.0</v>
      </c>
      <c r="G44" s="1" t="s">
        <v>120</v>
      </c>
      <c r="H44" s="1" t="str">
        <f t="shared" si="1"/>
        <v>JD</v>
      </c>
      <c r="I44" s="1" t="str">
        <f t="shared" si="2"/>
        <v>McKissic</v>
      </c>
      <c r="J44" s="1" t="str">
        <f t="shared" si="3"/>
        <v>#N/A</v>
      </c>
      <c r="K44" s="1" t="str">
        <f>IFERROR(VLOOKUP($J44,Players!$D:$E,2,FALSE),VLOOKUP($G44,Players!A:E,5,FALSE))</f>
        <v>RB</v>
      </c>
    </row>
    <row r="45" ht="15.75" customHeight="1">
      <c r="A45" s="1">
        <v>2021.0</v>
      </c>
      <c r="B45" s="1" t="s">
        <v>27</v>
      </c>
      <c r="C45" s="1" t="s">
        <v>23</v>
      </c>
      <c r="D45" s="8">
        <v>4.0</v>
      </c>
      <c r="E45" s="8">
        <v>14.0</v>
      </c>
      <c r="F45" s="8">
        <v>166.0</v>
      </c>
      <c r="G45" s="1" t="s">
        <v>121</v>
      </c>
      <c r="H45" s="1" t="str">
        <f t="shared" si="1"/>
        <v>Jalen</v>
      </c>
      <c r="I45" s="1" t="str">
        <f t="shared" si="2"/>
        <v>Reagor</v>
      </c>
      <c r="J45" s="1" t="str">
        <f t="shared" si="3"/>
        <v>#N/A</v>
      </c>
      <c r="K45" s="1" t="str">
        <f>IFERROR(VLOOKUP($J45,Players!$D:$E,2,FALSE),VLOOKUP($G45,Players!A:E,5,FALSE))</f>
        <v>WR</v>
      </c>
    </row>
    <row r="46" ht="15.75" customHeight="1">
      <c r="A46" s="1">
        <v>2021.0</v>
      </c>
      <c r="B46" s="1" t="s">
        <v>27</v>
      </c>
      <c r="C46" s="1" t="s">
        <v>23</v>
      </c>
      <c r="D46" s="8">
        <v>4.0</v>
      </c>
      <c r="E46" s="8">
        <v>15.0</v>
      </c>
      <c r="F46" s="8">
        <v>171.0</v>
      </c>
      <c r="G46" s="1" t="s">
        <v>122</v>
      </c>
      <c r="H46" s="1" t="str">
        <f t="shared" si="1"/>
        <v>Jason</v>
      </c>
      <c r="I46" s="1" t="str">
        <f t="shared" si="2"/>
        <v>Sanders</v>
      </c>
      <c r="J46" s="1" t="str">
        <f t="shared" si="3"/>
        <v>#N/A</v>
      </c>
      <c r="K46" s="1" t="str">
        <f>IFERROR(VLOOKUP($J46,Players!$D:$E,2,FALSE),VLOOKUP($G46,Players!A:E,5,FALSE))</f>
        <v>K</v>
      </c>
    </row>
    <row r="47" ht="15.75" customHeight="1">
      <c r="A47" s="1">
        <v>2021.0</v>
      </c>
      <c r="B47" s="1" t="s">
        <v>29</v>
      </c>
      <c r="C47" s="1" t="s">
        <v>20</v>
      </c>
      <c r="D47" s="8">
        <v>5.0</v>
      </c>
      <c r="E47" s="8">
        <v>1.0</v>
      </c>
      <c r="F47" s="8">
        <v>4.0</v>
      </c>
      <c r="G47" s="1" t="s">
        <v>123</v>
      </c>
      <c r="H47" s="1" t="str">
        <f t="shared" si="1"/>
        <v>Ezekiel</v>
      </c>
      <c r="I47" s="1" t="str">
        <f t="shared" si="2"/>
        <v>Elliott</v>
      </c>
      <c r="J47" s="1" t="str">
        <f t="shared" si="3"/>
        <v>#N/A</v>
      </c>
      <c r="K47" s="1" t="str">
        <f>IFERROR(VLOOKUP($J47,Players!$D:$E,2,FALSE),VLOOKUP($G47,Players!A:E,5,FALSE))</f>
        <v>RB</v>
      </c>
    </row>
    <row r="48" ht="15.75" customHeight="1">
      <c r="A48" s="1">
        <v>2021.0</v>
      </c>
      <c r="B48" s="1" t="s">
        <v>29</v>
      </c>
      <c r="C48" s="1" t="s">
        <v>20</v>
      </c>
      <c r="D48" s="8">
        <v>5.0</v>
      </c>
      <c r="E48" s="8">
        <v>2.0</v>
      </c>
      <c r="F48" s="8">
        <v>21.0</v>
      </c>
      <c r="G48" s="1" t="s">
        <v>124</v>
      </c>
      <c r="H48" s="1" t="str">
        <f t="shared" si="1"/>
        <v>Justin</v>
      </c>
      <c r="I48" s="1" t="str">
        <f t="shared" si="2"/>
        <v>Jefferson</v>
      </c>
      <c r="J48" s="1" t="str">
        <f t="shared" si="3"/>
        <v>#N/A</v>
      </c>
      <c r="K48" s="1" t="str">
        <f>IFERROR(VLOOKUP($J48,Players!$D:$E,2,FALSE),VLOOKUP($G48,Players!A:E,5,FALSE))</f>
        <v>WR</v>
      </c>
    </row>
    <row r="49" ht="15.75" customHeight="1">
      <c r="A49" s="1">
        <v>2021.0</v>
      </c>
      <c r="B49" s="1" t="s">
        <v>29</v>
      </c>
      <c r="C49" s="1" t="s">
        <v>20</v>
      </c>
      <c r="D49" s="8">
        <v>5.0</v>
      </c>
      <c r="E49" s="8">
        <v>3.0</v>
      </c>
      <c r="F49" s="8">
        <v>28.0</v>
      </c>
      <c r="G49" s="1" t="s">
        <v>125</v>
      </c>
      <c r="H49" s="1" t="str">
        <f t="shared" si="1"/>
        <v>Terry</v>
      </c>
      <c r="I49" s="1" t="str">
        <f t="shared" si="2"/>
        <v>McLaurin</v>
      </c>
      <c r="J49" s="1" t="str">
        <f t="shared" si="3"/>
        <v>#N/A</v>
      </c>
      <c r="K49" s="1" t="str">
        <f>IFERROR(VLOOKUP($J49,Players!$D:$E,2,FALSE),VLOOKUP($G49,Players!A:E,5,FALSE))</f>
        <v>WR</v>
      </c>
    </row>
    <row r="50" ht="15.75" customHeight="1">
      <c r="A50" s="1">
        <v>2021.0</v>
      </c>
      <c r="B50" s="1" t="s">
        <v>29</v>
      </c>
      <c r="C50" s="1" t="s">
        <v>20</v>
      </c>
      <c r="D50" s="8">
        <v>5.0</v>
      </c>
      <c r="E50" s="8">
        <v>4.0</v>
      </c>
      <c r="F50" s="8">
        <v>45.0</v>
      </c>
      <c r="G50" s="1" t="s">
        <v>126</v>
      </c>
      <c r="H50" s="1" t="str">
        <f t="shared" si="1"/>
        <v>Kyle</v>
      </c>
      <c r="I50" s="1" t="str">
        <f t="shared" si="2"/>
        <v>Pitts</v>
      </c>
      <c r="J50" s="1" t="str">
        <f t="shared" si="3"/>
        <v>#N/A</v>
      </c>
      <c r="K50" s="1" t="str">
        <f>IFERROR(VLOOKUP($J50,Players!$D:$E,2,FALSE),VLOOKUP($G50,Players!A:E,5,FALSE))</f>
        <v>TE</v>
      </c>
    </row>
    <row r="51" ht="15.75" customHeight="1">
      <c r="A51" s="1">
        <v>2021.0</v>
      </c>
      <c r="B51" s="1" t="s">
        <v>29</v>
      </c>
      <c r="C51" s="1" t="s">
        <v>20</v>
      </c>
      <c r="D51" s="8">
        <v>5.0</v>
      </c>
      <c r="E51" s="8">
        <v>5.0</v>
      </c>
      <c r="F51" s="8">
        <v>52.0</v>
      </c>
      <c r="G51" s="1" t="s">
        <v>127</v>
      </c>
      <c r="H51" s="1" t="str">
        <f t="shared" si="1"/>
        <v>Damien</v>
      </c>
      <c r="I51" s="1" t="str">
        <f t="shared" si="2"/>
        <v>Harris</v>
      </c>
      <c r="J51" s="1" t="str">
        <f t="shared" si="3"/>
        <v>#N/A</v>
      </c>
      <c r="K51" s="1" t="str">
        <f>IFERROR(VLOOKUP($J51,Players!$D:$E,2,FALSE),VLOOKUP($G51,Players!A:E,5,FALSE))</f>
        <v>RB</v>
      </c>
    </row>
    <row r="52" ht="15.75" customHeight="1">
      <c r="A52" s="1">
        <v>2021.0</v>
      </c>
      <c r="B52" s="1" t="s">
        <v>29</v>
      </c>
      <c r="C52" s="1" t="s">
        <v>20</v>
      </c>
      <c r="D52" s="8">
        <v>5.0</v>
      </c>
      <c r="E52" s="8">
        <v>6.0</v>
      </c>
      <c r="F52" s="8">
        <v>69.0</v>
      </c>
      <c r="G52" s="1" t="s">
        <v>128</v>
      </c>
      <c r="H52" s="1" t="str">
        <f t="shared" si="1"/>
        <v>Justin</v>
      </c>
      <c r="I52" s="1" t="str">
        <f t="shared" si="2"/>
        <v>Herbert</v>
      </c>
      <c r="J52" s="1" t="str">
        <f t="shared" si="3"/>
        <v>#N/A</v>
      </c>
      <c r="K52" s="1" t="str">
        <f>IFERROR(VLOOKUP($J52,Players!$D:$E,2,FALSE),VLOOKUP($G52,Players!A:E,5,FALSE))</f>
        <v>QB</v>
      </c>
    </row>
    <row r="53" ht="15.75" customHeight="1">
      <c r="A53" s="1">
        <v>2021.0</v>
      </c>
      <c r="B53" s="1" t="s">
        <v>29</v>
      </c>
      <c r="C53" s="1" t="s">
        <v>20</v>
      </c>
      <c r="D53" s="8">
        <v>5.0</v>
      </c>
      <c r="E53" s="8">
        <v>7.0</v>
      </c>
      <c r="F53" s="8">
        <v>76.0</v>
      </c>
      <c r="G53" s="1" t="s">
        <v>129</v>
      </c>
      <c r="H53" s="1" t="str">
        <f t="shared" si="1"/>
        <v>Trey</v>
      </c>
      <c r="I53" s="1" t="str">
        <f t="shared" si="2"/>
        <v>Sermon</v>
      </c>
      <c r="J53" s="1" t="str">
        <f t="shared" si="3"/>
        <v>#N/A</v>
      </c>
      <c r="K53" s="1" t="str">
        <f>IFERROR(VLOOKUP($J53,Players!$D:$E,2,FALSE),VLOOKUP($G53,Players!A:E,5,FALSE))</f>
        <v>RB</v>
      </c>
    </row>
    <row r="54" ht="15.75" customHeight="1">
      <c r="A54" s="1">
        <v>2021.0</v>
      </c>
      <c r="B54" s="1" t="s">
        <v>29</v>
      </c>
      <c r="C54" s="1" t="s">
        <v>20</v>
      </c>
      <c r="D54" s="8">
        <v>5.0</v>
      </c>
      <c r="E54" s="8">
        <v>8.0</v>
      </c>
      <c r="F54" s="8">
        <v>93.0</v>
      </c>
      <c r="G54" s="1" t="s">
        <v>130</v>
      </c>
      <c r="H54" s="1" t="str">
        <f t="shared" si="1"/>
        <v>Kenny</v>
      </c>
      <c r="I54" s="1" t="str">
        <f t="shared" si="2"/>
        <v>Golladay</v>
      </c>
      <c r="J54" s="1" t="str">
        <f t="shared" si="3"/>
        <v>#N/A</v>
      </c>
      <c r="K54" s="1" t="str">
        <f>IFERROR(VLOOKUP($J54,Players!$D:$E,2,FALSE),VLOOKUP($G54,Players!A:E,5,FALSE))</f>
        <v>WR</v>
      </c>
    </row>
    <row r="55" ht="15.75" customHeight="1">
      <c r="A55" s="1">
        <v>2021.0</v>
      </c>
      <c r="B55" s="1" t="s">
        <v>29</v>
      </c>
      <c r="C55" s="1" t="s">
        <v>20</v>
      </c>
      <c r="D55" s="8">
        <v>5.0</v>
      </c>
      <c r="E55" s="8">
        <v>9.0</v>
      </c>
      <c r="F55" s="8">
        <v>100.0</v>
      </c>
      <c r="G55" s="1" t="s">
        <v>131</v>
      </c>
      <c r="H55" s="1" t="str">
        <f t="shared" si="1"/>
        <v>Laviska</v>
      </c>
      <c r="I55" s="1" t="str">
        <f t="shared" si="2"/>
        <v>Shenault Jr</v>
      </c>
      <c r="J55" s="1" t="str">
        <f t="shared" si="3"/>
        <v>#N/A</v>
      </c>
      <c r="K55" s="1" t="str">
        <f>IFERROR(VLOOKUP($J55,Players!$D:$E,2,FALSE),VLOOKUP($G55,Players!A:E,5,FALSE))</f>
        <v>#N/A</v>
      </c>
    </row>
    <row r="56" ht="15.75" customHeight="1">
      <c r="A56" s="1">
        <v>2021.0</v>
      </c>
      <c r="B56" s="1" t="s">
        <v>29</v>
      </c>
      <c r="C56" s="1" t="s">
        <v>20</v>
      </c>
      <c r="D56" s="8">
        <v>5.0</v>
      </c>
      <c r="E56" s="8">
        <v>10.0</v>
      </c>
      <c r="F56" s="8">
        <v>117.0</v>
      </c>
      <c r="G56" s="1" t="s">
        <v>132</v>
      </c>
      <c r="H56" s="1" t="str">
        <f t="shared" si="1"/>
        <v>#VALUE!</v>
      </c>
      <c r="I56" s="1" t="str">
        <f t="shared" si="2"/>
        <v>#VALUE!</v>
      </c>
      <c r="J56" s="1" t="str">
        <f t="shared" si="3"/>
        <v>#N/A</v>
      </c>
      <c r="K56" s="1" t="str">
        <f>IFERROR(VLOOKUP($J56,Players!$D:$E,2,FALSE),VLOOKUP($G56,Players!A:E,5,FALSE))</f>
        <v>DEF</v>
      </c>
    </row>
    <row r="57" ht="15.75" customHeight="1">
      <c r="A57" s="1">
        <v>2021.0</v>
      </c>
      <c r="B57" s="1" t="s">
        <v>29</v>
      </c>
      <c r="C57" s="1" t="s">
        <v>20</v>
      </c>
      <c r="D57" s="8">
        <v>5.0</v>
      </c>
      <c r="E57" s="8">
        <v>11.0</v>
      </c>
      <c r="F57" s="8">
        <v>124.0</v>
      </c>
      <c r="G57" s="1" t="s">
        <v>133</v>
      </c>
      <c r="H57" s="1" t="str">
        <f t="shared" si="1"/>
        <v>David</v>
      </c>
      <c r="I57" s="1" t="str">
        <f t="shared" si="2"/>
        <v>Johnson</v>
      </c>
      <c r="J57" s="1" t="str">
        <f t="shared" si="3"/>
        <v>#N/A</v>
      </c>
      <c r="K57" s="1" t="str">
        <f>IFERROR(VLOOKUP($J57,Players!$D:$E,2,FALSE),VLOOKUP($G57,Players!A:E,5,FALSE))</f>
        <v>RB</v>
      </c>
    </row>
    <row r="58" ht="15.75" customHeight="1">
      <c r="A58" s="1">
        <v>2021.0</v>
      </c>
      <c r="B58" s="1" t="s">
        <v>29</v>
      </c>
      <c r="C58" s="1" t="s">
        <v>20</v>
      </c>
      <c r="D58" s="8">
        <v>5.0</v>
      </c>
      <c r="E58" s="8">
        <v>12.0</v>
      </c>
      <c r="F58" s="8">
        <v>141.0</v>
      </c>
      <c r="G58" s="1" t="s">
        <v>134</v>
      </c>
      <c r="H58" s="1" t="str">
        <f t="shared" si="1"/>
        <v>Jonnu</v>
      </c>
      <c r="I58" s="1" t="str">
        <f t="shared" si="2"/>
        <v>Smith</v>
      </c>
      <c r="J58" s="1" t="str">
        <f t="shared" si="3"/>
        <v>#N/A</v>
      </c>
      <c r="K58" s="1" t="str">
        <f>IFERROR(VLOOKUP($J58,Players!$D:$E,2,FALSE),VLOOKUP($G58,Players!A:E,5,FALSE))</f>
        <v>TE</v>
      </c>
    </row>
    <row r="59" ht="15.75" customHeight="1">
      <c r="A59" s="1">
        <v>2021.0</v>
      </c>
      <c r="B59" s="1" t="s">
        <v>29</v>
      </c>
      <c r="C59" s="1" t="s">
        <v>20</v>
      </c>
      <c r="D59" s="8">
        <v>5.0</v>
      </c>
      <c r="E59" s="8">
        <v>13.0</v>
      </c>
      <c r="F59" s="8">
        <v>148.0</v>
      </c>
      <c r="G59" s="1" t="s">
        <v>135</v>
      </c>
      <c r="H59" s="1" t="str">
        <f t="shared" si="1"/>
        <v>Ty</v>
      </c>
      <c r="I59" s="1" t="str">
        <f t="shared" si="2"/>
        <v>Johnson</v>
      </c>
      <c r="J59" s="1" t="str">
        <f t="shared" si="3"/>
        <v>#N/A</v>
      </c>
      <c r="K59" s="1" t="str">
        <f>IFERROR(VLOOKUP($J59,Players!$D:$E,2,FALSE),VLOOKUP($G59,Players!A:E,5,FALSE))</f>
        <v>RB</v>
      </c>
    </row>
    <row r="60" ht="15.75" customHeight="1">
      <c r="A60" s="1">
        <v>2021.0</v>
      </c>
      <c r="B60" s="1" t="s">
        <v>29</v>
      </c>
      <c r="C60" s="1" t="s">
        <v>20</v>
      </c>
      <c r="D60" s="8">
        <v>5.0</v>
      </c>
      <c r="E60" s="8">
        <v>14.0</v>
      </c>
      <c r="F60" s="8">
        <v>165.0</v>
      </c>
      <c r="G60" s="1" t="s">
        <v>136</v>
      </c>
      <c r="H60" s="1" t="str">
        <f t="shared" si="1"/>
        <v>Nelson</v>
      </c>
      <c r="I60" s="1" t="str">
        <f t="shared" si="2"/>
        <v>Agholor</v>
      </c>
      <c r="J60" s="1" t="str">
        <f t="shared" si="3"/>
        <v>#N/A</v>
      </c>
      <c r="K60" s="1" t="str">
        <f>IFERROR(VLOOKUP($J60,Players!$D:$E,2,FALSE),VLOOKUP($G60,Players!A:E,5,FALSE))</f>
        <v>WR</v>
      </c>
    </row>
    <row r="61" ht="15.75" customHeight="1">
      <c r="A61" s="1">
        <v>2021.0</v>
      </c>
      <c r="B61" s="1" t="s">
        <v>29</v>
      </c>
      <c r="C61" s="1" t="s">
        <v>20</v>
      </c>
      <c r="D61" s="8">
        <v>5.0</v>
      </c>
      <c r="E61" s="8">
        <v>15.0</v>
      </c>
      <c r="F61" s="8">
        <v>172.0</v>
      </c>
      <c r="G61" s="1" t="s">
        <v>137</v>
      </c>
      <c r="H61" s="1" t="str">
        <f t="shared" si="1"/>
        <v>Robbie</v>
      </c>
      <c r="I61" s="1" t="str">
        <f t="shared" si="2"/>
        <v>Gould</v>
      </c>
      <c r="J61" s="1" t="str">
        <f t="shared" si="3"/>
        <v>#N/A</v>
      </c>
      <c r="K61" s="1" t="str">
        <f>IFERROR(VLOOKUP($J61,Players!$D:$E,2,FALSE),VLOOKUP($G61,Players!A:E,5,FALSE))</f>
        <v>K</v>
      </c>
    </row>
    <row r="62" ht="15.75" customHeight="1">
      <c r="A62" s="1">
        <v>2021.0</v>
      </c>
      <c r="B62" s="1" t="s">
        <v>18</v>
      </c>
      <c r="C62" s="1" t="s">
        <v>12</v>
      </c>
      <c r="D62" s="8">
        <v>8.0</v>
      </c>
      <c r="E62" s="8">
        <v>1.0</v>
      </c>
      <c r="F62" s="8">
        <v>5.0</v>
      </c>
      <c r="G62" s="1" t="s">
        <v>139</v>
      </c>
      <c r="H62" s="1" t="str">
        <f t="shared" si="1"/>
        <v>Travis</v>
      </c>
      <c r="I62" s="1" t="str">
        <f t="shared" si="2"/>
        <v>Kelce</v>
      </c>
      <c r="J62" s="1" t="str">
        <f t="shared" si="3"/>
        <v>#N/A</v>
      </c>
      <c r="K62" s="1" t="str">
        <f>IFERROR(VLOOKUP($J62,Players!$D:$E,2,FALSE),VLOOKUP($G62,Players!A:E,5,FALSE))</f>
        <v>TE</v>
      </c>
    </row>
    <row r="63" ht="15.75" customHeight="1">
      <c r="A63" s="1">
        <v>2021.0</v>
      </c>
      <c r="B63" s="1" t="s">
        <v>18</v>
      </c>
      <c r="C63" s="1" t="s">
        <v>12</v>
      </c>
      <c r="D63" s="8">
        <v>8.0</v>
      </c>
      <c r="E63" s="8">
        <v>2.0</v>
      </c>
      <c r="F63" s="8">
        <v>20.0</v>
      </c>
      <c r="G63" s="1" t="s">
        <v>141</v>
      </c>
      <c r="H63" s="1" t="str">
        <f t="shared" si="1"/>
        <v>AJ</v>
      </c>
      <c r="I63" s="1" t="str">
        <f t="shared" si="2"/>
        <v>Brown</v>
      </c>
      <c r="J63" s="1" t="str">
        <f t="shared" si="3"/>
        <v>#N/A</v>
      </c>
      <c r="K63" s="1" t="str">
        <f>IFERROR(VLOOKUP($J63,Players!$D:$E,2,FALSE),VLOOKUP($G63,Players!A:E,5,FALSE))</f>
        <v>WR</v>
      </c>
    </row>
    <row r="64" ht="15.75" customHeight="1">
      <c r="A64" s="1">
        <v>2021.0</v>
      </c>
      <c r="B64" s="1" t="s">
        <v>18</v>
      </c>
      <c r="C64" s="1" t="s">
        <v>12</v>
      </c>
      <c r="D64" s="8">
        <v>8.0</v>
      </c>
      <c r="E64" s="8">
        <v>3.0</v>
      </c>
      <c r="F64" s="8">
        <v>29.0</v>
      </c>
      <c r="G64" s="1" t="s">
        <v>142</v>
      </c>
      <c r="H64" s="1" t="str">
        <f t="shared" si="1"/>
        <v>Tyler</v>
      </c>
      <c r="I64" s="1" t="str">
        <f t="shared" si="2"/>
        <v>Lockett</v>
      </c>
      <c r="J64" s="1" t="str">
        <f t="shared" si="3"/>
        <v>#N/A</v>
      </c>
      <c r="K64" s="1" t="str">
        <f>IFERROR(VLOOKUP($J64,Players!$D:$E,2,FALSE),VLOOKUP($G64,Players!A:E,5,FALSE))</f>
        <v>WR</v>
      </c>
    </row>
    <row r="65" ht="15.75" customHeight="1">
      <c r="A65" s="1">
        <v>2021.0</v>
      </c>
      <c r="B65" s="1" t="s">
        <v>18</v>
      </c>
      <c r="C65" s="1" t="s">
        <v>12</v>
      </c>
      <c r="D65" s="8">
        <v>8.0</v>
      </c>
      <c r="E65" s="8">
        <v>4.0</v>
      </c>
      <c r="F65" s="8">
        <v>44.0</v>
      </c>
      <c r="G65" s="1" t="s">
        <v>143</v>
      </c>
      <c r="H65" s="1" t="str">
        <f t="shared" si="1"/>
        <v>Chase</v>
      </c>
      <c r="I65" s="1" t="str">
        <f t="shared" si="2"/>
        <v>Edmonds</v>
      </c>
      <c r="J65" s="1" t="str">
        <f t="shared" si="3"/>
        <v>#N/A</v>
      </c>
      <c r="K65" s="1" t="str">
        <f>IFERROR(VLOOKUP($J65,Players!$D:$E,2,FALSE),VLOOKUP($G65,Players!A:E,5,FALSE))</f>
        <v>RB</v>
      </c>
    </row>
    <row r="66" ht="15.75" customHeight="1">
      <c r="A66" s="1">
        <v>2021.0</v>
      </c>
      <c r="B66" s="1" t="s">
        <v>18</v>
      </c>
      <c r="C66" s="1" t="s">
        <v>12</v>
      </c>
      <c r="D66" s="8">
        <v>8.0</v>
      </c>
      <c r="E66" s="8">
        <v>5.0</v>
      </c>
      <c r="F66" s="8">
        <v>53.0</v>
      </c>
      <c r="G66" s="1" t="s">
        <v>144</v>
      </c>
      <c r="H66" s="1" t="str">
        <f t="shared" si="1"/>
        <v>Russell</v>
      </c>
      <c r="I66" s="1" t="str">
        <f t="shared" si="2"/>
        <v>Wilson</v>
      </c>
      <c r="J66" s="1" t="str">
        <f t="shared" si="3"/>
        <v>#N/A</v>
      </c>
      <c r="K66" s="1" t="str">
        <f>IFERROR(VLOOKUP($J66,Players!$D:$E,2,FALSE),VLOOKUP($G66,Players!A:E,5,FALSE))</f>
        <v>QB</v>
      </c>
    </row>
    <row r="67" ht="15.75" customHeight="1">
      <c r="A67" s="1">
        <v>2021.0</v>
      </c>
      <c r="B67" s="1" t="s">
        <v>18</v>
      </c>
      <c r="C67" s="1" t="s">
        <v>12</v>
      </c>
      <c r="D67" s="8">
        <v>8.0</v>
      </c>
      <c r="E67" s="8">
        <v>6.0</v>
      </c>
      <c r="F67" s="8">
        <v>68.0</v>
      </c>
      <c r="G67" s="1" t="s">
        <v>145</v>
      </c>
      <c r="H67" s="1" t="str">
        <f t="shared" si="1"/>
        <v>Myles</v>
      </c>
      <c r="I67" s="1" t="str">
        <f t="shared" si="2"/>
        <v>Gaskin</v>
      </c>
      <c r="J67" s="1" t="str">
        <f t="shared" si="3"/>
        <v>#N/A</v>
      </c>
      <c r="K67" s="1" t="str">
        <f>IFERROR(VLOOKUP($J67,Players!$D:$E,2,FALSE),VLOOKUP($G67,Players!A:E,5,FALSE))</f>
        <v>RB</v>
      </c>
    </row>
    <row r="68" ht="15.75" customHeight="1">
      <c r="A68" s="1">
        <v>2021.0</v>
      </c>
      <c r="B68" s="1" t="s">
        <v>18</v>
      </c>
      <c r="C68" s="1" t="s">
        <v>12</v>
      </c>
      <c r="D68" s="8">
        <v>8.0</v>
      </c>
      <c r="E68" s="8">
        <v>7.0</v>
      </c>
      <c r="F68" s="8">
        <v>77.0</v>
      </c>
      <c r="G68" s="1" t="s">
        <v>146</v>
      </c>
      <c r="H68" s="1" t="str">
        <f t="shared" si="1"/>
        <v>Sony</v>
      </c>
      <c r="I68" s="1" t="str">
        <f t="shared" si="2"/>
        <v>Michel</v>
      </c>
      <c r="J68" s="1" t="str">
        <f t="shared" si="3"/>
        <v>#N/A</v>
      </c>
      <c r="K68" s="1" t="str">
        <f>IFERROR(VLOOKUP($J68,Players!$D:$E,2,FALSE),VLOOKUP($G68,Players!A:E,5,FALSE))</f>
        <v>RB</v>
      </c>
    </row>
    <row r="69" ht="15.75" customHeight="1">
      <c r="A69" s="1">
        <v>2021.0</v>
      </c>
      <c r="B69" s="1" t="s">
        <v>18</v>
      </c>
      <c r="C69" s="1" t="s">
        <v>12</v>
      </c>
      <c r="D69" s="8">
        <v>8.0</v>
      </c>
      <c r="E69" s="8">
        <v>8.0</v>
      </c>
      <c r="F69" s="8">
        <v>92.0</v>
      </c>
      <c r="G69" s="1" t="s">
        <v>147</v>
      </c>
      <c r="H69" s="1" t="str">
        <f t="shared" si="1"/>
        <v>Brandin</v>
      </c>
      <c r="I69" s="1" t="str">
        <f t="shared" si="2"/>
        <v>Cooks</v>
      </c>
      <c r="J69" s="1" t="str">
        <f t="shared" si="3"/>
        <v>#N/A</v>
      </c>
      <c r="K69" s="1" t="str">
        <f>IFERROR(VLOOKUP($J69,Players!$D:$E,2,FALSE),VLOOKUP($G69,Players!A:E,5,FALSE))</f>
        <v>WR</v>
      </c>
    </row>
    <row r="70" ht="15.75" customHeight="1">
      <c r="A70" s="1">
        <v>2021.0</v>
      </c>
      <c r="B70" s="1" t="s">
        <v>18</v>
      </c>
      <c r="C70" s="1" t="s">
        <v>12</v>
      </c>
      <c r="D70" s="8">
        <v>8.0</v>
      </c>
      <c r="E70" s="8">
        <v>9.0</v>
      </c>
      <c r="F70" s="8">
        <v>101.0</v>
      </c>
      <c r="G70" s="1" t="s">
        <v>148</v>
      </c>
      <c r="H70" s="1" t="str">
        <f t="shared" si="1"/>
        <v>Zack</v>
      </c>
      <c r="I70" s="1" t="str">
        <f t="shared" si="2"/>
        <v>Moss</v>
      </c>
      <c r="J70" s="1" t="str">
        <f t="shared" si="3"/>
        <v>#N/A</v>
      </c>
      <c r="K70" s="1" t="str">
        <f>IFERROR(VLOOKUP($J70,Players!$D:$E,2,FALSE),VLOOKUP($G70,Players!A:E,5,FALSE))</f>
        <v>RB</v>
      </c>
    </row>
    <row r="71" ht="15.75" customHeight="1">
      <c r="A71" s="1">
        <v>2021.0</v>
      </c>
      <c r="B71" s="1" t="s">
        <v>18</v>
      </c>
      <c r="C71" s="1" t="s">
        <v>12</v>
      </c>
      <c r="D71" s="8">
        <v>8.0</v>
      </c>
      <c r="E71" s="8">
        <v>10.0</v>
      </c>
      <c r="F71" s="8">
        <v>116.0</v>
      </c>
      <c r="G71" s="1" t="s">
        <v>150</v>
      </c>
      <c r="H71" s="1" t="str">
        <f t="shared" si="1"/>
        <v>Michael</v>
      </c>
      <c r="I71" s="1" t="str">
        <f t="shared" si="2"/>
        <v>Gallup</v>
      </c>
      <c r="J71" s="1" t="str">
        <f t="shared" si="3"/>
        <v>#N/A</v>
      </c>
      <c r="K71" s="1" t="str">
        <f>IFERROR(VLOOKUP($J71,Players!$D:$E,2,FALSE),VLOOKUP($G71,Players!A:E,5,FALSE))</f>
        <v>WR</v>
      </c>
    </row>
    <row r="72" ht="15.75" customHeight="1">
      <c r="A72" s="1">
        <v>2021.0</v>
      </c>
      <c r="B72" s="1" t="s">
        <v>18</v>
      </c>
      <c r="C72" s="1" t="s">
        <v>12</v>
      </c>
      <c r="D72" s="8">
        <v>8.0</v>
      </c>
      <c r="E72" s="8">
        <v>11.0</v>
      </c>
      <c r="F72" s="8">
        <v>125.0</v>
      </c>
      <c r="G72" s="1" t="s">
        <v>154</v>
      </c>
      <c r="H72" s="1" t="str">
        <f t="shared" si="1"/>
        <v>Jakobi</v>
      </c>
      <c r="I72" s="1" t="str">
        <f t="shared" si="2"/>
        <v>Meyers</v>
      </c>
      <c r="J72" s="1" t="str">
        <f t="shared" si="3"/>
        <v>#N/A</v>
      </c>
      <c r="K72" s="1" t="str">
        <f>IFERROR(VLOOKUP($J72,Players!$D:$E,2,FALSE),VLOOKUP($G72,Players!A:E,5,FALSE))</f>
        <v>WR</v>
      </c>
    </row>
    <row r="73" ht="15.75" customHeight="1">
      <c r="A73" s="1">
        <v>2021.0</v>
      </c>
      <c r="B73" s="1" t="s">
        <v>18</v>
      </c>
      <c r="C73" s="1" t="s">
        <v>12</v>
      </c>
      <c r="D73" s="8">
        <v>8.0</v>
      </c>
      <c r="E73" s="8">
        <v>12.0</v>
      </c>
      <c r="F73" s="8">
        <v>140.0</v>
      </c>
      <c r="G73" s="1" t="s">
        <v>157</v>
      </c>
      <c r="H73" s="1" t="str">
        <f t="shared" si="1"/>
        <v>Bryan</v>
      </c>
      <c r="I73" s="1" t="str">
        <f t="shared" si="2"/>
        <v>Edwards</v>
      </c>
      <c r="J73" s="1" t="str">
        <f t="shared" si="3"/>
        <v>#N/A</v>
      </c>
      <c r="K73" s="1" t="str">
        <f>IFERROR(VLOOKUP($J73,Players!$D:$E,2,FALSE),VLOOKUP($G73,Players!A:E,5,FALSE))</f>
        <v>WR</v>
      </c>
    </row>
    <row r="74" ht="15.75" customHeight="1">
      <c r="A74" s="1">
        <v>2021.0</v>
      </c>
      <c r="B74" s="1" t="s">
        <v>18</v>
      </c>
      <c r="C74" s="1" t="s">
        <v>12</v>
      </c>
      <c r="D74" s="8">
        <v>8.0</v>
      </c>
      <c r="E74" s="8">
        <v>13.0</v>
      </c>
      <c r="F74" s="8">
        <v>149.0</v>
      </c>
      <c r="G74" s="1" t="s">
        <v>160</v>
      </c>
      <c r="H74" s="1" t="str">
        <f t="shared" si="1"/>
        <v>Tevin</v>
      </c>
      <c r="I74" s="1" t="str">
        <f t="shared" si="2"/>
        <v>Coleman</v>
      </c>
      <c r="J74" s="1" t="str">
        <f t="shared" si="3"/>
        <v>#N/A</v>
      </c>
      <c r="K74" s="1" t="str">
        <f>IFERROR(VLOOKUP($J74,Players!$D:$E,2,FALSE),VLOOKUP($G74,Players!A:E,5,FALSE))</f>
        <v>RB</v>
      </c>
    </row>
    <row r="75" ht="15.75" customHeight="1">
      <c r="A75" s="1">
        <v>2021.0</v>
      </c>
      <c r="B75" s="1" t="s">
        <v>18</v>
      </c>
      <c r="C75" s="1" t="s">
        <v>12</v>
      </c>
      <c r="D75" s="8">
        <v>8.0</v>
      </c>
      <c r="E75" s="8">
        <v>14.0</v>
      </c>
      <c r="F75" s="8">
        <v>164.0</v>
      </c>
      <c r="G75" s="1" t="s">
        <v>162</v>
      </c>
      <c r="H75" s="1" t="str">
        <f t="shared" si="1"/>
        <v>Green</v>
      </c>
      <c r="I75" s="1" t="str">
        <f t="shared" si="2"/>
        <v>Bay</v>
      </c>
      <c r="J75" s="1" t="str">
        <f t="shared" si="3"/>
        <v>#N/A</v>
      </c>
      <c r="K75" s="1" t="str">
        <f>IFERROR(VLOOKUP($J75,Players!$D:$E,2,FALSE),VLOOKUP($G75,Players!A:E,5,FALSE))</f>
        <v>DEF</v>
      </c>
    </row>
    <row r="76" ht="15.75" customHeight="1">
      <c r="A76" s="1">
        <v>2021.0</v>
      </c>
      <c r="B76" s="1" t="s">
        <v>18</v>
      </c>
      <c r="C76" s="1" t="s">
        <v>12</v>
      </c>
      <c r="D76" s="8">
        <v>8.0</v>
      </c>
      <c r="E76" s="8">
        <v>15.0</v>
      </c>
      <c r="F76" s="8">
        <v>173.0</v>
      </c>
      <c r="G76" s="1" t="s">
        <v>165</v>
      </c>
      <c r="H76" s="1" t="str">
        <f t="shared" si="1"/>
        <v>Rodrigo</v>
      </c>
      <c r="I76" s="1" t="str">
        <f t="shared" si="2"/>
        <v>Blankenship</v>
      </c>
      <c r="J76" s="1" t="str">
        <f t="shared" si="3"/>
        <v>#N/A</v>
      </c>
      <c r="K76" s="1" t="str">
        <f>IFERROR(VLOOKUP($J76,Players!$D:$E,2,FALSE),VLOOKUP($G76,Players!A:E,5,FALSE))</f>
        <v>K</v>
      </c>
    </row>
    <row r="77" ht="15.75" customHeight="1">
      <c r="A77" s="1">
        <v>2021.0</v>
      </c>
      <c r="B77" s="1" t="s">
        <v>32</v>
      </c>
      <c r="C77" s="1" t="s">
        <v>25</v>
      </c>
      <c r="D77" s="8">
        <v>6.0</v>
      </c>
      <c r="E77" s="8">
        <v>1.0</v>
      </c>
      <c r="F77" s="8">
        <v>6.0</v>
      </c>
      <c r="G77" s="1" t="s">
        <v>168</v>
      </c>
      <c r="H77" s="1" t="str">
        <f t="shared" si="1"/>
        <v>Derrick</v>
      </c>
      <c r="I77" s="1" t="str">
        <f t="shared" si="2"/>
        <v>Henry</v>
      </c>
      <c r="J77" s="1" t="str">
        <f t="shared" si="3"/>
        <v>#N/A</v>
      </c>
      <c r="K77" s="1" t="str">
        <f>IFERROR(VLOOKUP($J77,Players!$D:$E,2,FALSE),VLOOKUP($G77,Players!A:E,5,FALSE))</f>
        <v>RB</v>
      </c>
    </row>
    <row r="78" ht="15.75" customHeight="1">
      <c r="A78" s="1">
        <v>2021.0</v>
      </c>
      <c r="B78" s="1" t="s">
        <v>32</v>
      </c>
      <c r="C78" s="1" t="s">
        <v>25</v>
      </c>
      <c r="D78" s="8">
        <v>6.0</v>
      </c>
      <c r="E78" s="8">
        <v>2.0</v>
      </c>
      <c r="F78" s="8">
        <v>19.0</v>
      </c>
      <c r="G78" s="1" t="s">
        <v>170</v>
      </c>
      <c r="H78" s="1" t="str">
        <f t="shared" si="1"/>
        <v>Calvin</v>
      </c>
      <c r="I78" s="1" t="str">
        <f t="shared" si="2"/>
        <v>Ridley</v>
      </c>
      <c r="J78" s="1" t="str">
        <f t="shared" si="3"/>
        <v>#N/A</v>
      </c>
      <c r="K78" s="1" t="str">
        <f>IFERROR(VLOOKUP($J78,Players!$D:$E,2,FALSE),VLOOKUP($G78,Players!A:E,5,FALSE))</f>
        <v>WR</v>
      </c>
    </row>
    <row r="79" ht="15.75" customHeight="1">
      <c r="A79" s="1">
        <v>2021.0</v>
      </c>
      <c r="B79" s="1" t="s">
        <v>32</v>
      </c>
      <c r="C79" s="1" t="s">
        <v>25</v>
      </c>
      <c r="D79" s="8">
        <v>6.0</v>
      </c>
      <c r="E79" s="8">
        <v>3.0</v>
      </c>
      <c r="F79" s="8">
        <v>30.0</v>
      </c>
      <c r="G79" s="1" t="s">
        <v>173</v>
      </c>
      <c r="H79" s="1" t="str">
        <f t="shared" si="1"/>
        <v>Chris</v>
      </c>
      <c r="I79" s="1" t="str">
        <f t="shared" si="2"/>
        <v>Godwin</v>
      </c>
      <c r="J79" s="1" t="str">
        <f t="shared" si="3"/>
        <v>#N/A</v>
      </c>
      <c r="K79" s="1" t="str">
        <f>IFERROR(VLOOKUP($J79,Players!$D:$E,2,FALSE),VLOOKUP($G79,Players!A:E,5,FALSE))</f>
        <v>WR</v>
      </c>
    </row>
    <row r="80" ht="15.75" customHeight="1">
      <c r="A80" s="1">
        <v>2021.0</v>
      </c>
      <c r="B80" s="1" t="s">
        <v>32</v>
      </c>
      <c r="C80" s="1" t="s">
        <v>25</v>
      </c>
      <c r="D80" s="8">
        <v>6.0</v>
      </c>
      <c r="E80" s="8">
        <v>4.0</v>
      </c>
      <c r="F80" s="8">
        <v>43.0</v>
      </c>
      <c r="G80" s="1" t="s">
        <v>175</v>
      </c>
      <c r="H80" s="1" t="str">
        <f t="shared" si="1"/>
        <v>James</v>
      </c>
      <c r="I80" s="1" t="str">
        <f t="shared" si="2"/>
        <v>Robinson</v>
      </c>
      <c r="J80" s="1" t="str">
        <f t="shared" si="3"/>
        <v>#N/A</v>
      </c>
      <c r="K80" s="1" t="str">
        <f>IFERROR(VLOOKUP($J80,Players!$D:$E,2,FALSE),VLOOKUP($G80,Players!A:E,5,FALSE))</f>
        <v>RB</v>
      </c>
    </row>
    <row r="81" ht="15.75" customHeight="1">
      <c r="A81" s="1">
        <v>2021.0</v>
      </c>
      <c r="B81" s="1" t="s">
        <v>32</v>
      </c>
      <c r="C81" s="1" t="s">
        <v>25</v>
      </c>
      <c r="D81" s="8">
        <v>6.0</v>
      </c>
      <c r="E81" s="8">
        <v>5.0</v>
      </c>
      <c r="F81" s="8">
        <v>54.0</v>
      </c>
      <c r="G81" s="1" t="s">
        <v>178</v>
      </c>
      <c r="H81" s="1" t="str">
        <f t="shared" si="1"/>
        <v>Kyler</v>
      </c>
      <c r="I81" s="1" t="str">
        <f t="shared" si="2"/>
        <v>Murray</v>
      </c>
      <c r="J81" s="1" t="str">
        <f t="shared" si="3"/>
        <v>#N/A</v>
      </c>
      <c r="K81" s="1" t="str">
        <f>IFERROR(VLOOKUP($J81,Players!$D:$E,2,FALSE),VLOOKUP($G81,Players!A:E,5,FALSE))</f>
        <v>QB</v>
      </c>
    </row>
    <row r="82" ht="15.75" customHeight="1">
      <c r="A82" s="1">
        <v>2021.0</v>
      </c>
      <c r="B82" s="1" t="s">
        <v>32</v>
      </c>
      <c r="C82" s="1" t="s">
        <v>25</v>
      </c>
      <c r="D82" s="8">
        <v>6.0</v>
      </c>
      <c r="E82" s="8">
        <v>6.0</v>
      </c>
      <c r="F82" s="8">
        <v>67.0</v>
      </c>
      <c r="G82" s="1" t="s">
        <v>181</v>
      </c>
      <c r="H82" s="1" t="str">
        <f t="shared" si="1"/>
        <v>Odell</v>
      </c>
      <c r="I82" s="1" t="str">
        <f t="shared" si="2"/>
        <v>Beckham Jr</v>
      </c>
      <c r="J82" s="1" t="str">
        <f t="shared" si="3"/>
        <v>#N/A</v>
      </c>
      <c r="K82" s="1" t="str">
        <f>IFERROR(VLOOKUP($J82,Players!$D:$E,2,FALSE),VLOOKUP($G82,Players!A:E,5,FALSE))</f>
        <v>#N/A</v>
      </c>
    </row>
    <row r="83" ht="15.75" customHeight="1">
      <c r="A83" s="1">
        <v>2021.0</v>
      </c>
      <c r="B83" s="1" t="s">
        <v>32</v>
      </c>
      <c r="C83" s="1" t="s">
        <v>25</v>
      </c>
      <c r="D83" s="8">
        <v>6.0</v>
      </c>
      <c r="E83" s="8">
        <v>7.0</v>
      </c>
      <c r="F83" s="8">
        <v>78.0</v>
      </c>
      <c r="G83" s="1" t="s">
        <v>185</v>
      </c>
      <c r="H83" s="1" t="str">
        <f t="shared" si="1"/>
        <v>Logan</v>
      </c>
      <c r="I83" s="1" t="str">
        <f t="shared" si="2"/>
        <v>Thomas</v>
      </c>
      <c r="J83" s="1" t="str">
        <f t="shared" si="3"/>
        <v>#N/A</v>
      </c>
      <c r="K83" s="1" t="str">
        <f>IFERROR(VLOOKUP($J83,Players!$D:$E,2,FALSE),VLOOKUP($G83,Players!A:E,5,FALSE))</f>
        <v>TE</v>
      </c>
    </row>
    <row r="84" ht="15.75" customHeight="1">
      <c r="A84" s="1">
        <v>2021.0</v>
      </c>
      <c r="B84" s="1" t="s">
        <v>32</v>
      </c>
      <c r="C84" s="1" t="s">
        <v>25</v>
      </c>
      <c r="D84" s="8">
        <v>6.0</v>
      </c>
      <c r="E84" s="8">
        <v>8.0</v>
      </c>
      <c r="F84" s="8">
        <v>91.0</v>
      </c>
      <c r="G84" s="1" t="s">
        <v>187</v>
      </c>
      <c r="H84" s="1" t="str">
        <f t="shared" si="1"/>
        <v>Jamaal</v>
      </c>
      <c r="I84" s="1" t="str">
        <f t="shared" si="2"/>
        <v>Williams</v>
      </c>
      <c r="J84" s="1" t="str">
        <f t="shared" si="3"/>
        <v>#N/A</v>
      </c>
      <c r="K84" s="1" t="str">
        <f>IFERROR(VLOOKUP($J84,Players!$D:$E,2,FALSE),VLOOKUP($G84,Players!A:E,5,FALSE))</f>
        <v>RB</v>
      </c>
    </row>
    <row r="85" ht="15.75" customHeight="1">
      <c r="A85" s="1">
        <v>2021.0</v>
      </c>
      <c r="B85" s="1" t="s">
        <v>32</v>
      </c>
      <c r="C85" s="1" t="s">
        <v>25</v>
      </c>
      <c r="D85" s="8">
        <v>6.0</v>
      </c>
      <c r="E85" s="8">
        <v>9.0</v>
      </c>
      <c r="F85" s="8">
        <v>102.0</v>
      </c>
      <c r="G85" s="1" t="s">
        <v>190</v>
      </c>
      <c r="H85" s="1" t="str">
        <f t="shared" si="1"/>
        <v>Justin</v>
      </c>
      <c r="I85" s="1" t="str">
        <f t="shared" si="2"/>
        <v>Tucker</v>
      </c>
      <c r="J85" s="1" t="str">
        <f t="shared" si="3"/>
        <v>#N/A</v>
      </c>
      <c r="K85" s="1" t="str">
        <f>IFERROR(VLOOKUP($J85,Players!$D:$E,2,FALSE),VLOOKUP($G85,Players!A:E,5,FALSE))</f>
        <v>K</v>
      </c>
    </row>
    <row r="86" ht="15.75" customHeight="1">
      <c r="A86" s="1">
        <v>2021.0</v>
      </c>
      <c r="B86" s="1" t="s">
        <v>32</v>
      </c>
      <c r="C86" s="1" t="s">
        <v>25</v>
      </c>
      <c r="D86" s="8">
        <v>6.0</v>
      </c>
      <c r="E86" s="8">
        <v>10.0</v>
      </c>
      <c r="F86" s="8">
        <v>115.0</v>
      </c>
      <c r="G86" s="1" t="s">
        <v>192</v>
      </c>
      <c r="H86" s="1" t="str">
        <f t="shared" si="1"/>
        <v>#VALUE!</v>
      </c>
      <c r="I86" s="1" t="str">
        <f t="shared" si="2"/>
        <v>#VALUE!</v>
      </c>
      <c r="J86" s="1" t="str">
        <f t="shared" si="3"/>
        <v>#N/A</v>
      </c>
      <c r="K86" s="1" t="str">
        <f>IFERROR(VLOOKUP($J86,Players!$D:$E,2,FALSE),VLOOKUP($G86,Players!A:E,5,FALSE))</f>
        <v>DEF</v>
      </c>
    </row>
    <row r="87" ht="15.75" customHeight="1">
      <c r="A87" s="1">
        <v>2021.0</v>
      </c>
      <c r="B87" s="1" t="s">
        <v>32</v>
      </c>
      <c r="C87" s="1" t="s">
        <v>25</v>
      </c>
      <c r="D87" s="8">
        <v>6.0</v>
      </c>
      <c r="E87" s="8">
        <v>11.0</v>
      </c>
      <c r="F87" s="8">
        <v>126.0</v>
      </c>
      <c r="G87" s="1" t="s">
        <v>196</v>
      </c>
      <c r="H87" s="1" t="str">
        <f t="shared" si="1"/>
        <v>Curtis</v>
      </c>
      <c r="I87" s="1" t="str">
        <f t="shared" si="2"/>
        <v>Samuel</v>
      </c>
      <c r="J87" s="1" t="str">
        <f t="shared" si="3"/>
        <v>#N/A</v>
      </c>
      <c r="K87" s="1" t="str">
        <f>IFERROR(VLOOKUP($J87,Players!$D:$E,2,FALSE),VLOOKUP($G87,Players!A:E,5,FALSE))</f>
        <v>WR</v>
      </c>
    </row>
    <row r="88" ht="15.75" customHeight="1">
      <c r="A88" s="1">
        <v>2021.0</v>
      </c>
      <c r="B88" s="1" t="s">
        <v>32</v>
      </c>
      <c r="C88" s="1" t="s">
        <v>25</v>
      </c>
      <c r="D88" s="8">
        <v>6.0</v>
      </c>
      <c r="E88" s="8">
        <v>12.0</v>
      </c>
      <c r="F88" s="8">
        <v>139.0</v>
      </c>
      <c r="G88" s="1" t="s">
        <v>200</v>
      </c>
      <c r="H88" s="1" t="str">
        <f t="shared" si="1"/>
        <v>Alexander</v>
      </c>
      <c r="I88" s="1" t="str">
        <f t="shared" si="2"/>
        <v>Mattison</v>
      </c>
      <c r="J88" s="1" t="str">
        <f t="shared" si="3"/>
        <v>#N/A</v>
      </c>
      <c r="K88" s="1" t="str">
        <f>IFERROR(VLOOKUP($J88,Players!$D:$E,2,FALSE),VLOOKUP($G88,Players!A:E,5,FALSE))</f>
        <v>RB</v>
      </c>
    </row>
    <row r="89" ht="15.75" customHeight="1">
      <c r="A89" s="1">
        <v>2021.0</v>
      </c>
      <c r="B89" s="1" t="s">
        <v>32</v>
      </c>
      <c r="C89" s="1" t="s">
        <v>25</v>
      </c>
      <c r="D89" s="8">
        <v>6.0</v>
      </c>
      <c r="E89" s="8">
        <v>13.0</v>
      </c>
      <c r="F89" s="8">
        <v>150.0</v>
      </c>
      <c r="G89" s="1" t="s">
        <v>203</v>
      </c>
      <c r="H89" s="1" t="str">
        <f t="shared" si="1"/>
        <v>Evan</v>
      </c>
      <c r="I89" s="1" t="str">
        <f t="shared" si="2"/>
        <v>Engram</v>
      </c>
      <c r="J89" s="1" t="str">
        <f t="shared" si="3"/>
        <v>#N/A</v>
      </c>
      <c r="K89" s="1" t="str">
        <f>IFERROR(VLOOKUP($J89,Players!$D:$E,2,FALSE),VLOOKUP($G89,Players!A:E,5,FALSE))</f>
        <v>TE</v>
      </c>
    </row>
    <row r="90" ht="15.75" customHeight="1">
      <c r="A90" s="1">
        <v>2021.0</v>
      </c>
      <c r="B90" s="1" t="s">
        <v>32</v>
      </c>
      <c r="C90" s="1" t="s">
        <v>25</v>
      </c>
      <c r="D90" s="8">
        <v>6.0</v>
      </c>
      <c r="E90" s="8">
        <v>14.0</v>
      </c>
      <c r="F90" s="8">
        <v>163.0</v>
      </c>
      <c r="G90" s="1" t="s">
        <v>206</v>
      </c>
      <c r="H90" s="1" t="str">
        <f t="shared" si="1"/>
        <v>Ty'Son</v>
      </c>
      <c r="I90" s="1" t="str">
        <f t="shared" si="2"/>
        <v>Williams</v>
      </c>
      <c r="J90" s="1" t="str">
        <f t="shared" si="3"/>
        <v>#N/A</v>
      </c>
      <c r="K90" s="1" t="str">
        <f>IFERROR(VLOOKUP($J90,Players!$D:$E,2,FALSE),VLOOKUP($G90,Players!A:E,5,FALSE))</f>
        <v>RB</v>
      </c>
    </row>
    <row r="91" ht="15.75" customHeight="1">
      <c r="A91" s="1">
        <v>2021.0</v>
      </c>
      <c r="B91" s="1" t="s">
        <v>32</v>
      </c>
      <c r="C91" s="1" t="s">
        <v>25</v>
      </c>
      <c r="D91" s="8">
        <v>6.0</v>
      </c>
      <c r="E91" s="8">
        <v>15.0</v>
      </c>
      <c r="F91" s="8">
        <v>174.0</v>
      </c>
      <c r="G91" s="1" t="s">
        <v>209</v>
      </c>
      <c r="H91" s="1" t="str">
        <f t="shared" si="1"/>
        <v>Carlos</v>
      </c>
      <c r="I91" s="1" t="str">
        <f t="shared" si="2"/>
        <v>Hyde</v>
      </c>
      <c r="J91" s="1" t="str">
        <f t="shared" si="3"/>
        <v>#N/A</v>
      </c>
      <c r="K91" s="1" t="str">
        <f>IFERROR(VLOOKUP($J91,Players!$D:$E,2,FALSE),VLOOKUP($G91,Players!A:E,5,FALSE))</f>
        <v>RB</v>
      </c>
    </row>
    <row r="92" ht="15.75" customHeight="1">
      <c r="A92" s="1">
        <v>2021.0</v>
      </c>
      <c r="B92" s="1" t="s">
        <v>41</v>
      </c>
      <c r="C92" s="1" t="s">
        <v>26</v>
      </c>
      <c r="D92" s="8">
        <v>12.0</v>
      </c>
      <c r="E92" s="8">
        <v>1.0</v>
      </c>
      <c r="F92" s="8">
        <v>7.0</v>
      </c>
      <c r="G92" s="1" t="s">
        <v>213</v>
      </c>
      <c r="H92" s="1" t="str">
        <f t="shared" si="1"/>
        <v>Davante</v>
      </c>
      <c r="I92" s="1" t="str">
        <f t="shared" si="2"/>
        <v>Adams</v>
      </c>
      <c r="J92" s="1" t="str">
        <f t="shared" si="3"/>
        <v>#N/A</v>
      </c>
      <c r="K92" s="1" t="str">
        <f>IFERROR(VLOOKUP($J92,Players!$D:$E,2,FALSE),VLOOKUP($G92,Players!A:E,5,FALSE))</f>
        <v>WR</v>
      </c>
    </row>
    <row r="93" ht="15.75" customHeight="1">
      <c r="A93" s="1">
        <v>2021.0</v>
      </c>
      <c r="B93" s="1" t="s">
        <v>41</v>
      </c>
      <c r="C93" s="1" t="s">
        <v>26</v>
      </c>
      <c r="D93" s="8">
        <v>12.0</v>
      </c>
      <c r="E93" s="8">
        <v>2.0</v>
      </c>
      <c r="F93" s="8">
        <v>18.0</v>
      </c>
      <c r="G93" s="1" t="s">
        <v>216</v>
      </c>
      <c r="H93" s="1" t="str">
        <f t="shared" si="1"/>
        <v>DK</v>
      </c>
      <c r="I93" s="1" t="str">
        <f t="shared" si="2"/>
        <v>Metcalf</v>
      </c>
      <c r="J93" s="1" t="str">
        <f t="shared" si="3"/>
        <v>#N/A</v>
      </c>
      <c r="K93" s="1" t="str">
        <f>IFERROR(VLOOKUP($J93,Players!$D:$E,2,FALSE),VLOOKUP($G93,Players!A:E,5,FALSE))</f>
        <v>#N/A</v>
      </c>
    </row>
    <row r="94" ht="15.75" customHeight="1">
      <c r="A94" s="1">
        <v>2021.0</v>
      </c>
      <c r="B94" s="1" t="s">
        <v>41</v>
      </c>
      <c r="C94" s="1" t="s">
        <v>26</v>
      </c>
      <c r="D94" s="8">
        <v>12.0</v>
      </c>
      <c r="E94" s="8">
        <v>3.0</v>
      </c>
      <c r="F94" s="8">
        <v>31.0</v>
      </c>
      <c r="G94" s="1" t="s">
        <v>219</v>
      </c>
      <c r="H94" s="1" t="str">
        <f t="shared" si="1"/>
        <v>Miles</v>
      </c>
      <c r="I94" s="1" t="str">
        <f t="shared" si="2"/>
        <v>Sanders</v>
      </c>
      <c r="J94" s="1" t="str">
        <f t="shared" si="3"/>
        <v>#N/A</v>
      </c>
      <c r="K94" s="1" t="str">
        <f>IFERROR(VLOOKUP($J94,Players!$D:$E,2,FALSE),VLOOKUP($G94,Players!A:E,5,FALSE))</f>
        <v>RB</v>
      </c>
    </row>
    <row r="95" ht="15.75" customHeight="1">
      <c r="A95" s="1">
        <v>2021.0</v>
      </c>
      <c r="B95" s="1" t="s">
        <v>41</v>
      </c>
      <c r="C95" s="1" t="s">
        <v>26</v>
      </c>
      <c r="D95" s="8">
        <v>12.0</v>
      </c>
      <c r="E95" s="8">
        <v>4.0</v>
      </c>
      <c r="F95" s="8">
        <v>42.0</v>
      </c>
      <c r="G95" s="1" t="s">
        <v>222</v>
      </c>
      <c r="H95" s="1" t="str">
        <f t="shared" si="1"/>
        <v>D'Andre</v>
      </c>
      <c r="I95" s="1" t="str">
        <f t="shared" si="2"/>
        <v>Swift</v>
      </c>
      <c r="J95" s="1" t="str">
        <f t="shared" si="3"/>
        <v>#N/A</v>
      </c>
      <c r="K95" s="1" t="str">
        <f>IFERROR(VLOOKUP($J95,Players!$D:$E,2,FALSE),VLOOKUP($G95,Players!A:E,5,FALSE))</f>
        <v>RB</v>
      </c>
    </row>
    <row r="96" ht="15.75" customHeight="1">
      <c r="A96" s="1">
        <v>2021.0</v>
      </c>
      <c r="B96" s="1" t="s">
        <v>41</v>
      </c>
      <c r="C96" s="1" t="s">
        <v>26</v>
      </c>
      <c r="D96" s="8">
        <v>12.0</v>
      </c>
      <c r="E96" s="8">
        <v>5.0</v>
      </c>
      <c r="F96" s="8">
        <v>55.0</v>
      </c>
      <c r="G96" s="1" t="s">
        <v>225</v>
      </c>
      <c r="H96" s="1" t="str">
        <f t="shared" si="1"/>
        <v>Lamar</v>
      </c>
      <c r="I96" s="1" t="str">
        <f t="shared" si="2"/>
        <v>Jackson</v>
      </c>
      <c r="J96" s="1" t="str">
        <f t="shared" si="3"/>
        <v>#N/A</v>
      </c>
      <c r="K96" s="1" t="str">
        <f>IFERROR(VLOOKUP($J96,Players!$D:$E,2,FALSE),VLOOKUP($G96,Players!A:E,5,FALSE))</f>
        <v>QB</v>
      </c>
    </row>
    <row r="97" ht="15.75" customHeight="1">
      <c r="A97" s="1">
        <v>2021.0</v>
      </c>
      <c r="B97" s="1" t="s">
        <v>41</v>
      </c>
      <c r="C97" s="1" t="s">
        <v>26</v>
      </c>
      <c r="D97" s="8">
        <v>12.0</v>
      </c>
      <c r="E97" s="8">
        <v>6.0</v>
      </c>
      <c r="F97" s="8">
        <v>66.0</v>
      </c>
      <c r="G97" s="1" t="s">
        <v>227</v>
      </c>
      <c r="H97" s="1" t="str">
        <f t="shared" si="1"/>
        <v>TJ</v>
      </c>
      <c r="I97" s="1" t="str">
        <f t="shared" si="2"/>
        <v>Hockenson</v>
      </c>
      <c r="J97" s="1" t="str">
        <f t="shared" si="3"/>
        <v>#N/A</v>
      </c>
      <c r="K97" s="1" t="str">
        <f>IFERROR(VLOOKUP($J97,Players!$D:$E,2,FALSE),VLOOKUP($G97,Players!A:E,5,FALSE))</f>
        <v>TE</v>
      </c>
    </row>
    <row r="98" ht="15.75" customHeight="1">
      <c r="A98" s="1">
        <v>2021.0</v>
      </c>
      <c r="B98" s="1" t="s">
        <v>41</v>
      </c>
      <c r="C98" s="1" t="s">
        <v>26</v>
      </c>
      <c r="D98" s="8">
        <v>12.0</v>
      </c>
      <c r="E98" s="8">
        <v>7.0</v>
      </c>
      <c r="F98" s="8">
        <v>79.0</v>
      </c>
      <c r="G98" s="1" t="s">
        <v>229</v>
      </c>
      <c r="H98" s="1" t="str">
        <f t="shared" si="1"/>
        <v>Antonio</v>
      </c>
      <c r="I98" s="1" t="str">
        <f t="shared" si="2"/>
        <v>Brown</v>
      </c>
      <c r="J98" s="1" t="str">
        <f t="shared" si="3"/>
        <v>#N/A</v>
      </c>
      <c r="K98" s="1" t="str">
        <f>IFERROR(VLOOKUP($J98,Players!$D:$E,2,FALSE),VLOOKUP($G98,Players!A:E,5,FALSE))</f>
        <v>WR</v>
      </c>
    </row>
    <row r="99" ht="15.75" customHeight="1">
      <c r="A99" s="1">
        <v>2021.0</v>
      </c>
      <c r="B99" s="1" t="s">
        <v>41</v>
      </c>
      <c r="C99" s="1" t="s">
        <v>26</v>
      </c>
      <c r="D99" s="8">
        <v>12.0</v>
      </c>
      <c r="E99" s="8">
        <v>8.0</v>
      </c>
      <c r="F99" s="8">
        <v>90.0</v>
      </c>
      <c r="G99" s="1" t="s">
        <v>231</v>
      </c>
      <c r="H99" s="1" t="str">
        <f t="shared" si="1"/>
        <v>Los</v>
      </c>
      <c r="I99" s="1" t="str">
        <f t="shared" si="2"/>
        <v>Angeles</v>
      </c>
      <c r="J99" s="1" t="str">
        <f t="shared" si="3"/>
        <v>#N/A</v>
      </c>
      <c r="K99" s="1" t="str">
        <f>IFERROR(VLOOKUP($J99,Players!$D:$E,2,FALSE),VLOOKUP($G99,Players!A:E,5,FALSE))</f>
        <v>DEF</v>
      </c>
    </row>
    <row r="100" ht="15.75" customHeight="1">
      <c r="A100" s="1">
        <v>2021.0</v>
      </c>
      <c r="B100" s="1" t="s">
        <v>41</v>
      </c>
      <c r="C100" s="1" t="s">
        <v>26</v>
      </c>
      <c r="D100" s="8">
        <v>12.0</v>
      </c>
      <c r="E100" s="8">
        <v>9.0</v>
      </c>
      <c r="F100" s="8">
        <v>103.0</v>
      </c>
      <c r="G100" s="1" t="s">
        <v>235</v>
      </c>
      <c r="H100" s="1" t="str">
        <f t="shared" si="1"/>
        <v>DJ</v>
      </c>
      <c r="I100" s="1" t="str">
        <f t="shared" si="2"/>
        <v>Chark Jr</v>
      </c>
      <c r="J100" s="1" t="str">
        <f t="shared" si="3"/>
        <v>#N/A</v>
      </c>
      <c r="K100" s="1" t="str">
        <f>IFERROR(VLOOKUP($J100,Players!$D:$E,2,FALSE),VLOOKUP($G100,Players!A:E,5,FALSE))</f>
        <v>#N/A</v>
      </c>
    </row>
    <row r="101" ht="15.75" customHeight="1">
      <c r="A101" s="1">
        <v>2021.0</v>
      </c>
      <c r="B101" s="1" t="s">
        <v>41</v>
      </c>
      <c r="C101" s="1" t="s">
        <v>26</v>
      </c>
      <c r="D101" s="8">
        <v>12.0</v>
      </c>
      <c r="E101" s="8">
        <v>10.0</v>
      </c>
      <c r="F101" s="8">
        <v>114.0</v>
      </c>
      <c r="G101" s="1" t="s">
        <v>238</v>
      </c>
      <c r="H101" s="1" t="str">
        <f t="shared" si="1"/>
        <v>Devin</v>
      </c>
      <c r="I101" s="1" t="str">
        <f t="shared" si="2"/>
        <v>Singletary</v>
      </c>
      <c r="J101" s="1" t="str">
        <f t="shared" si="3"/>
        <v>#N/A</v>
      </c>
      <c r="K101" s="1" t="str">
        <f>IFERROR(VLOOKUP($J101,Players!$D:$E,2,FALSE),VLOOKUP($G101,Players!A:E,5,FALSE))</f>
        <v>RB</v>
      </c>
    </row>
    <row r="102" ht="15.75" customHeight="1">
      <c r="A102" s="1">
        <v>2021.0</v>
      </c>
      <c r="B102" s="1" t="s">
        <v>41</v>
      </c>
      <c r="C102" s="1" t="s">
        <v>26</v>
      </c>
      <c r="D102" s="8">
        <v>12.0</v>
      </c>
      <c r="E102" s="8">
        <v>11.0</v>
      </c>
      <c r="F102" s="8">
        <v>127.0</v>
      </c>
      <c r="G102" s="1" t="s">
        <v>241</v>
      </c>
      <c r="H102" s="1" t="str">
        <f t="shared" si="1"/>
        <v>Justin</v>
      </c>
      <c r="I102" s="1" t="str">
        <f t="shared" si="2"/>
        <v>Fields</v>
      </c>
      <c r="J102" s="1" t="str">
        <f t="shared" si="3"/>
        <v>#N/A</v>
      </c>
      <c r="K102" s="1" t="str">
        <f>IFERROR(VLOOKUP($J102,Players!$D:$E,2,FALSE),VLOOKUP($G102,Players!A:E,5,FALSE))</f>
        <v>QB</v>
      </c>
    </row>
    <row r="103" ht="15.75" customHeight="1">
      <c r="A103" s="1">
        <v>2021.0</v>
      </c>
      <c r="B103" s="1" t="s">
        <v>41</v>
      </c>
      <c r="C103" s="1" t="s">
        <v>26</v>
      </c>
      <c r="D103" s="8">
        <v>12.0</v>
      </c>
      <c r="E103" s="8">
        <v>12.0</v>
      </c>
      <c r="F103" s="8">
        <v>138.0</v>
      </c>
      <c r="G103" s="1" t="s">
        <v>243</v>
      </c>
      <c r="H103" s="1" t="str">
        <f t="shared" si="1"/>
        <v>Marvin</v>
      </c>
      <c r="I103" s="1" t="str">
        <f t="shared" si="2"/>
        <v>Jones Jr</v>
      </c>
      <c r="J103" s="1" t="str">
        <f t="shared" si="3"/>
        <v>#N/A</v>
      </c>
      <c r="K103" s="1" t="str">
        <f>IFERROR(VLOOKUP($J103,Players!$D:$E,2,FALSE),VLOOKUP($G103,Players!A:E,5,FALSE))</f>
        <v>#N/A</v>
      </c>
    </row>
    <row r="104" ht="15.75" customHeight="1">
      <c r="A104" s="1">
        <v>2021.0</v>
      </c>
      <c r="B104" s="1" t="s">
        <v>41</v>
      </c>
      <c r="C104" s="1" t="s">
        <v>26</v>
      </c>
      <c r="D104" s="8">
        <v>12.0</v>
      </c>
      <c r="E104" s="8">
        <v>13.0</v>
      </c>
      <c r="F104" s="8">
        <v>151.0</v>
      </c>
      <c r="G104" s="1" t="s">
        <v>246</v>
      </c>
      <c r="H104" s="1" t="str">
        <f t="shared" si="1"/>
        <v>Darnell</v>
      </c>
      <c r="I104" s="1" t="str">
        <f t="shared" si="2"/>
        <v>Mooney</v>
      </c>
      <c r="J104" s="1" t="str">
        <f t="shared" si="3"/>
        <v>#N/A</v>
      </c>
      <c r="K104" s="1" t="str">
        <f>IFERROR(VLOOKUP($J104,Players!$D:$E,2,FALSE),VLOOKUP($G104,Players!A:E,5,FALSE))</f>
        <v>WR</v>
      </c>
    </row>
    <row r="105" ht="15.75" customHeight="1">
      <c r="A105" s="1">
        <v>2021.0</v>
      </c>
      <c r="B105" s="1" t="s">
        <v>41</v>
      </c>
      <c r="C105" s="1" t="s">
        <v>26</v>
      </c>
      <c r="D105" s="8">
        <v>12.0</v>
      </c>
      <c r="E105" s="8">
        <v>14.0</v>
      </c>
      <c r="F105" s="8">
        <v>162.0</v>
      </c>
      <c r="G105" s="1" t="s">
        <v>249</v>
      </c>
      <c r="H105" s="1" t="str">
        <f t="shared" si="1"/>
        <v>Younghoe</v>
      </c>
      <c r="I105" s="1" t="str">
        <f t="shared" si="2"/>
        <v>Koo</v>
      </c>
      <c r="J105" s="1" t="str">
        <f t="shared" si="3"/>
        <v>#N/A</v>
      </c>
      <c r="K105" s="1" t="str">
        <f>IFERROR(VLOOKUP($J105,Players!$D:$E,2,FALSE),VLOOKUP($G105,Players!A:E,5,FALSE))</f>
        <v>K</v>
      </c>
    </row>
    <row r="106" ht="15.75" customHeight="1">
      <c r="A106" s="1">
        <v>2021.0</v>
      </c>
      <c r="B106" s="1" t="s">
        <v>41</v>
      </c>
      <c r="C106" s="1" t="s">
        <v>26</v>
      </c>
      <c r="D106" s="8">
        <v>12.0</v>
      </c>
      <c r="E106" s="8">
        <v>15.0</v>
      </c>
      <c r="F106" s="8">
        <v>175.0</v>
      </c>
      <c r="G106" s="1" t="s">
        <v>252</v>
      </c>
      <c r="H106" s="1" t="str">
        <f t="shared" si="1"/>
        <v>Irv</v>
      </c>
      <c r="I106" s="1" t="str">
        <f t="shared" si="2"/>
        <v>Smith Jr</v>
      </c>
      <c r="J106" s="1" t="str">
        <f t="shared" si="3"/>
        <v>#N/A</v>
      </c>
      <c r="K106" s="1" t="str">
        <f>IFERROR(VLOOKUP($J106,Players!$D:$E,2,FALSE),VLOOKUP($G106,Players!A:E,5,FALSE))</f>
        <v>#N/A</v>
      </c>
    </row>
    <row r="107" ht="15.75" customHeight="1">
      <c r="A107" s="1">
        <v>2021.0</v>
      </c>
      <c r="B107" s="1" t="s">
        <v>21</v>
      </c>
      <c r="C107" s="1" t="s">
        <v>22</v>
      </c>
      <c r="D107" s="8">
        <v>3.0</v>
      </c>
      <c r="E107" s="8">
        <v>1.0</v>
      </c>
      <c r="F107" s="8">
        <v>8.0</v>
      </c>
      <c r="G107" s="1" t="s">
        <v>256</v>
      </c>
      <c r="H107" s="1" t="str">
        <f t="shared" si="1"/>
        <v>Austin</v>
      </c>
      <c r="I107" s="1" t="str">
        <f t="shared" si="2"/>
        <v>Ekeler</v>
      </c>
      <c r="J107" s="1" t="str">
        <f t="shared" si="3"/>
        <v>#N/A</v>
      </c>
      <c r="K107" s="1" t="str">
        <f>IFERROR(VLOOKUP($J107,Players!$D:$E,2,FALSE),VLOOKUP($G107,Players!A:E,5,FALSE))</f>
        <v>RB</v>
      </c>
    </row>
    <row r="108" ht="15.75" customHeight="1">
      <c r="A108" s="1">
        <v>2021.0</v>
      </c>
      <c r="B108" s="1" t="s">
        <v>21</v>
      </c>
      <c r="C108" s="1" t="s">
        <v>22</v>
      </c>
      <c r="D108" s="8">
        <v>3.0</v>
      </c>
      <c r="E108" s="8">
        <v>2.0</v>
      </c>
      <c r="F108" s="8">
        <v>17.0</v>
      </c>
      <c r="G108" s="1" t="s">
        <v>259</v>
      </c>
      <c r="H108" s="1" t="str">
        <f t="shared" si="1"/>
        <v>Darren</v>
      </c>
      <c r="I108" s="1" t="str">
        <f t="shared" si="2"/>
        <v>Waller</v>
      </c>
      <c r="J108" s="1" t="str">
        <f t="shared" si="3"/>
        <v>#N/A</v>
      </c>
      <c r="K108" s="1" t="str">
        <f>IFERROR(VLOOKUP($J108,Players!$D:$E,2,FALSE),VLOOKUP($G108,Players!A:E,5,FALSE))</f>
        <v>TE</v>
      </c>
    </row>
    <row r="109" ht="15.75" customHeight="1">
      <c r="A109" s="1">
        <v>2021.0</v>
      </c>
      <c r="B109" s="1" t="s">
        <v>21</v>
      </c>
      <c r="C109" s="1" t="s">
        <v>22</v>
      </c>
      <c r="D109" s="8">
        <v>3.0</v>
      </c>
      <c r="E109" s="8">
        <v>3.0</v>
      </c>
      <c r="F109" s="8">
        <v>32.0</v>
      </c>
      <c r="G109" s="1" t="s">
        <v>261</v>
      </c>
      <c r="H109" s="1" t="str">
        <f t="shared" si="1"/>
        <v>David</v>
      </c>
      <c r="I109" s="1" t="str">
        <f t="shared" si="2"/>
        <v>Montgomery</v>
      </c>
      <c r="J109" s="1" t="str">
        <f t="shared" si="3"/>
        <v>#N/A</v>
      </c>
      <c r="K109" s="1" t="str">
        <f>IFERROR(VLOOKUP($J109,Players!$D:$E,2,FALSE),VLOOKUP($G109,Players!A:E,5,FALSE))</f>
        <v>RB</v>
      </c>
    </row>
    <row r="110" ht="15.75" customHeight="1">
      <c r="A110" s="1">
        <v>2021.0</v>
      </c>
      <c r="B110" s="1" t="s">
        <v>21</v>
      </c>
      <c r="C110" s="1" t="s">
        <v>22</v>
      </c>
      <c r="D110" s="8">
        <v>3.0</v>
      </c>
      <c r="E110" s="8">
        <v>4.0</v>
      </c>
      <c r="F110" s="8">
        <v>41.0</v>
      </c>
      <c r="G110" s="1" t="s">
        <v>263</v>
      </c>
      <c r="H110" s="1" t="str">
        <f t="shared" si="1"/>
        <v>Amari</v>
      </c>
      <c r="I110" s="1" t="str">
        <f t="shared" si="2"/>
        <v>Cooper</v>
      </c>
      <c r="J110" s="1" t="str">
        <f t="shared" si="3"/>
        <v>#N/A</v>
      </c>
      <c r="K110" s="1" t="str">
        <f>IFERROR(VLOOKUP($J110,Players!$D:$E,2,FALSE),VLOOKUP($G110,Players!A:E,5,FALSE))</f>
        <v>WR</v>
      </c>
    </row>
    <row r="111" ht="15.75" customHeight="1">
      <c r="A111" s="1">
        <v>2021.0</v>
      </c>
      <c r="B111" s="1" t="s">
        <v>21</v>
      </c>
      <c r="C111" s="1" t="s">
        <v>22</v>
      </c>
      <c r="D111" s="8">
        <v>3.0</v>
      </c>
      <c r="E111" s="8">
        <v>5.0</v>
      </c>
      <c r="F111" s="8">
        <v>56.0</v>
      </c>
      <c r="G111" s="1" t="s">
        <v>265</v>
      </c>
      <c r="H111" s="1" t="str">
        <f t="shared" si="1"/>
        <v>Darrell</v>
      </c>
      <c r="I111" s="1" t="str">
        <f t="shared" si="2"/>
        <v>Henderson Jr</v>
      </c>
      <c r="J111" s="1" t="str">
        <f t="shared" si="3"/>
        <v>#N/A</v>
      </c>
      <c r="K111" s="1" t="str">
        <f>IFERROR(VLOOKUP($J111,Players!$D:$E,2,FALSE),VLOOKUP($G111,Players!A:E,5,FALSE))</f>
        <v>#N/A</v>
      </c>
    </row>
    <row r="112" ht="15.75" customHeight="1">
      <c r="A112" s="1">
        <v>2021.0</v>
      </c>
      <c r="B112" s="1" t="s">
        <v>21</v>
      </c>
      <c r="C112" s="1" t="s">
        <v>22</v>
      </c>
      <c r="D112" s="8">
        <v>3.0</v>
      </c>
      <c r="E112" s="8">
        <v>6.0</v>
      </c>
      <c r="F112" s="8">
        <v>65.0</v>
      </c>
      <c r="G112" s="1" t="s">
        <v>267</v>
      </c>
      <c r="H112" s="1" t="str">
        <f t="shared" si="1"/>
        <v>Tom</v>
      </c>
      <c r="I112" s="1" t="str">
        <f t="shared" si="2"/>
        <v>Brady</v>
      </c>
      <c r="J112" s="1" t="str">
        <f t="shared" si="3"/>
        <v>#N/A</v>
      </c>
      <c r="K112" s="1" t="str">
        <f>IFERROR(VLOOKUP($J112,Players!$D:$E,2,FALSE),VLOOKUP($G112,Players!A:E,5,FALSE))</f>
        <v>QB</v>
      </c>
    </row>
    <row r="113" ht="15.75" customHeight="1">
      <c r="A113" s="1">
        <v>2021.0</v>
      </c>
      <c r="B113" s="1" t="s">
        <v>21</v>
      </c>
      <c r="C113" s="1" t="s">
        <v>22</v>
      </c>
      <c r="D113" s="8">
        <v>3.0</v>
      </c>
      <c r="E113" s="8">
        <v>7.0</v>
      </c>
      <c r="F113" s="8">
        <v>80.0</v>
      </c>
      <c r="G113" s="1" t="s">
        <v>270</v>
      </c>
      <c r="H113" s="1" t="str">
        <f t="shared" si="1"/>
        <v>Michael</v>
      </c>
      <c r="I113" s="1" t="str">
        <f t="shared" si="2"/>
        <v>Thomas</v>
      </c>
      <c r="J113" s="1" t="str">
        <f t="shared" si="3"/>
        <v>#N/A</v>
      </c>
      <c r="K113" s="1" t="str">
        <f>IFERROR(VLOOKUP($J113,Players!$D:$E,2,FALSE),VLOOKUP($G113,Players!A:E,5,FALSE))</f>
        <v>WR</v>
      </c>
    </row>
    <row r="114" ht="15.75" customHeight="1">
      <c r="A114" s="1">
        <v>2021.0</v>
      </c>
      <c r="B114" s="1" t="s">
        <v>21</v>
      </c>
      <c r="C114" s="1" t="s">
        <v>22</v>
      </c>
      <c r="D114" s="8">
        <v>3.0</v>
      </c>
      <c r="E114" s="8">
        <v>8.0</v>
      </c>
      <c r="F114" s="8">
        <v>89.0</v>
      </c>
      <c r="G114" s="1" t="s">
        <v>273</v>
      </c>
      <c r="H114" s="1" t="str">
        <f t="shared" si="1"/>
        <v>Corey</v>
      </c>
      <c r="I114" s="1" t="str">
        <f t="shared" si="2"/>
        <v>Davis</v>
      </c>
      <c r="J114" s="1" t="str">
        <f t="shared" si="3"/>
        <v>#N/A</v>
      </c>
      <c r="K114" s="1" t="str">
        <f>IFERROR(VLOOKUP($J114,Players!$D:$E,2,FALSE),VLOOKUP($G114,Players!A:E,5,FALSE))</f>
        <v>WR</v>
      </c>
    </row>
    <row r="115" ht="15.75" customHeight="1">
      <c r="A115" s="1">
        <v>2021.0</v>
      </c>
      <c r="B115" s="1" t="s">
        <v>21</v>
      </c>
      <c r="C115" s="1" t="s">
        <v>22</v>
      </c>
      <c r="D115" s="8">
        <v>3.0</v>
      </c>
      <c r="E115" s="8">
        <v>9.0</v>
      </c>
      <c r="F115" s="8">
        <v>104.0</v>
      </c>
      <c r="G115" s="1" t="s">
        <v>276</v>
      </c>
      <c r="H115" s="1" t="str">
        <f t="shared" si="1"/>
        <v>Courtland</v>
      </c>
      <c r="I115" s="1" t="str">
        <f t="shared" si="2"/>
        <v>Sutton</v>
      </c>
      <c r="J115" s="1" t="str">
        <f t="shared" si="3"/>
        <v>#N/A</v>
      </c>
      <c r="K115" s="1" t="str">
        <f>IFERROR(VLOOKUP($J115,Players!$D:$E,2,FALSE),VLOOKUP($G115,Players!A:E,5,FALSE))</f>
        <v>WR</v>
      </c>
    </row>
    <row r="116" ht="15.75" customHeight="1">
      <c r="A116" s="1">
        <v>2021.0</v>
      </c>
      <c r="B116" s="1" t="s">
        <v>21</v>
      </c>
      <c r="C116" s="1" t="s">
        <v>22</v>
      </c>
      <c r="D116" s="8">
        <v>3.0</v>
      </c>
      <c r="E116" s="8">
        <v>10.0</v>
      </c>
      <c r="F116" s="8">
        <v>113.0</v>
      </c>
      <c r="G116" s="1" t="s">
        <v>279</v>
      </c>
      <c r="H116" s="1" t="str">
        <f t="shared" si="1"/>
        <v>AJ</v>
      </c>
      <c r="I116" s="1" t="str">
        <f t="shared" si="2"/>
        <v>Dillon</v>
      </c>
      <c r="J116" s="1" t="str">
        <f t="shared" si="3"/>
        <v>#N/A</v>
      </c>
      <c r="K116" s="1" t="str">
        <f>IFERROR(VLOOKUP($J116,Players!$D:$E,2,FALSE),VLOOKUP($G116,Players!A:E,5,FALSE))</f>
        <v>#N/A</v>
      </c>
    </row>
    <row r="117" ht="15.75" customHeight="1">
      <c r="A117" s="1">
        <v>2021.0</v>
      </c>
      <c r="B117" s="1" t="s">
        <v>21</v>
      </c>
      <c r="C117" s="1" t="s">
        <v>22</v>
      </c>
      <c r="D117" s="8">
        <v>3.0</v>
      </c>
      <c r="E117" s="8">
        <v>11.0</v>
      </c>
      <c r="F117" s="8">
        <v>128.0</v>
      </c>
      <c r="G117" s="1" t="s">
        <v>282</v>
      </c>
      <c r="H117" s="1" t="str">
        <f t="shared" si="1"/>
        <v>San</v>
      </c>
      <c r="I117" s="1" t="str">
        <f t="shared" si="2"/>
        <v>Francisco</v>
      </c>
      <c r="J117" s="1" t="str">
        <f t="shared" si="3"/>
        <v>#N/A</v>
      </c>
      <c r="K117" s="1" t="str">
        <f>IFERROR(VLOOKUP($J117,Players!$D:$E,2,FALSE),VLOOKUP($G117,Players!A:E,5,FALSE))</f>
        <v>DEF</v>
      </c>
    </row>
    <row r="118" ht="15.75" customHeight="1">
      <c r="A118" s="1">
        <v>2021.0</v>
      </c>
      <c r="B118" s="1" t="s">
        <v>21</v>
      </c>
      <c r="C118" s="1" t="s">
        <v>22</v>
      </c>
      <c r="D118" s="8">
        <v>3.0</v>
      </c>
      <c r="E118" s="8">
        <v>12.0</v>
      </c>
      <c r="F118" s="8">
        <v>137.0</v>
      </c>
      <c r="G118" s="1" t="s">
        <v>285</v>
      </c>
      <c r="H118" s="1" t="str">
        <f t="shared" si="1"/>
        <v>Joe</v>
      </c>
      <c r="I118" s="1" t="str">
        <f t="shared" si="2"/>
        <v>Burrow</v>
      </c>
      <c r="J118" s="1" t="str">
        <f t="shared" si="3"/>
        <v>#N/A</v>
      </c>
      <c r="K118" s="1" t="str">
        <f>IFERROR(VLOOKUP($J118,Players!$D:$E,2,FALSE),VLOOKUP($G118,Players!A:E,5,FALSE))</f>
        <v>QB</v>
      </c>
    </row>
    <row r="119" ht="15.75" customHeight="1">
      <c r="A119" s="1">
        <v>2021.0</v>
      </c>
      <c r="B119" s="1" t="s">
        <v>21</v>
      </c>
      <c r="C119" s="1" t="s">
        <v>22</v>
      </c>
      <c r="D119" s="8">
        <v>3.0</v>
      </c>
      <c r="E119" s="8">
        <v>13.0</v>
      </c>
      <c r="F119" s="8">
        <v>152.0</v>
      </c>
      <c r="G119" s="1" t="s">
        <v>288</v>
      </c>
      <c r="H119" s="1" t="str">
        <f t="shared" si="1"/>
        <v>Greg</v>
      </c>
      <c r="I119" s="1" t="str">
        <f t="shared" si="2"/>
        <v>Zuerlein</v>
      </c>
      <c r="J119" s="1" t="str">
        <f t="shared" si="3"/>
        <v>#N/A</v>
      </c>
      <c r="K119" s="1" t="str">
        <f>IFERROR(VLOOKUP($J119,Players!$D:$E,2,FALSE),VLOOKUP($G119,Players!A:E,5,FALSE))</f>
        <v>K</v>
      </c>
    </row>
    <row r="120" ht="15.75" customHeight="1">
      <c r="A120" s="1">
        <v>2021.0</v>
      </c>
      <c r="B120" s="1" t="s">
        <v>21</v>
      </c>
      <c r="C120" s="1" t="s">
        <v>22</v>
      </c>
      <c r="D120" s="8">
        <v>3.0</v>
      </c>
      <c r="E120" s="8">
        <v>14.0</v>
      </c>
      <c r="F120" s="8">
        <v>161.0</v>
      </c>
      <c r="G120" s="1" t="s">
        <v>291</v>
      </c>
      <c r="H120" s="1" t="str">
        <f t="shared" si="1"/>
        <v>Cole</v>
      </c>
      <c r="I120" s="1" t="str">
        <f t="shared" si="2"/>
        <v>Kmet</v>
      </c>
      <c r="J120" s="1" t="str">
        <f t="shared" si="3"/>
        <v>#N/A</v>
      </c>
      <c r="K120" s="1" t="str">
        <f>IFERROR(VLOOKUP($J120,Players!$D:$E,2,FALSE),VLOOKUP($G120,Players!A:E,5,FALSE))</f>
        <v>TE</v>
      </c>
    </row>
    <row r="121" ht="15.75" customHeight="1">
      <c r="A121" s="1">
        <v>2021.0</v>
      </c>
      <c r="B121" s="1" t="s">
        <v>21</v>
      </c>
      <c r="C121" s="1" t="s">
        <v>22</v>
      </c>
      <c r="D121" s="8">
        <v>3.0</v>
      </c>
      <c r="E121" s="8">
        <v>15.0</v>
      </c>
      <c r="F121" s="8">
        <v>176.0</v>
      </c>
      <c r="G121" s="1" t="s">
        <v>294</v>
      </c>
      <c r="H121" s="1" t="str">
        <f t="shared" si="1"/>
        <v>Gabriel</v>
      </c>
      <c r="I121" s="1" t="str">
        <f t="shared" si="2"/>
        <v>Davis</v>
      </c>
      <c r="J121" s="1" t="str">
        <f t="shared" si="3"/>
        <v>#N/A</v>
      </c>
      <c r="K121" s="1" t="str">
        <f>IFERROR(VLOOKUP($J121,Players!$D:$E,2,FALSE),VLOOKUP($G121,Players!A:E,5,FALSE))</f>
        <v>#N/A</v>
      </c>
    </row>
    <row r="122" ht="15.75" customHeight="1">
      <c r="A122" s="1">
        <v>2021.0</v>
      </c>
      <c r="B122" s="1" t="s">
        <v>36</v>
      </c>
      <c r="C122" s="1" t="s">
        <v>17</v>
      </c>
      <c r="D122" s="8">
        <v>9.0</v>
      </c>
      <c r="E122" s="8">
        <v>1.0</v>
      </c>
      <c r="F122" s="8">
        <v>9.0</v>
      </c>
      <c r="G122" s="1" t="s">
        <v>167</v>
      </c>
      <c r="H122" s="1" t="str">
        <f t="shared" si="1"/>
        <v>Aaron</v>
      </c>
      <c r="I122" s="1" t="str">
        <f t="shared" si="2"/>
        <v>Jones</v>
      </c>
      <c r="J122" s="1" t="str">
        <f t="shared" si="3"/>
        <v>#N/A</v>
      </c>
      <c r="K122" s="1" t="str">
        <f>IFERROR(VLOOKUP($J122,Players!$D:$E,2,FALSE),VLOOKUP($G122,Players!A:E,5,FALSE))</f>
        <v>RB</v>
      </c>
    </row>
    <row r="123" ht="15.75" customHeight="1">
      <c r="A123" s="1">
        <v>2021.0</v>
      </c>
      <c r="B123" s="1" t="s">
        <v>36</v>
      </c>
      <c r="C123" s="1" t="s">
        <v>17</v>
      </c>
      <c r="D123" s="8">
        <v>9.0</v>
      </c>
      <c r="E123" s="8">
        <v>2.0</v>
      </c>
      <c r="F123" s="8">
        <v>16.0</v>
      </c>
      <c r="G123" s="1" t="s">
        <v>298</v>
      </c>
      <c r="H123" s="1" t="str">
        <f t="shared" si="1"/>
        <v>DeAndre</v>
      </c>
      <c r="I123" s="1" t="str">
        <f t="shared" si="2"/>
        <v>Hopkins</v>
      </c>
      <c r="J123" s="1" t="str">
        <f t="shared" si="3"/>
        <v>#N/A</v>
      </c>
      <c r="K123" s="1" t="str">
        <f>IFERROR(VLOOKUP($J123,Players!$D:$E,2,FALSE),VLOOKUP($G123,Players!A:E,5,FALSE))</f>
        <v>WR</v>
      </c>
    </row>
    <row r="124" ht="15.75" customHeight="1">
      <c r="A124" s="1">
        <v>2021.0</v>
      </c>
      <c r="B124" s="1" t="s">
        <v>36</v>
      </c>
      <c r="C124" s="1" t="s">
        <v>17</v>
      </c>
      <c r="D124" s="8">
        <v>9.0</v>
      </c>
      <c r="E124" s="8">
        <v>3.0</v>
      </c>
      <c r="F124" s="8">
        <v>33.0</v>
      </c>
      <c r="G124" s="1" t="s">
        <v>301</v>
      </c>
      <c r="H124" s="1" t="str">
        <f t="shared" si="1"/>
        <v>CeeDee</v>
      </c>
      <c r="I124" s="1" t="str">
        <f t="shared" si="2"/>
        <v>Lamb</v>
      </c>
      <c r="J124" s="1" t="str">
        <f t="shared" si="3"/>
        <v>#N/A</v>
      </c>
      <c r="K124" s="1" t="str">
        <f>IFERROR(VLOOKUP($J124,Players!$D:$E,2,FALSE),VLOOKUP($G124,Players!A:E,5,FALSE))</f>
        <v>WR</v>
      </c>
    </row>
    <row r="125" ht="15.75" customHeight="1">
      <c r="A125" s="1">
        <v>2021.0</v>
      </c>
      <c r="B125" s="1" t="s">
        <v>36</v>
      </c>
      <c r="C125" s="1" t="s">
        <v>17</v>
      </c>
      <c r="D125" s="8">
        <v>9.0</v>
      </c>
      <c r="E125" s="8">
        <v>4.0</v>
      </c>
      <c r="F125" s="8">
        <v>40.0</v>
      </c>
      <c r="G125" s="1" t="s">
        <v>304</v>
      </c>
      <c r="H125" s="1" t="str">
        <f t="shared" si="1"/>
        <v>Gus</v>
      </c>
      <c r="I125" s="1" t="str">
        <f t="shared" si="2"/>
        <v>Edwards</v>
      </c>
      <c r="J125" s="1" t="str">
        <f t="shared" si="3"/>
        <v>#N/A</v>
      </c>
      <c r="K125" s="1" t="str">
        <f>IFERROR(VLOOKUP($J125,Players!$D:$E,2,FALSE),VLOOKUP($G125,Players!A:E,5,FALSE))</f>
        <v>RB</v>
      </c>
    </row>
    <row r="126" ht="15.75" customHeight="1">
      <c r="A126" s="1">
        <v>2021.0</v>
      </c>
      <c r="B126" s="1" t="s">
        <v>36</v>
      </c>
      <c r="C126" s="1" t="s">
        <v>17</v>
      </c>
      <c r="D126" s="8">
        <v>9.0</v>
      </c>
      <c r="E126" s="8">
        <v>5.0</v>
      </c>
      <c r="F126" s="8">
        <v>57.0</v>
      </c>
      <c r="G126" s="1" t="s">
        <v>306</v>
      </c>
      <c r="H126" s="1" t="str">
        <f t="shared" si="1"/>
        <v>Dak</v>
      </c>
      <c r="I126" s="1" t="str">
        <f t="shared" si="2"/>
        <v>Prescott</v>
      </c>
      <c r="J126" s="1" t="str">
        <f t="shared" si="3"/>
        <v>#N/A</v>
      </c>
      <c r="K126" s="1" t="str">
        <f>IFERROR(VLOOKUP($J126,Players!$D:$E,2,FALSE),VLOOKUP($G126,Players!A:E,5,FALSE))</f>
        <v>QB</v>
      </c>
    </row>
    <row r="127" ht="15.75" customHeight="1">
      <c r="A127" s="1">
        <v>2021.0</v>
      </c>
      <c r="B127" s="1" t="s">
        <v>36</v>
      </c>
      <c r="C127" s="1" t="s">
        <v>17</v>
      </c>
      <c r="D127" s="8">
        <v>9.0</v>
      </c>
      <c r="E127" s="8">
        <v>6.0</v>
      </c>
      <c r="F127" s="8">
        <v>64.0</v>
      </c>
      <c r="G127" s="1" t="s">
        <v>310</v>
      </c>
      <c r="H127" s="1" t="str">
        <f t="shared" si="1"/>
        <v>Mike</v>
      </c>
      <c r="I127" s="1" t="str">
        <f t="shared" si="2"/>
        <v>Davis</v>
      </c>
      <c r="J127" s="1" t="str">
        <f t="shared" si="3"/>
        <v>#N/A</v>
      </c>
      <c r="K127" s="1" t="str">
        <f>IFERROR(VLOOKUP($J127,Players!$D:$E,2,FALSE),VLOOKUP($G127,Players!A:E,5,FALSE))</f>
        <v>WR</v>
      </c>
    </row>
    <row r="128" ht="15.75" customHeight="1">
      <c r="A128" s="1">
        <v>2021.0</v>
      </c>
      <c r="B128" s="1" t="s">
        <v>36</v>
      </c>
      <c r="C128" s="1" t="s">
        <v>17</v>
      </c>
      <c r="D128" s="8">
        <v>9.0</v>
      </c>
      <c r="E128" s="8">
        <v>7.0</v>
      </c>
      <c r="F128" s="8">
        <v>81.0</v>
      </c>
      <c r="G128" s="1" t="s">
        <v>312</v>
      </c>
      <c r="H128" s="1" t="str">
        <f t="shared" si="1"/>
        <v>Ronald</v>
      </c>
      <c r="I128" s="1" t="str">
        <f t="shared" si="2"/>
        <v>Jones II</v>
      </c>
      <c r="J128" s="1" t="str">
        <f t="shared" si="3"/>
        <v>#N/A</v>
      </c>
      <c r="K128" s="1" t="str">
        <f>IFERROR(VLOOKUP($J128,Players!$D:$E,2,FALSE),VLOOKUP($G128,Players!A:E,5,FALSE))</f>
        <v>#N/A</v>
      </c>
    </row>
    <row r="129" ht="15.75" customHeight="1">
      <c r="A129" s="1">
        <v>2021.0</v>
      </c>
      <c r="B129" s="1" t="s">
        <v>36</v>
      </c>
      <c r="C129" s="1" t="s">
        <v>17</v>
      </c>
      <c r="D129" s="8">
        <v>9.0</v>
      </c>
      <c r="E129" s="8">
        <v>8.0</v>
      </c>
      <c r="F129" s="8">
        <v>88.0</v>
      </c>
      <c r="G129" s="1" t="s">
        <v>315</v>
      </c>
      <c r="H129" s="1" t="str">
        <f t="shared" si="1"/>
        <v>Noah</v>
      </c>
      <c r="I129" s="1" t="str">
        <f t="shared" si="2"/>
        <v>Fant</v>
      </c>
      <c r="J129" s="1" t="str">
        <f t="shared" si="3"/>
        <v>#N/A</v>
      </c>
      <c r="K129" s="1" t="str">
        <f>IFERROR(VLOOKUP($J129,Players!$D:$E,2,FALSE),VLOOKUP($G129,Players!A:E,5,FALSE))</f>
        <v>TE</v>
      </c>
    </row>
    <row r="130" ht="15.75" customHeight="1">
      <c r="A130" s="1">
        <v>2021.0</v>
      </c>
      <c r="B130" s="1" t="s">
        <v>36</v>
      </c>
      <c r="C130" s="1" t="s">
        <v>17</v>
      </c>
      <c r="D130" s="8">
        <v>9.0</v>
      </c>
      <c r="E130" s="8">
        <v>9.0</v>
      </c>
      <c r="F130" s="8">
        <v>105.0</v>
      </c>
      <c r="G130" s="1" t="s">
        <v>318</v>
      </c>
      <c r="H130" s="1" t="str">
        <f t="shared" si="1"/>
        <v>Will</v>
      </c>
      <c r="I130" s="1" t="str">
        <f t="shared" si="2"/>
        <v>Fuller V</v>
      </c>
      <c r="J130" s="1" t="str">
        <f t="shared" si="3"/>
        <v>#N/A</v>
      </c>
      <c r="K130" s="1" t="str">
        <f>IFERROR(VLOOKUP($J130,Players!$D:$E,2,FALSE),VLOOKUP($G130,Players!A:E,5,FALSE))</f>
        <v>#N/A</v>
      </c>
    </row>
    <row r="131" ht="15.75" customHeight="1">
      <c r="A131" s="1">
        <v>2021.0</v>
      </c>
      <c r="B131" s="1" t="s">
        <v>36</v>
      </c>
      <c r="C131" s="1" t="s">
        <v>17</v>
      </c>
      <c r="D131" s="8">
        <v>9.0</v>
      </c>
      <c r="E131" s="8">
        <v>10.0</v>
      </c>
      <c r="F131" s="8">
        <v>112.0</v>
      </c>
      <c r="G131" s="1" t="s">
        <v>320</v>
      </c>
      <c r="H131" s="1" t="str">
        <f t="shared" si="1"/>
        <v>Mike</v>
      </c>
      <c r="I131" s="1" t="str">
        <f t="shared" si="2"/>
        <v>Williams</v>
      </c>
      <c r="J131" s="1" t="str">
        <f t="shared" si="3"/>
        <v>#N/A</v>
      </c>
      <c r="K131" s="1" t="str">
        <f>IFERROR(VLOOKUP($J131,Players!$D:$E,2,FALSE),VLOOKUP($G131,Players!A:E,5,FALSE))</f>
        <v>WR</v>
      </c>
    </row>
    <row r="132" ht="15.75" customHeight="1">
      <c r="A132" s="1">
        <v>2021.0</v>
      </c>
      <c r="B132" s="1" t="s">
        <v>36</v>
      </c>
      <c r="C132" s="1" t="s">
        <v>17</v>
      </c>
      <c r="D132" s="8">
        <v>9.0</v>
      </c>
      <c r="E132" s="8">
        <v>11.0</v>
      </c>
      <c r="F132" s="8">
        <v>129.0</v>
      </c>
      <c r="G132" s="1" t="s">
        <v>323</v>
      </c>
      <c r="H132" s="1" t="str">
        <f t="shared" si="1"/>
        <v>Harrison</v>
      </c>
      <c r="I132" s="1" t="str">
        <f t="shared" si="2"/>
        <v>Butker</v>
      </c>
      <c r="J132" s="1" t="str">
        <f t="shared" si="3"/>
        <v>#N/A</v>
      </c>
      <c r="K132" s="1" t="str">
        <f>IFERROR(VLOOKUP($J132,Players!$D:$E,2,FALSE),VLOOKUP($G132,Players!A:E,5,FALSE))</f>
        <v>K</v>
      </c>
    </row>
    <row r="133" ht="15.75" customHeight="1">
      <c r="A133" s="1">
        <v>2021.0</v>
      </c>
      <c r="B133" s="1" t="s">
        <v>36</v>
      </c>
      <c r="C133" s="1" t="s">
        <v>17</v>
      </c>
      <c r="D133" s="8">
        <v>9.0</v>
      </c>
      <c r="E133" s="8">
        <v>12.0</v>
      </c>
      <c r="F133" s="8">
        <v>136.0</v>
      </c>
      <c r="G133" s="1" t="s">
        <v>325</v>
      </c>
      <c r="H133" s="1" t="str">
        <f t="shared" si="1"/>
        <v>#VALUE!</v>
      </c>
      <c r="I133" s="1" t="str">
        <f t="shared" si="2"/>
        <v>#VALUE!</v>
      </c>
      <c r="J133" s="1" t="str">
        <f t="shared" si="3"/>
        <v>#N/A</v>
      </c>
      <c r="K133" s="1" t="str">
        <f>IFERROR(VLOOKUP($J133,Players!$D:$E,2,FALSE),VLOOKUP($G133,Players!A:E,5,FALSE))</f>
        <v>DEF</v>
      </c>
    </row>
    <row r="134" ht="15.75" customHeight="1">
      <c r="A134" s="1">
        <v>2021.0</v>
      </c>
      <c r="B134" s="1" t="s">
        <v>36</v>
      </c>
      <c r="C134" s="1" t="s">
        <v>17</v>
      </c>
      <c r="D134" s="8">
        <v>9.0</v>
      </c>
      <c r="E134" s="8">
        <v>13.0</v>
      </c>
      <c r="F134" s="8">
        <v>153.0</v>
      </c>
      <c r="G134" s="1" t="s">
        <v>328</v>
      </c>
      <c r="H134" s="1" t="str">
        <f t="shared" si="1"/>
        <v>Sterling</v>
      </c>
      <c r="I134" s="1" t="str">
        <f t="shared" si="2"/>
        <v>Shepard</v>
      </c>
      <c r="J134" s="1" t="str">
        <f t="shared" si="3"/>
        <v>#N/A</v>
      </c>
      <c r="K134" s="1" t="str">
        <f>IFERROR(VLOOKUP($J134,Players!$D:$E,2,FALSE),VLOOKUP($G134,Players!A:E,5,FALSE))</f>
        <v>WR</v>
      </c>
    </row>
    <row r="135" ht="15.75" customHeight="1">
      <c r="A135" s="1">
        <v>2021.0</v>
      </c>
      <c r="B135" s="1" t="s">
        <v>36</v>
      </c>
      <c r="C135" s="1" t="s">
        <v>17</v>
      </c>
      <c r="D135" s="8">
        <v>9.0</v>
      </c>
      <c r="E135" s="8">
        <v>14.0</v>
      </c>
      <c r="F135" s="8">
        <v>160.0</v>
      </c>
      <c r="G135" s="1" t="s">
        <v>331</v>
      </c>
      <c r="H135" s="1" t="str">
        <f t="shared" si="1"/>
        <v>Kansas</v>
      </c>
      <c r="I135" s="1" t="str">
        <f t="shared" si="2"/>
        <v>City</v>
      </c>
      <c r="J135" s="1" t="str">
        <f t="shared" si="3"/>
        <v>#N/A</v>
      </c>
      <c r="K135" s="1" t="str">
        <f>IFERROR(VLOOKUP($J135,Players!$D:$E,2,FALSE),VLOOKUP($G135,Players!A:E,5,FALSE))</f>
        <v>DEF</v>
      </c>
    </row>
    <row r="136" ht="15.75" customHeight="1">
      <c r="A136" s="1">
        <v>2021.0</v>
      </c>
      <c r="B136" s="1" t="s">
        <v>36</v>
      </c>
      <c r="C136" s="1" t="s">
        <v>17</v>
      </c>
      <c r="D136" s="8">
        <v>9.0</v>
      </c>
      <c r="E136" s="8">
        <v>15.0</v>
      </c>
      <c r="F136" s="8">
        <v>177.0</v>
      </c>
      <c r="G136" s="1" t="s">
        <v>335</v>
      </c>
      <c r="H136" s="1" t="str">
        <f t="shared" si="1"/>
        <v>Randall</v>
      </c>
      <c r="I136" s="1" t="str">
        <f t="shared" si="2"/>
        <v>Cobb</v>
      </c>
      <c r="J136" s="1" t="str">
        <f t="shared" si="3"/>
        <v>#N/A</v>
      </c>
      <c r="K136" s="1" t="str">
        <f>IFERROR(VLOOKUP($J136,Players!$D:$E,2,FALSE),VLOOKUP($G136,Players!A:E,5,FALSE))</f>
        <v>WR</v>
      </c>
    </row>
    <row r="137" ht="15.75" customHeight="1">
      <c r="A137" s="1">
        <v>2021.0</v>
      </c>
      <c r="B137" s="1" t="s">
        <v>39</v>
      </c>
      <c r="C137" s="1" t="s">
        <v>10</v>
      </c>
      <c r="D137" s="8">
        <v>10.0</v>
      </c>
      <c r="E137" s="8">
        <v>1.0</v>
      </c>
      <c r="F137" s="8">
        <v>10.0</v>
      </c>
      <c r="G137" s="1" t="s">
        <v>339</v>
      </c>
      <c r="H137" s="1" t="str">
        <f t="shared" si="1"/>
        <v>Tyreek</v>
      </c>
      <c r="I137" s="1" t="str">
        <f t="shared" si="2"/>
        <v>Hill</v>
      </c>
      <c r="J137" s="1" t="str">
        <f t="shared" si="3"/>
        <v>#N/A</v>
      </c>
      <c r="K137" s="1" t="str">
        <f>IFERROR(VLOOKUP($J137,Players!$D:$E,2,FALSE),VLOOKUP($G137,Players!A:E,5,FALSE))</f>
        <v>WR</v>
      </c>
    </row>
    <row r="138" ht="15.75" customHeight="1">
      <c r="A138" s="1">
        <v>2021.0</v>
      </c>
      <c r="B138" s="1" t="s">
        <v>39</v>
      </c>
      <c r="C138" s="1" t="s">
        <v>10</v>
      </c>
      <c r="D138" s="8">
        <v>10.0</v>
      </c>
      <c r="E138" s="8">
        <v>2.0</v>
      </c>
      <c r="F138" s="8">
        <v>15.0</v>
      </c>
      <c r="G138" s="1" t="s">
        <v>342</v>
      </c>
      <c r="H138" s="1" t="str">
        <f t="shared" si="1"/>
        <v>Saquon</v>
      </c>
      <c r="I138" s="1" t="str">
        <f t="shared" si="2"/>
        <v>Barkley</v>
      </c>
      <c r="J138" s="1" t="str">
        <f t="shared" si="3"/>
        <v>#N/A</v>
      </c>
      <c r="K138" s="1" t="str">
        <f>IFERROR(VLOOKUP($J138,Players!$D:$E,2,FALSE),VLOOKUP($G138,Players!A:E,5,FALSE))</f>
        <v>RB</v>
      </c>
    </row>
    <row r="139" ht="15.75" customHeight="1">
      <c r="A139" s="1">
        <v>2021.0</v>
      </c>
      <c r="B139" s="1" t="s">
        <v>39</v>
      </c>
      <c r="C139" s="1" t="s">
        <v>10</v>
      </c>
      <c r="D139" s="8">
        <v>10.0</v>
      </c>
      <c r="E139" s="8">
        <v>3.0</v>
      </c>
      <c r="F139" s="8">
        <v>34.0</v>
      </c>
      <c r="G139" s="1" t="s">
        <v>345</v>
      </c>
      <c r="H139" s="1" t="str">
        <f t="shared" si="1"/>
        <v>George</v>
      </c>
      <c r="I139" s="1" t="str">
        <f t="shared" si="2"/>
        <v>Kittle</v>
      </c>
      <c r="J139" s="1" t="str">
        <f t="shared" si="3"/>
        <v>#N/A</v>
      </c>
      <c r="K139" s="1" t="str">
        <f>IFERROR(VLOOKUP($J139,Players!$D:$E,2,FALSE),VLOOKUP($G139,Players!A:E,5,FALSE))</f>
        <v>TE</v>
      </c>
    </row>
    <row r="140" ht="15.75" customHeight="1">
      <c r="A140" s="1">
        <v>2021.0</v>
      </c>
      <c r="B140" s="1" t="s">
        <v>39</v>
      </c>
      <c r="C140" s="1" t="s">
        <v>10</v>
      </c>
      <c r="D140" s="8">
        <v>10.0</v>
      </c>
      <c r="E140" s="8">
        <v>4.0</v>
      </c>
      <c r="F140" s="8">
        <v>39.0</v>
      </c>
      <c r="G140" s="1" t="s">
        <v>347</v>
      </c>
      <c r="H140" s="1" t="str">
        <f t="shared" si="1"/>
        <v>Chris</v>
      </c>
      <c r="I140" s="1" t="str">
        <f t="shared" si="2"/>
        <v>Carson</v>
      </c>
      <c r="J140" s="1" t="str">
        <f t="shared" si="3"/>
        <v>#N/A</v>
      </c>
      <c r="K140" s="1" t="str">
        <f>IFERROR(VLOOKUP($J140,Players!$D:$E,2,FALSE),VLOOKUP($G140,Players!A:E,5,FALSE))</f>
        <v>RB</v>
      </c>
    </row>
    <row r="141" ht="15.75" customHeight="1">
      <c r="A141" s="1">
        <v>2021.0</v>
      </c>
      <c r="B141" s="1" t="s">
        <v>39</v>
      </c>
      <c r="C141" s="1" t="s">
        <v>10</v>
      </c>
      <c r="D141" s="8">
        <v>10.0</v>
      </c>
      <c r="E141" s="8">
        <v>5.0</v>
      </c>
      <c r="F141" s="8">
        <v>58.0</v>
      </c>
      <c r="G141" s="1" t="s">
        <v>350</v>
      </c>
      <c r="H141" s="1" t="str">
        <f t="shared" si="1"/>
        <v>Chase</v>
      </c>
      <c r="I141" s="1" t="str">
        <f t="shared" si="2"/>
        <v>Claypool</v>
      </c>
      <c r="J141" s="1" t="str">
        <f t="shared" si="3"/>
        <v>#N/A</v>
      </c>
      <c r="K141" s="1" t="str">
        <f>IFERROR(VLOOKUP($J141,Players!$D:$E,2,FALSE),VLOOKUP($G141,Players!A:E,5,FALSE))</f>
        <v>WR</v>
      </c>
    </row>
    <row r="142" ht="15.75" customHeight="1">
      <c r="A142" s="1">
        <v>2021.0</v>
      </c>
      <c r="B142" s="1" t="s">
        <v>39</v>
      </c>
      <c r="C142" s="1" t="s">
        <v>10</v>
      </c>
      <c r="D142" s="8">
        <v>10.0</v>
      </c>
      <c r="E142" s="8">
        <v>6.0</v>
      </c>
      <c r="F142" s="8">
        <v>63.0</v>
      </c>
      <c r="G142" s="1" t="s">
        <v>352</v>
      </c>
      <c r="H142" s="1" t="str">
        <f t="shared" si="1"/>
        <v>Raheem</v>
      </c>
      <c r="I142" s="1" t="str">
        <f t="shared" si="2"/>
        <v>Mostert</v>
      </c>
      <c r="J142" s="1" t="str">
        <f t="shared" si="3"/>
        <v>#N/A</v>
      </c>
      <c r="K142" s="1" t="str">
        <f>IFERROR(VLOOKUP($J142,Players!$D:$E,2,FALSE),VLOOKUP($G142,Players!A:E,5,FALSE))</f>
        <v>RB</v>
      </c>
    </row>
    <row r="143" ht="15.75" customHeight="1">
      <c r="A143" s="1">
        <v>2021.0</v>
      </c>
      <c r="B143" s="1" t="s">
        <v>39</v>
      </c>
      <c r="C143" s="1" t="s">
        <v>10</v>
      </c>
      <c r="D143" s="8">
        <v>10.0</v>
      </c>
      <c r="E143" s="8">
        <v>7.0</v>
      </c>
      <c r="F143" s="8">
        <v>82.0</v>
      </c>
      <c r="G143" s="1" t="s">
        <v>354</v>
      </c>
      <c r="H143" s="1" t="str">
        <f t="shared" si="1"/>
        <v>Ja'Marr</v>
      </c>
      <c r="I143" s="1" t="str">
        <f t="shared" si="2"/>
        <v>Chase</v>
      </c>
      <c r="J143" s="1" t="str">
        <f t="shared" si="3"/>
        <v>#N/A</v>
      </c>
      <c r="K143" s="1" t="str">
        <f>IFERROR(VLOOKUP($J143,Players!$D:$E,2,FALSE),VLOOKUP($G143,Players!A:E,5,FALSE))</f>
        <v>WR</v>
      </c>
    </row>
    <row r="144" ht="15.75" customHeight="1">
      <c r="A144" s="1">
        <v>2021.0</v>
      </c>
      <c r="B144" s="1" t="s">
        <v>39</v>
      </c>
      <c r="C144" s="1" t="s">
        <v>10</v>
      </c>
      <c r="D144" s="8">
        <v>10.0</v>
      </c>
      <c r="E144" s="8">
        <v>8.0</v>
      </c>
      <c r="F144" s="8">
        <v>87.0</v>
      </c>
      <c r="G144" s="1" t="s">
        <v>357</v>
      </c>
      <c r="H144" s="1" t="str">
        <f t="shared" si="1"/>
        <v>Ryan</v>
      </c>
      <c r="I144" s="1" t="str">
        <f t="shared" si="2"/>
        <v>Tannehill</v>
      </c>
      <c r="J144" s="1" t="str">
        <f t="shared" si="3"/>
        <v>#N/A</v>
      </c>
      <c r="K144" s="1" t="str">
        <f>IFERROR(VLOOKUP($J144,Players!$D:$E,2,FALSE),VLOOKUP($G144,Players!A:E,5,FALSE))</f>
        <v>QB</v>
      </c>
    </row>
    <row r="145" ht="15.75" customHeight="1">
      <c r="A145" s="1">
        <v>2021.0</v>
      </c>
      <c r="B145" s="1" t="s">
        <v>39</v>
      </c>
      <c r="C145" s="1" t="s">
        <v>10</v>
      </c>
      <c r="D145" s="8">
        <v>10.0</v>
      </c>
      <c r="E145" s="8">
        <v>9.0</v>
      </c>
      <c r="F145" s="8">
        <v>106.0</v>
      </c>
      <c r="G145" s="1" t="s">
        <v>360</v>
      </c>
      <c r="H145" s="1" t="str">
        <f t="shared" si="1"/>
        <v>Melvin</v>
      </c>
      <c r="I145" s="1" t="str">
        <f t="shared" si="2"/>
        <v>Gordon III</v>
      </c>
      <c r="J145" s="1" t="str">
        <f t="shared" si="3"/>
        <v>#N/A</v>
      </c>
      <c r="K145" s="1" t="str">
        <f>IFERROR(VLOOKUP($J145,Players!$D:$E,2,FALSE),VLOOKUP($G145,Players!A:E,5,FALSE))</f>
        <v>#N/A</v>
      </c>
    </row>
    <row r="146" ht="15.75" customHeight="1">
      <c r="A146" s="1">
        <v>2021.0</v>
      </c>
      <c r="B146" s="1" t="s">
        <v>39</v>
      </c>
      <c r="C146" s="1" t="s">
        <v>10</v>
      </c>
      <c r="D146" s="8">
        <v>10.0</v>
      </c>
      <c r="E146" s="8">
        <v>10.0</v>
      </c>
      <c r="F146" s="8">
        <v>111.0</v>
      </c>
      <c r="G146" s="1" t="s">
        <v>362</v>
      </c>
      <c r="H146" s="1" t="str">
        <f t="shared" si="1"/>
        <v>Kenyan</v>
      </c>
      <c r="I146" s="1" t="str">
        <f t="shared" si="2"/>
        <v>Drake</v>
      </c>
      <c r="J146" s="1" t="str">
        <f t="shared" si="3"/>
        <v>#N/A</v>
      </c>
      <c r="K146" s="1" t="str">
        <f>IFERROR(VLOOKUP($J146,Players!$D:$E,2,FALSE),VLOOKUP($G146,Players!A:E,5,FALSE))</f>
        <v>RB</v>
      </c>
    </row>
    <row r="147" ht="15.75" customHeight="1">
      <c r="A147" s="1">
        <v>2021.0</v>
      </c>
      <c r="B147" s="1" t="s">
        <v>39</v>
      </c>
      <c r="C147" s="1" t="s">
        <v>10</v>
      </c>
      <c r="D147" s="8">
        <v>10.0</v>
      </c>
      <c r="E147" s="8">
        <v>11.0</v>
      </c>
      <c r="F147" s="8">
        <v>130.0</v>
      </c>
      <c r="G147" s="1" t="s">
        <v>366</v>
      </c>
      <c r="H147" s="1" t="str">
        <f t="shared" si="1"/>
        <v>Matthew</v>
      </c>
      <c r="I147" s="1" t="str">
        <f t="shared" si="2"/>
        <v>Stafford</v>
      </c>
      <c r="J147" s="1" t="str">
        <f t="shared" si="3"/>
        <v>#N/A</v>
      </c>
      <c r="K147" s="1" t="str">
        <f>IFERROR(VLOOKUP($J147,Players!$D:$E,2,FALSE),VLOOKUP($G147,Players!A:E,5,FALSE))</f>
        <v>QB</v>
      </c>
    </row>
    <row r="148" ht="15.75" customHeight="1">
      <c r="A148" s="1">
        <v>2021.0</v>
      </c>
      <c r="B148" s="1" t="s">
        <v>39</v>
      </c>
      <c r="C148" s="1" t="s">
        <v>10</v>
      </c>
      <c r="D148" s="8">
        <v>10.0</v>
      </c>
      <c r="E148" s="8">
        <v>12.0</v>
      </c>
      <c r="F148" s="8">
        <v>135.0</v>
      </c>
      <c r="G148" s="1" t="s">
        <v>369</v>
      </c>
      <c r="H148" s="1" t="str">
        <f t="shared" si="1"/>
        <v>New</v>
      </c>
      <c r="I148" s="1" t="str">
        <f t="shared" si="2"/>
        <v>England</v>
      </c>
      <c r="J148" s="1" t="str">
        <f t="shared" si="3"/>
        <v>#N/A</v>
      </c>
      <c r="K148" s="1" t="str">
        <f>IFERROR(VLOOKUP($J148,Players!$D:$E,2,FALSE),VLOOKUP($G148,Players!A:E,5,FALSE))</f>
        <v>DEF</v>
      </c>
    </row>
    <row r="149" ht="15.75" customHeight="1">
      <c r="A149" s="1">
        <v>2021.0</v>
      </c>
      <c r="B149" s="1" t="s">
        <v>39</v>
      </c>
      <c r="C149" s="1" t="s">
        <v>10</v>
      </c>
      <c r="D149" s="8">
        <v>10.0</v>
      </c>
      <c r="E149" s="8">
        <v>13.0</v>
      </c>
      <c r="F149" s="8">
        <v>154.0</v>
      </c>
      <c r="G149" s="1" t="s">
        <v>372</v>
      </c>
      <c r="H149" s="1" t="str">
        <f t="shared" si="1"/>
        <v>Elijah</v>
      </c>
      <c r="I149" s="1" t="str">
        <f t="shared" si="2"/>
        <v>Moore</v>
      </c>
      <c r="J149" s="1" t="str">
        <f t="shared" si="3"/>
        <v>#N/A</v>
      </c>
      <c r="K149" s="1" t="str">
        <f>IFERROR(VLOOKUP($J149,Players!$D:$E,2,FALSE),VLOOKUP($G149,Players!A:E,5,FALSE))</f>
        <v>WR</v>
      </c>
    </row>
    <row r="150" ht="15.75" customHeight="1">
      <c r="A150" s="1">
        <v>2021.0</v>
      </c>
      <c r="B150" s="1" t="s">
        <v>39</v>
      </c>
      <c r="C150" s="1" t="s">
        <v>10</v>
      </c>
      <c r="D150" s="8">
        <v>10.0</v>
      </c>
      <c r="E150" s="8">
        <v>14.0</v>
      </c>
      <c r="F150" s="8">
        <v>159.0</v>
      </c>
      <c r="G150" s="1" t="s">
        <v>375</v>
      </c>
      <c r="H150" s="1" t="str">
        <f t="shared" si="1"/>
        <v>Rashaad</v>
      </c>
      <c r="I150" s="1" t="str">
        <f t="shared" si="2"/>
        <v>Penny</v>
      </c>
      <c r="J150" s="1" t="str">
        <f t="shared" si="3"/>
        <v>#N/A</v>
      </c>
      <c r="K150" s="1" t="str">
        <f>IFERROR(VLOOKUP($J150,Players!$D:$E,2,FALSE),VLOOKUP($G150,Players!A:E,5,FALSE))</f>
        <v>RB</v>
      </c>
    </row>
    <row r="151" ht="15.75" customHeight="1">
      <c r="A151" s="1">
        <v>2021.0</v>
      </c>
      <c r="B151" s="1" t="s">
        <v>39</v>
      </c>
      <c r="C151" s="1" t="s">
        <v>10</v>
      </c>
      <c r="D151" s="8">
        <v>10.0</v>
      </c>
      <c r="E151" s="8">
        <v>15.0</v>
      </c>
      <c r="F151" s="8">
        <v>178.0</v>
      </c>
      <c r="G151" s="1" t="s">
        <v>377</v>
      </c>
      <c r="H151" s="1" t="str">
        <f t="shared" si="1"/>
        <v>Daniel</v>
      </c>
      <c r="I151" s="1" t="str">
        <f t="shared" si="2"/>
        <v>Carlson</v>
      </c>
      <c r="J151" s="1" t="str">
        <f t="shared" si="3"/>
        <v>#N/A</v>
      </c>
      <c r="K151" s="1" t="str">
        <f>IFERROR(VLOOKUP($J151,Players!$D:$E,2,FALSE),VLOOKUP($G151,Players!A:E,5,FALSE))</f>
        <v>K</v>
      </c>
    </row>
    <row r="152" ht="15.75" customHeight="1">
      <c r="A152" s="1">
        <v>2021.0</v>
      </c>
      <c r="B152" s="1" t="s">
        <v>16</v>
      </c>
      <c r="C152" s="1" t="s">
        <v>15</v>
      </c>
      <c r="D152" s="8">
        <v>2.0</v>
      </c>
      <c r="E152" s="8">
        <v>1.0</v>
      </c>
      <c r="F152" s="8">
        <v>11.0</v>
      </c>
      <c r="G152" s="1" t="s">
        <v>381</v>
      </c>
      <c r="H152" s="1" t="str">
        <f t="shared" si="1"/>
        <v>Jonathan</v>
      </c>
      <c r="I152" s="1" t="str">
        <f t="shared" si="2"/>
        <v>Taylor</v>
      </c>
      <c r="J152" s="1" t="str">
        <f t="shared" si="3"/>
        <v>#N/A</v>
      </c>
      <c r="K152" s="1" t="str">
        <f>IFERROR(VLOOKUP($J152,Players!$D:$E,2,FALSE),VLOOKUP($G152,Players!A:E,5,FALSE))</f>
        <v>RB</v>
      </c>
    </row>
    <row r="153" ht="15.75" customHeight="1">
      <c r="A153" s="1">
        <v>2021.0</v>
      </c>
      <c r="B153" s="1" t="s">
        <v>16</v>
      </c>
      <c r="C153" s="1" t="s">
        <v>15</v>
      </c>
      <c r="D153" s="8">
        <v>2.0</v>
      </c>
      <c r="E153" s="8">
        <v>2.0</v>
      </c>
      <c r="F153" s="8">
        <v>14.0</v>
      </c>
      <c r="G153" s="1" t="s">
        <v>385</v>
      </c>
      <c r="H153" s="1" t="str">
        <f t="shared" si="1"/>
        <v>Najee</v>
      </c>
      <c r="I153" s="1" t="str">
        <f t="shared" si="2"/>
        <v>Harris</v>
      </c>
      <c r="J153" s="1" t="str">
        <f t="shared" si="3"/>
        <v>#N/A</v>
      </c>
      <c r="K153" s="1" t="str">
        <f>IFERROR(VLOOKUP($J153,Players!$D:$E,2,FALSE),VLOOKUP($G153,Players!A:E,5,FALSE))</f>
        <v>RB</v>
      </c>
    </row>
    <row r="154" ht="15.75" customHeight="1">
      <c r="A154" s="1">
        <v>2021.0</v>
      </c>
      <c r="B154" s="1" t="s">
        <v>16</v>
      </c>
      <c r="C154" s="1" t="s">
        <v>15</v>
      </c>
      <c r="D154" s="8">
        <v>2.0</v>
      </c>
      <c r="E154" s="8">
        <v>3.0</v>
      </c>
      <c r="F154" s="8">
        <v>35.0</v>
      </c>
      <c r="G154" s="1" t="s">
        <v>389</v>
      </c>
      <c r="H154" s="1" t="str">
        <f t="shared" si="1"/>
        <v>Robert</v>
      </c>
      <c r="I154" s="1" t="str">
        <f t="shared" si="2"/>
        <v>Woods</v>
      </c>
      <c r="J154" s="1" t="str">
        <f t="shared" si="3"/>
        <v>#N/A</v>
      </c>
      <c r="K154" s="1" t="str">
        <f>IFERROR(VLOOKUP($J154,Players!$D:$E,2,FALSE),VLOOKUP($G154,Players!A:E,5,FALSE))</f>
        <v>WR</v>
      </c>
    </row>
    <row r="155" ht="15.75" customHeight="1">
      <c r="A155" s="1">
        <v>2021.0</v>
      </c>
      <c r="B155" s="1" t="s">
        <v>16</v>
      </c>
      <c r="C155" s="1" t="s">
        <v>15</v>
      </c>
      <c r="D155" s="8">
        <v>2.0</v>
      </c>
      <c r="E155" s="8">
        <v>4.0</v>
      </c>
      <c r="F155" s="8">
        <v>38.0</v>
      </c>
      <c r="G155" s="1" t="s">
        <v>391</v>
      </c>
      <c r="H155" s="1" t="str">
        <f t="shared" si="1"/>
        <v>Mike</v>
      </c>
      <c r="I155" s="1" t="str">
        <f t="shared" si="2"/>
        <v>Evans</v>
      </c>
      <c r="J155" s="1" t="str">
        <f t="shared" si="3"/>
        <v>#N/A</v>
      </c>
      <c r="K155" s="1" t="str">
        <f>IFERROR(VLOOKUP($J155,Players!$D:$E,2,FALSE),VLOOKUP($G155,Players!A:E,5,FALSE))</f>
        <v>WR</v>
      </c>
    </row>
    <row r="156" ht="15.75" customHeight="1">
      <c r="A156" s="1">
        <v>2021.0</v>
      </c>
      <c r="B156" s="1" t="s">
        <v>16</v>
      </c>
      <c r="C156" s="1" t="s">
        <v>15</v>
      </c>
      <c r="D156" s="8">
        <v>2.0</v>
      </c>
      <c r="E156" s="8">
        <v>5.0</v>
      </c>
      <c r="F156" s="8">
        <v>59.0</v>
      </c>
      <c r="G156" s="1" t="s">
        <v>394</v>
      </c>
      <c r="H156" s="1" t="str">
        <f t="shared" si="1"/>
        <v>Brandon</v>
      </c>
      <c r="I156" s="1" t="str">
        <f t="shared" si="2"/>
        <v>Aiyuk</v>
      </c>
      <c r="J156" s="1" t="str">
        <f t="shared" si="3"/>
        <v>#N/A</v>
      </c>
      <c r="K156" s="1" t="str">
        <f>IFERROR(VLOOKUP($J156,Players!$D:$E,2,FALSE),VLOOKUP($G156,Players!A:E,5,FALSE))</f>
        <v>WR</v>
      </c>
    </row>
    <row r="157" ht="15.75" customHeight="1">
      <c r="A157" s="1">
        <v>2021.0</v>
      </c>
      <c r="B157" s="1" t="s">
        <v>16</v>
      </c>
      <c r="C157" s="1" t="s">
        <v>15</v>
      </c>
      <c r="D157" s="8">
        <v>2.0</v>
      </c>
      <c r="E157" s="8">
        <v>6.0</v>
      </c>
      <c r="F157" s="8">
        <v>62.0</v>
      </c>
      <c r="G157" s="1" t="s">
        <v>176</v>
      </c>
      <c r="H157" s="1" t="str">
        <f t="shared" si="1"/>
        <v>Aaron</v>
      </c>
      <c r="I157" s="1" t="str">
        <f t="shared" si="2"/>
        <v>Rodgers</v>
      </c>
      <c r="J157" s="1" t="str">
        <f t="shared" si="3"/>
        <v>#N/A</v>
      </c>
      <c r="K157" s="1" t="str">
        <f>IFERROR(VLOOKUP($J157,Players!$D:$E,2,FALSE),VLOOKUP($G157,Players!A:E,5,FALSE))</f>
        <v>QB</v>
      </c>
    </row>
    <row r="158" ht="15.75" customHeight="1">
      <c r="A158" s="1">
        <v>2021.0</v>
      </c>
      <c r="B158" s="1" t="s">
        <v>16</v>
      </c>
      <c r="C158" s="1" t="s">
        <v>15</v>
      </c>
      <c r="D158" s="8">
        <v>2.0</v>
      </c>
      <c r="E158" s="8">
        <v>7.0</v>
      </c>
      <c r="F158" s="8">
        <v>83.0</v>
      </c>
      <c r="G158" s="1" t="s">
        <v>398</v>
      </c>
      <c r="H158" s="1" t="str">
        <f t="shared" si="1"/>
        <v>Robert</v>
      </c>
      <c r="I158" s="1" t="str">
        <f t="shared" si="2"/>
        <v>Tonyan</v>
      </c>
      <c r="J158" s="1" t="str">
        <f t="shared" si="3"/>
        <v>#N/A</v>
      </c>
      <c r="K158" s="1" t="str">
        <f>IFERROR(VLOOKUP($J158,Players!$D:$E,2,FALSE),VLOOKUP($G158,Players!A:E,5,FALSE))</f>
        <v>TE</v>
      </c>
    </row>
    <row r="159" ht="15.75" customHeight="1">
      <c r="A159" s="1">
        <v>2021.0</v>
      </c>
      <c r="B159" s="1" t="s">
        <v>16</v>
      </c>
      <c r="C159" s="1" t="s">
        <v>15</v>
      </c>
      <c r="D159" s="8">
        <v>2.0</v>
      </c>
      <c r="E159" s="8">
        <v>8.0</v>
      </c>
      <c r="F159" s="8">
        <v>86.0</v>
      </c>
      <c r="G159" s="1" t="s">
        <v>400</v>
      </c>
      <c r="H159" s="1" t="str">
        <f t="shared" si="1"/>
        <v>Michael</v>
      </c>
      <c r="I159" s="1" t="str">
        <f t="shared" si="2"/>
        <v>Pittman Jr</v>
      </c>
      <c r="J159" s="1" t="str">
        <f t="shared" si="3"/>
        <v>#N/A</v>
      </c>
      <c r="K159" s="1" t="str">
        <f>IFERROR(VLOOKUP($J159,Players!$D:$E,2,FALSE),VLOOKUP($G159,Players!A:E,5,FALSE))</f>
        <v>#N/A</v>
      </c>
    </row>
    <row r="160" ht="15.75" customHeight="1">
      <c r="A160" s="1">
        <v>2021.0</v>
      </c>
      <c r="B160" s="1" t="s">
        <v>16</v>
      </c>
      <c r="C160" s="1" t="s">
        <v>15</v>
      </c>
      <c r="D160" s="8">
        <v>2.0</v>
      </c>
      <c r="E160" s="8">
        <v>9.0</v>
      </c>
      <c r="F160" s="8">
        <v>107.0</v>
      </c>
      <c r="G160" s="1" t="s">
        <v>402</v>
      </c>
      <c r="H160" s="1" t="str">
        <f t="shared" si="1"/>
        <v>Leonard</v>
      </c>
      <c r="I160" s="1" t="str">
        <f t="shared" si="2"/>
        <v>Fournette</v>
      </c>
      <c r="J160" s="1" t="str">
        <f t="shared" si="3"/>
        <v>#N/A</v>
      </c>
      <c r="K160" s="1" t="str">
        <f>IFERROR(VLOOKUP($J160,Players!$D:$E,2,FALSE),VLOOKUP($G160,Players!A:E,5,FALSE))</f>
        <v>RB</v>
      </c>
    </row>
    <row r="161" ht="15.75" customHeight="1">
      <c r="A161" s="1">
        <v>2021.0</v>
      </c>
      <c r="B161" s="1" t="s">
        <v>16</v>
      </c>
      <c r="C161" s="1" t="s">
        <v>15</v>
      </c>
      <c r="D161" s="8">
        <v>2.0</v>
      </c>
      <c r="E161" s="8">
        <v>10.0</v>
      </c>
      <c r="F161" s="8">
        <v>110.0</v>
      </c>
      <c r="G161" s="1" t="s">
        <v>405</v>
      </c>
      <c r="H161" s="1" t="str">
        <f t="shared" si="1"/>
        <v>Jaylen</v>
      </c>
      <c r="I161" s="1" t="str">
        <f t="shared" si="2"/>
        <v>Waddle</v>
      </c>
      <c r="J161" s="1" t="str">
        <f t="shared" si="3"/>
        <v>#N/A</v>
      </c>
      <c r="K161" s="1" t="str">
        <f>IFERROR(VLOOKUP($J161,Players!$D:$E,2,FALSE),VLOOKUP($G161,Players!A:E,5,FALSE))</f>
        <v>WR</v>
      </c>
    </row>
    <row r="162" ht="15.75" customHeight="1">
      <c r="A162" s="1">
        <v>2021.0</v>
      </c>
      <c r="B162" s="1" t="s">
        <v>16</v>
      </c>
      <c r="C162" s="1" t="s">
        <v>15</v>
      </c>
      <c r="D162" s="8">
        <v>2.0</v>
      </c>
      <c r="E162" s="8">
        <v>11.0</v>
      </c>
      <c r="F162" s="8">
        <v>131.0</v>
      </c>
      <c r="G162" s="1" t="s">
        <v>407</v>
      </c>
      <c r="H162" s="1" t="str">
        <f t="shared" si="1"/>
        <v>#VALUE!</v>
      </c>
      <c r="I162" s="1" t="str">
        <f t="shared" si="2"/>
        <v>#VALUE!</v>
      </c>
      <c r="J162" s="1" t="str">
        <f t="shared" si="3"/>
        <v>#N/A</v>
      </c>
      <c r="K162" s="1" t="str">
        <f>IFERROR(VLOOKUP($J162,Players!$D:$E,2,FALSE),VLOOKUP($G162,Players!A:E,5,FALSE))</f>
        <v>DEF</v>
      </c>
    </row>
    <row r="163" ht="15.75" customHeight="1">
      <c r="A163" s="1">
        <v>2021.0</v>
      </c>
      <c r="B163" s="1" t="s">
        <v>16</v>
      </c>
      <c r="C163" s="1" t="s">
        <v>15</v>
      </c>
      <c r="D163" s="8">
        <v>2.0</v>
      </c>
      <c r="E163" s="8">
        <v>12.0</v>
      </c>
      <c r="F163" s="8">
        <v>134.0</v>
      </c>
      <c r="G163" s="1" t="s">
        <v>410</v>
      </c>
      <c r="H163" s="1" t="str">
        <f t="shared" si="1"/>
        <v>Tyler</v>
      </c>
      <c r="I163" s="1" t="str">
        <f t="shared" si="2"/>
        <v>Bass</v>
      </c>
      <c r="J163" s="1" t="str">
        <f t="shared" si="3"/>
        <v>#N/A</v>
      </c>
      <c r="K163" s="1" t="str">
        <f>IFERROR(VLOOKUP($J163,Players!$D:$E,2,FALSE),VLOOKUP($G163,Players!A:E,5,FALSE))</f>
        <v>K</v>
      </c>
    </row>
    <row r="164" ht="15.75" customHeight="1">
      <c r="A164" s="1">
        <v>2021.0</v>
      </c>
      <c r="B164" s="1" t="s">
        <v>16</v>
      </c>
      <c r="C164" s="1" t="s">
        <v>15</v>
      </c>
      <c r="D164" s="8">
        <v>2.0</v>
      </c>
      <c r="E164" s="8">
        <v>13.0</v>
      </c>
      <c r="F164" s="8">
        <v>155.0</v>
      </c>
      <c r="G164" s="1" t="s">
        <v>412</v>
      </c>
      <c r="H164" s="1" t="str">
        <f t="shared" si="1"/>
        <v>Kirk</v>
      </c>
      <c r="I164" s="1" t="str">
        <f t="shared" si="2"/>
        <v>Cousins</v>
      </c>
      <c r="J164" s="1" t="str">
        <f t="shared" si="3"/>
        <v>#N/A</v>
      </c>
      <c r="K164" s="1" t="str">
        <f>IFERROR(VLOOKUP($J164,Players!$D:$E,2,FALSE),VLOOKUP($G164,Players!A:E,5,FALSE))</f>
        <v>QB</v>
      </c>
    </row>
    <row r="165" ht="15.75" customHeight="1">
      <c r="A165" s="1">
        <v>2021.0</v>
      </c>
      <c r="B165" s="1" t="s">
        <v>16</v>
      </c>
      <c r="C165" s="1" t="s">
        <v>15</v>
      </c>
      <c r="D165" s="8">
        <v>2.0</v>
      </c>
      <c r="E165" s="8">
        <v>14.0</v>
      </c>
      <c r="F165" s="8">
        <v>158.0</v>
      </c>
      <c r="G165" s="1" t="s">
        <v>416</v>
      </c>
      <c r="H165" s="1" t="str">
        <f t="shared" si="1"/>
        <v>Terrace</v>
      </c>
      <c r="I165" s="1" t="str">
        <f t="shared" si="2"/>
        <v>Marshall Jr</v>
      </c>
      <c r="J165" s="1" t="str">
        <f t="shared" si="3"/>
        <v>#N/A</v>
      </c>
      <c r="K165" s="1" t="str">
        <f>IFERROR(VLOOKUP($J165,Players!$D:$E,2,FALSE),VLOOKUP($G165,Players!A:E,5,FALSE))</f>
        <v>#N/A</v>
      </c>
    </row>
    <row r="166" ht="15.75" customHeight="1">
      <c r="A166" s="1">
        <v>2021.0</v>
      </c>
      <c r="B166" s="1" t="s">
        <v>16</v>
      </c>
      <c r="C166" s="1" t="s">
        <v>15</v>
      </c>
      <c r="D166" s="8">
        <v>2.0</v>
      </c>
      <c r="E166" s="8">
        <v>15.0</v>
      </c>
      <c r="F166" s="8">
        <v>179.0</v>
      </c>
      <c r="G166" s="1" t="s">
        <v>419</v>
      </c>
      <c r="H166" s="1" t="str">
        <f t="shared" si="1"/>
        <v>Jared</v>
      </c>
      <c r="I166" s="1" t="str">
        <f t="shared" si="2"/>
        <v>Cook</v>
      </c>
      <c r="J166" s="1" t="str">
        <f t="shared" si="3"/>
        <v>#N/A</v>
      </c>
      <c r="K166" s="1" t="str">
        <f>IFERROR(VLOOKUP($J166,Players!$D:$E,2,FALSE),VLOOKUP($G166,Players!A:E,5,FALSE))</f>
        <v>#N/A</v>
      </c>
    </row>
    <row r="167" ht="15.75" customHeight="1">
      <c r="A167" s="1">
        <v>2021.0</v>
      </c>
      <c r="B167" s="1" t="s">
        <v>11</v>
      </c>
      <c r="C167" s="1" t="s">
        <v>8</v>
      </c>
      <c r="D167" s="8">
        <v>1.0</v>
      </c>
      <c r="E167" s="8">
        <v>1.0</v>
      </c>
      <c r="F167" s="8">
        <v>12.0</v>
      </c>
      <c r="G167" s="1" t="s">
        <v>422</v>
      </c>
      <c r="H167" s="1" t="str">
        <f t="shared" si="1"/>
        <v>Stefon</v>
      </c>
      <c r="I167" s="1" t="str">
        <f t="shared" si="2"/>
        <v>Diggs</v>
      </c>
      <c r="J167" s="1" t="str">
        <f t="shared" si="3"/>
        <v>#N/A</v>
      </c>
      <c r="K167" s="1" t="str">
        <f>IFERROR(VLOOKUP($J167,Players!$D:$E,2,FALSE),VLOOKUP($G167,Players!A:E,5,FALSE))</f>
        <v>WR</v>
      </c>
    </row>
    <row r="168" ht="15.75" customHeight="1">
      <c r="A168" s="1">
        <v>2021.0</v>
      </c>
      <c r="B168" s="1" t="s">
        <v>11</v>
      </c>
      <c r="C168" s="1" t="s">
        <v>8</v>
      </c>
      <c r="D168" s="8">
        <v>1.0</v>
      </c>
      <c r="E168" s="8">
        <v>2.0</v>
      </c>
      <c r="F168" s="8">
        <v>13.0</v>
      </c>
      <c r="G168" s="1" t="s">
        <v>425</v>
      </c>
      <c r="H168" s="1" t="str">
        <f t="shared" si="1"/>
        <v>Nick</v>
      </c>
      <c r="I168" s="1" t="str">
        <f t="shared" si="2"/>
        <v>Chubb</v>
      </c>
      <c r="J168" s="1" t="str">
        <f t="shared" si="3"/>
        <v>#N/A</v>
      </c>
      <c r="K168" s="1" t="str">
        <f>IFERROR(VLOOKUP($J168,Players!$D:$E,2,FALSE),VLOOKUP($G168,Players!A:E,5,FALSE))</f>
        <v>RB</v>
      </c>
    </row>
    <row r="169" ht="15.75" customHeight="1">
      <c r="A169" s="1">
        <v>2021.0</v>
      </c>
      <c r="B169" s="1" t="s">
        <v>11</v>
      </c>
      <c r="C169" s="1" t="s">
        <v>8</v>
      </c>
      <c r="D169" s="8">
        <v>1.0</v>
      </c>
      <c r="E169" s="8">
        <v>3.0</v>
      </c>
      <c r="F169" s="8">
        <v>36.0</v>
      </c>
      <c r="G169" s="1" t="s">
        <v>428</v>
      </c>
      <c r="H169" s="1" t="str">
        <f t="shared" si="1"/>
        <v>Josh</v>
      </c>
      <c r="I169" s="1" t="str">
        <f t="shared" si="2"/>
        <v>Allen</v>
      </c>
      <c r="J169" s="1" t="str">
        <f t="shared" si="3"/>
        <v>#N/A</v>
      </c>
      <c r="K169" s="1" t="str">
        <f>IFERROR(VLOOKUP($J169,Players!$D:$E,2,FALSE),VLOOKUP($G169,Players!A:E,5,FALSE))</f>
        <v>QB</v>
      </c>
    </row>
    <row r="170" ht="15.75" customHeight="1">
      <c r="A170" s="1">
        <v>2021.0</v>
      </c>
      <c r="B170" s="1" t="s">
        <v>11</v>
      </c>
      <c r="C170" s="1" t="s">
        <v>8</v>
      </c>
      <c r="D170" s="8">
        <v>1.0</v>
      </c>
      <c r="E170" s="8">
        <v>4.0</v>
      </c>
      <c r="F170" s="8">
        <v>37.0</v>
      </c>
      <c r="G170" s="1" t="s">
        <v>430</v>
      </c>
      <c r="H170" s="1" t="str">
        <f t="shared" si="1"/>
        <v>Cooper</v>
      </c>
      <c r="I170" s="1" t="str">
        <f t="shared" si="2"/>
        <v>Kupp</v>
      </c>
      <c r="J170" s="1" t="str">
        <f t="shared" si="3"/>
        <v>#N/A</v>
      </c>
      <c r="K170" s="1" t="str">
        <f>IFERROR(VLOOKUP($J170,Players!$D:$E,2,FALSE),VLOOKUP($G170,Players!A:E,5,FALSE))</f>
        <v>WR</v>
      </c>
    </row>
    <row r="171" ht="15.75" customHeight="1">
      <c r="A171" s="1">
        <v>2021.0</v>
      </c>
      <c r="B171" s="1" t="s">
        <v>11</v>
      </c>
      <c r="C171" s="1" t="s">
        <v>8</v>
      </c>
      <c r="D171" s="8">
        <v>1.0</v>
      </c>
      <c r="E171" s="8">
        <v>5.0</v>
      </c>
      <c r="F171" s="8">
        <v>60.0</v>
      </c>
      <c r="G171" s="1" t="s">
        <v>433</v>
      </c>
      <c r="H171" s="1" t="str">
        <f t="shared" si="1"/>
        <v>Javonte</v>
      </c>
      <c r="I171" s="1" t="str">
        <f t="shared" si="2"/>
        <v>Williams</v>
      </c>
      <c r="J171" s="1" t="str">
        <f t="shared" si="3"/>
        <v>#N/A</v>
      </c>
      <c r="K171" s="1" t="str">
        <f>IFERROR(VLOOKUP($J171,Players!$D:$E,2,FALSE),VLOOKUP($G171,Players!A:E,5,FALSE))</f>
        <v>RB</v>
      </c>
    </row>
    <row r="172" ht="15.75" customHeight="1">
      <c r="A172" s="1">
        <v>2021.0</v>
      </c>
      <c r="B172" s="1" t="s">
        <v>11</v>
      </c>
      <c r="C172" s="1" t="s">
        <v>8</v>
      </c>
      <c r="D172" s="8">
        <v>1.0</v>
      </c>
      <c r="E172" s="8">
        <v>6.0</v>
      </c>
      <c r="F172" s="8">
        <v>61.0</v>
      </c>
      <c r="G172" s="1" t="s">
        <v>435</v>
      </c>
      <c r="H172" s="1" t="str">
        <f t="shared" si="1"/>
        <v>JuJu</v>
      </c>
      <c r="I172" s="1" t="str">
        <f t="shared" si="2"/>
        <v>Smith-Schuster</v>
      </c>
      <c r="J172" s="1" t="str">
        <f t="shared" si="3"/>
        <v>#N/A</v>
      </c>
      <c r="K172" s="1" t="str">
        <f>IFERROR(VLOOKUP($J172,Players!$D:$E,2,FALSE),VLOOKUP($G172,Players!A:E,5,FALSE))</f>
        <v>WR</v>
      </c>
    </row>
    <row r="173" ht="15.75" customHeight="1">
      <c r="A173" s="1">
        <v>2021.0</v>
      </c>
      <c r="B173" s="1" t="s">
        <v>11</v>
      </c>
      <c r="C173" s="1" t="s">
        <v>8</v>
      </c>
      <c r="D173" s="8">
        <v>1.0</v>
      </c>
      <c r="E173" s="8">
        <v>7.0</v>
      </c>
      <c r="F173" s="8">
        <v>84.0</v>
      </c>
      <c r="G173" s="1" t="s">
        <v>438</v>
      </c>
      <c r="H173" s="1" t="str">
        <f t="shared" si="1"/>
        <v>Dallas</v>
      </c>
      <c r="I173" s="1" t="str">
        <f t="shared" si="2"/>
        <v>Goedert</v>
      </c>
      <c r="J173" s="1" t="str">
        <f t="shared" si="3"/>
        <v>#N/A</v>
      </c>
      <c r="K173" s="1" t="str">
        <f>IFERROR(VLOOKUP($J173,Players!$D:$E,2,FALSE),VLOOKUP($G173,Players!A:E,5,FALSE))</f>
        <v>TE</v>
      </c>
    </row>
    <row r="174" ht="15.75" customHeight="1">
      <c r="A174" s="1">
        <v>2021.0</v>
      </c>
      <c r="B174" s="1" t="s">
        <v>11</v>
      </c>
      <c r="C174" s="1" t="s">
        <v>8</v>
      </c>
      <c r="D174" s="8">
        <v>1.0</v>
      </c>
      <c r="E174" s="8">
        <v>8.0</v>
      </c>
      <c r="F174" s="8">
        <v>85.0</v>
      </c>
      <c r="G174" s="1" t="s">
        <v>440</v>
      </c>
      <c r="H174" s="1" t="str">
        <f t="shared" si="1"/>
        <v>Tyler</v>
      </c>
      <c r="I174" s="1" t="str">
        <f t="shared" si="2"/>
        <v>Boyd</v>
      </c>
      <c r="J174" s="1" t="str">
        <f t="shared" si="3"/>
        <v>#N/A</v>
      </c>
      <c r="K174" s="1" t="str">
        <f>IFERROR(VLOOKUP($J174,Players!$D:$E,2,FALSE),VLOOKUP($G174,Players!A:E,5,FALSE))</f>
        <v>WR</v>
      </c>
    </row>
    <row r="175" ht="15.75" customHeight="1">
      <c r="A175" s="1">
        <v>2021.0</v>
      </c>
      <c r="B175" s="1" t="s">
        <v>11</v>
      </c>
      <c r="C175" s="1" t="s">
        <v>8</v>
      </c>
      <c r="D175" s="8">
        <v>1.0</v>
      </c>
      <c r="E175" s="8">
        <v>9.0</v>
      </c>
      <c r="F175" s="8">
        <v>108.0</v>
      </c>
      <c r="G175" s="1" t="s">
        <v>443</v>
      </c>
      <c r="H175" s="1" t="str">
        <f t="shared" si="1"/>
        <v>Michael</v>
      </c>
      <c r="I175" s="1" t="str">
        <f t="shared" si="2"/>
        <v>Carter</v>
      </c>
      <c r="J175" s="1" t="str">
        <f t="shared" si="3"/>
        <v>#N/A</v>
      </c>
      <c r="K175" s="1" t="str">
        <f>IFERROR(VLOOKUP($J175,Players!$D:$E,2,FALSE),VLOOKUP($G175,Players!A:E,5,FALSE))</f>
        <v>RB</v>
      </c>
    </row>
    <row r="176" ht="15.75" customHeight="1">
      <c r="A176" s="1">
        <v>2021.0</v>
      </c>
      <c r="B176" s="1" t="s">
        <v>11</v>
      </c>
      <c r="C176" s="1" t="s">
        <v>8</v>
      </c>
      <c r="D176" s="8">
        <v>1.0</v>
      </c>
      <c r="E176" s="8">
        <v>10.0</v>
      </c>
      <c r="F176" s="8">
        <v>109.0</v>
      </c>
      <c r="G176" s="1" t="s">
        <v>445</v>
      </c>
      <c r="H176" s="1" t="str">
        <f t="shared" si="1"/>
        <v>Gerald</v>
      </c>
      <c r="I176" s="1" t="str">
        <f t="shared" si="2"/>
        <v>Everett</v>
      </c>
      <c r="J176" s="1" t="str">
        <f t="shared" si="3"/>
        <v>#N/A</v>
      </c>
      <c r="K176" s="1" t="str">
        <f>IFERROR(VLOOKUP($J176,Players!$D:$E,2,FALSE),VLOOKUP($G176,Players!A:E,5,FALSE))</f>
        <v>TE</v>
      </c>
    </row>
    <row r="177" ht="15.75" customHeight="1">
      <c r="A177" s="1">
        <v>2021.0</v>
      </c>
      <c r="B177" s="1" t="s">
        <v>11</v>
      </c>
      <c r="C177" s="1" t="s">
        <v>8</v>
      </c>
      <c r="D177" s="8">
        <v>1.0</v>
      </c>
      <c r="E177" s="8">
        <v>11.0</v>
      </c>
      <c r="F177" s="8">
        <v>132.0</v>
      </c>
      <c r="G177" s="1" t="s">
        <v>449</v>
      </c>
      <c r="H177" s="1" t="str">
        <f t="shared" si="1"/>
        <v>Henry</v>
      </c>
      <c r="I177" s="1" t="str">
        <f t="shared" si="2"/>
        <v>Ruggs III</v>
      </c>
      <c r="J177" s="1" t="str">
        <f t="shared" si="3"/>
        <v>#N/A</v>
      </c>
      <c r="K177" s="1" t="str">
        <f>IFERROR(VLOOKUP($J177,Players!$D:$E,2,FALSE),VLOOKUP($G177,Players!A:E,5,FALSE))</f>
        <v>#N/A</v>
      </c>
    </row>
    <row r="178" ht="15.75" customHeight="1">
      <c r="A178" s="1">
        <v>2021.0</v>
      </c>
      <c r="B178" s="1" t="s">
        <v>11</v>
      </c>
      <c r="C178" s="1" t="s">
        <v>8</v>
      </c>
      <c r="D178" s="8">
        <v>1.0</v>
      </c>
      <c r="E178" s="8">
        <v>12.0</v>
      </c>
      <c r="F178" s="8">
        <v>133.0</v>
      </c>
      <c r="G178" s="1" t="s">
        <v>452</v>
      </c>
      <c r="H178" s="1" t="str">
        <f t="shared" si="1"/>
        <v>James</v>
      </c>
      <c r="I178" s="1" t="str">
        <f t="shared" si="2"/>
        <v>White</v>
      </c>
      <c r="J178" s="1" t="str">
        <f t="shared" si="3"/>
        <v>#N/A</v>
      </c>
      <c r="K178" s="1" t="str">
        <f>IFERROR(VLOOKUP($J178,Players!$D:$E,2,FALSE),VLOOKUP($G178,Players!A:E,5,FALSE))</f>
        <v>RB</v>
      </c>
    </row>
    <row r="179" ht="15.75" customHeight="1">
      <c r="A179" s="1">
        <v>2021.0</v>
      </c>
      <c r="B179" s="1" t="s">
        <v>11</v>
      </c>
      <c r="C179" s="1" t="s">
        <v>8</v>
      </c>
      <c r="D179" s="8">
        <v>1.0</v>
      </c>
      <c r="E179" s="8">
        <v>13.0</v>
      </c>
      <c r="F179" s="8">
        <v>156.0</v>
      </c>
      <c r="G179" s="1" t="s">
        <v>456</v>
      </c>
      <c r="H179" s="1" t="str">
        <f t="shared" si="1"/>
        <v>#VALUE!</v>
      </c>
      <c r="I179" s="1" t="str">
        <f t="shared" si="2"/>
        <v>#VALUE!</v>
      </c>
      <c r="J179" s="1" t="str">
        <f t="shared" si="3"/>
        <v>#N/A</v>
      </c>
      <c r="K179" s="1" t="str">
        <f>IFERROR(VLOOKUP($J179,Players!$D:$E,2,FALSE),VLOOKUP($G179,Players!A:E,5,FALSE))</f>
        <v>DEF</v>
      </c>
    </row>
    <row r="180" ht="15.75" customHeight="1">
      <c r="A180" s="1">
        <v>2021.0</v>
      </c>
      <c r="B180" s="1" t="s">
        <v>11</v>
      </c>
      <c r="C180" s="1" t="s">
        <v>8</v>
      </c>
      <c r="D180" s="8">
        <v>1.0</v>
      </c>
      <c r="E180" s="8">
        <v>14.0</v>
      </c>
      <c r="F180" s="8">
        <v>157.0</v>
      </c>
      <c r="G180" s="1" t="s">
        <v>459</v>
      </c>
      <c r="H180" s="1" t="str">
        <f t="shared" si="1"/>
        <v>Trevor</v>
      </c>
      <c r="I180" s="1" t="str">
        <f t="shared" si="2"/>
        <v>Lawrence</v>
      </c>
      <c r="J180" s="1" t="str">
        <f t="shared" si="3"/>
        <v>#N/A</v>
      </c>
      <c r="K180" s="1" t="str">
        <f>IFERROR(VLOOKUP($J180,Players!$D:$E,2,FALSE),VLOOKUP($G180,Players!A:E,5,FALSE))</f>
        <v>QB</v>
      </c>
    </row>
    <row r="181" ht="15.75" customHeight="1">
      <c r="A181" s="1">
        <v>2021.0</v>
      </c>
      <c r="B181" s="1" t="s">
        <v>11</v>
      </c>
      <c r="C181" s="1" t="s">
        <v>8</v>
      </c>
      <c r="D181" s="8">
        <v>1.0</v>
      </c>
      <c r="E181" s="8">
        <v>15.0</v>
      </c>
      <c r="F181" s="8">
        <v>180.0</v>
      </c>
      <c r="G181" s="1" t="s">
        <v>462</v>
      </c>
      <c r="H181" s="1" t="str">
        <f t="shared" si="1"/>
        <v>Jason</v>
      </c>
      <c r="I181" s="1" t="str">
        <f t="shared" si="2"/>
        <v>Myers</v>
      </c>
      <c r="J181" s="1" t="str">
        <f t="shared" si="3"/>
        <v>#N/A</v>
      </c>
      <c r="K181" s="1" t="str">
        <f>IFERROR(VLOOKUP($J181,Players!$D:$E,2,FALSE),VLOOKUP($G181,Players!A:E,5,FALSE))</f>
        <v>K</v>
      </c>
    </row>
    <row r="182" ht="15.75" customHeight="1">
      <c r="A182" s="1">
        <v>2020.0</v>
      </c>
      <c r="B182" s="1" t="s">
        <v>41</v>
      </c>
      <c r="C182" s="1" t="s">
        <v>26</v>
      </c>
      <c r="D182" s="8">
        <v>12.0</v>
      </c>
      <c r="E182" s="8">
        <v>1.0</v>
      </c>
      <c r="F182" s="8">
        <v>1.0</v>
      </c>
      <c r="G182" s="1" t="s">
        <v>78</v>
      </c>
      <c r="H182" s="1" t="str">
        <f t="shared" si="1"/>
        <v>Christian</v>
      </c>
      <c r="I182" s="1" t="str">
        <f t="shared" si="2"/>
        <v>McCaffrey</v>
      </c>
      <c r="J182" s="1" t="str">
        <f t="shared" si="3"/>
        <v>#N/A</v>
      </c>
      <c r="K182" s="1" t="str">
        <f>IFERROR(VLOOKUP($J182,Players!$D:$E,2,FALSE),VLOOKUP($G182,Players!A:E,5,FALSE))</f>
        <v>RB</v>
      </c>
    </row>
    <row r="183" ht="15.75" customHeight="1">
      <c r="A183" s="1">
        <v>2020.0</v>
      </c>
      <c r="B183" s="1" t="s">
        <v>41</v>
      </c>
      <c r="C183" s="1" t="s">
        <v>26</v>
      </c>
      <c r="D183" s="8">
        <v>12.0</v>
      </c>
      <c r="E183" s="8">
        <v>2.0</v>
      </c>
      <c r="F183" s="8">
        <v>24.0</v>
      </c>
      <c r="G183" s="1" t="s">
        <v>173</v>
      </c>
      <c r="H183" s="1" t="str">
        <f t="shared" si="1"/>
        <v>Chris</v>
      </c>
      <c r="I183" s="1" t="str">
        <f t="shared" si="2"/>
        <v>Godwin</v>
      </c>
      <c r="J183" s="1" t="str">
        <f t="shared" si="3"/>
        <v>#N/A</v>
      </c>
      <c r="K183" s="1" t="str">
        <f>IFERROR(VLOOKUP($J183,Players!$D:$E,2,FALSE),VLOOKUP($G183,Players!A:E,5,FALSE))</f>
        <v>WR</v>
      </c>
    </row>
    <row r="184" ht="15.75" customHeight="1">
      <c r="A184" s="1">
        <v>2020.0</v>
      </c>
      <c r="B184" s="1" t="s">
        <v>41</v>
      </c>
      <c r="C184" s="1" t="s">
        <v>26</v>
      </c>
      <c r="D184" s="8">
        <v>12.0</v>
      </c>
      <c r="E184" s="8">
        <v>3.0</v>
      </c>
      <c r="F184" s="8">
        <v>25.0</v>
      </c>
      <c r="G184" s="1" t="s">
        <v>181</v>
      </c>
      <c r="H184" s="1" t="str">
        <f t="shared" si="1"/>
        <v>Odell</v>
      </c>
      <c r="I184" s="1" t="str">
        <f t="shared" si="2"/>
        <v>Beckham Jr</v>
      </c>
      <c r="J184" s="1" t="str">
        <f t="shared" si="3"/>
        <v>#N/A</v>
      </c>
      <c r="K184" s="1" t="str">
        <f>IFERROR(VLOOKUP($J184,Players!$D:$E,2,FALSE),VLOOKUP($G184,Players!A:E,5,FALSE))</f>
        <v>#N/A</v>
      </c>
    </row>
    <row r="185" ht="15.75" customHeight="1">
      <c r="A185" s="1">
        <v>2020.0</v>
      </c>
      <c r="B185" s="1" t="s">
        <v>41</v>
      </c>
      <c r="C185" s="1" t="s">
        <v>26</v>
      </c>
      <c r="D185" s="8">
        <v>12.0</v>
      </c>
      <c r="E185" s="8">
        <v>4.0</v>
      </c>
      <c r="F185" s="8">
        <v>48.0</v>
      </c>
      <c r="G185" s="1" t="s">
        <v>352</v>
      </c>
      <c r="H185" s="1" t="str">
        <f t="shared" si="1"/>
        <v>Raheem</v>
      </c>
      <c r="I185" s="1" t="str">
        <f t="shared" si="2"/>
        <v>Mostert</v>
      </c>
      <c r="J185" s="1" t="str">
        <f t="shared" si="3"/>
        <v>#N/A</v>
      </c>
      <c r="K185" s="1" t="str">
        <f>IFERROR(VLOOKUP($J185,Players!$D:$E,2,FALSE),VLOOKUP($G185,Players!A:E,5,FALSE))</f>
        <v>RB</v>
      </c>
    </row>
    <row r="186" ht="15.75" customHeight="1">
      <c r="A186" s="1">
        <v>2020.0</v>
      </c>
      <c r="B186" s="1" t="s">
        <v>41</v>
      </c>
      <c r="C186" s="1" t="s">
        <v>26</v>
      </c>
      <c r="D186" s="8">
        <v>12.0</v>
      </c>
      <c r="E186" s="8">
        <v>5.0</v>
      </c>
      <c r="F186" s="8">
        <v>49.0</v>
      </c>
      <c r="G186" s="1" t="s">
        <v>259</v>
      </c>
      <c r="H186" s="1" t="str">
        <f t="shared" si="1"/>
        <v>Darren</v>
      </c>
      <c r="I186" s="1" t="str">
        <f t="shared" si="2"/>
        <v>Waller</v>
      </c>
      <c r="J186" s="1" t="str">
        <f t="shared" si="3"/>
        <v>#N/A</v>
      </c>
      <c r="K186" s="1" t="str">
        <f>IFERROR(VLOOKUP($J186,Players!$D:$E,2,FALSE),VLOOKUP($G186,Players!A:E,5,FALSE))</f>
        <v>TE</v>
      </c>
    </row>
    <row r="187" ht="15.75" customHeight="1">
      <c r="A187" s="1">
        <v>2020.0</v>
      </c>
      <c r="B187" s="1" t="s">
        <v>41</v>
      </c>
      <c r="C187" s="1" t="s">
        <v>26</v>
      </c>
      <c r="D187" s="8">
        <v>12.0</v>
      </c>
      <c r="E187" s="8">
        <v>6.0</v>
      </c>
      <c r="F187" s="8">
        <v>72.0</v>
      </c>
      <c r="G187" s="1" t="s">
        <v>478</v>
      </c>
      <c r="H187" s="1" t="str">
        <f t="shared" si="1"/>
        <v>DeVante</v>
      </c>
      <c r="I187" s="1" t="str">
        <f t="shared" si="2"/>
        <v>Parker</v>
      </c>
      <c r="J187" s="1" t="str">
        <f t="shared" si="3"/>
        <v>#N/A</v>
      </c>
      <c r="K187" s="1" t="str">
        <f>IFERROR(VLOOKUP($J187,Players!$D:$E,2,FALSE),VLOOKUP($G187,Players!A:E,5,FALSE))</f>
        <v>WR</v>
      </c>
    </row>
    <row r="188" ht="15.75" customHeight="1">
      <c r="A188" s="1">
        <v>2020.0</v>
      </c>
      <c r="B188" s="1" t="s">
        <v>41</v>
      </c>
      <c r="C188" s="1" t="s">
        <v>26</v>
      </c>
      <c r="D188" s="8">
        <v>12.0</v>
      </c>
      <c r="E188" s="8">
        <v>7.0</v>
      </c>
      <c r="F188" s="8">
        <v>73.0</v>
      </c>
      <c r="G188" s="1" t="s">
        <v>481</v>
      </c>
      <c r="H188" s="1" t="str">
        <f t="shared" si="1"/>
        <v>Carson</v>
      </c>
      <c r="I188" s="1" t="str">
        <f t="shared" si="2"/>
        <v>Wentz</v>
      </c>
      <c r="J188" s="1" t="str">
        <f t="shared" si="3"/>
        <v>#N/A</v>
      </c>
      <c r="K188" s="1" t="str">
        <f>IFERROR(VLOOKUP($J188,Players!$D:$E,2,FALSE),VLOOKUP($G188,Players!A:E,5,FALSE))</f>
        <v>QB</v>
      </c>
    </row>
    <row r="189" ht="15.75" customHeight="1">
      <c r="A189" s="1">
        <v>2020.0</v>
      </c>
      <c r="B189" s="1" t="s">
        <v>41</v>
      </c>
      <c r="C189" s="1" t="s">
        <v>26</v>
      </c>
      <c r="D189" s="8">
        <v>12.0</v>
      </c>
      <c r="E189" s="8">
        <v>8.0</v>
      </c>
      <c r="F189" s="8">
        <v>96.0</v>
      </c>
      <c r="G189" s="1" t="s">
        <v>485</v>
      </c>
      <c r="H189" s="1" t="str">
        <f t="shared" si="1"/>
        <v>John</v>
      </c>
      <c r="I189" s="1" t="str">
        <f t="shared" si="2"/>
        <v>Brown</v>
      </c>
      <c r="J189" s="1" t="str">
        <f t="shared" si="3"/>
        <v>#N/A</v>
      </c>
      <c r="K189" s="1" t="str">
        <f>IFERROR(VLOOKUP($J189,Players!$D:$E,2,FALSE),VLOOKUP($G189,Players!A:E,5,FALSE))</f>
        <v>WR</v>
      </c>
    </row>
    <row r="190" ht="15.75" customHeight="1">
      <c r="A190" s="1">
        <v>2020.0</v>
      </c>
      <c r="B190" s="1" t="s">
        <v>41</v>
      </c>
      <c r="C190" s="1" t="s">
        <v>26</v>
      </c>
      <c r="D190" s="8">
        <v>12.0</v>
      </c>
      <c r="E190" s="8">
        <v>9.0</v>
      </c>
      <c r="F190" s="8">
        <v>97.0</v>
      </c>
      <c r="G190" s="1" t="s">
        <v>488</v>
      </c>
      <c r="H190" s="1" t="str">
        <f t="shared" si="1"/>
        <v>Jamison</v>
      </c>
      <c r="I190" s="1" t="str">
        <f t="shared" si="2"/>
        <v>Crowder</v>
      </c>
      <c r="J190" s="1" t="str">
        <f t="shared" si="3"/>
        <v>#N/A</v>
      </c>
      <c r="K190" s="1" t="str">
        <f>IFERROR(VLOOKUP($J190,Players!$D:$E,2,FALSE),VLOOKUP($G190,Players!A:E,5,FALSE))</f>
        <v>WR</v>
      </c>
    </row>
    <row r="191" ht="15.75" customHeight="1">
      <c r="A191" s="1">
        <v>2020.0</v>
      </c>
      <c r="B191" s="1" t="s">
        <v>41</v>
      </c>
      <c r="C191" s="1" t="s">
        <v>26</v>
      </c>
      <c r="D191" s="8">
        <v>12.0</v>
      </c>
      <c r="E191" s="8">
        <v>10.0</v>
      </c>
      <c r="F191" s="8">
        <v>120.0</v>
      </c>
      <c r="G191" s="1" t="s">
        <v>491</v>
      </c>
      <c r="H191" s="1" t="str">
        <f t="shared" si="1"/>
        <v>Kerryon</v>
      </c>
      <c r="I191" s="1" t="str">
        <f t="shared" si="2"/>
        <v>Johnson</v>
      </c>
      <c r="J191" s="1" t="str">
        <f t="shared" si="3"/>
        <v>#N/A</v>
      </c>
      <c r="K191" s="1" t="str">
        <f>IFERROR(VLOOKUP($J191,Players!$D:$E,2,FALSE),VLOOKUP($G191,Players!A:E,5,FALSE))</f>
        <v>RB</v>
      </c>
    </row>
    <row r="192" ht="15.75" customHeight="1">
      <c r="A192" s="1">
        <v>2020.0</v>
      </c>
      <c r="B192" s="1" t="s">
        <v>41</v>
      </c>
      <c r="C192" s="1" t="s">
        <v>26</v>
      </c>
      <c r="D192" s="8">
        <v>12.0</v>
      </c>
      <c r="E192" s="8">
        <v>11.0</v>
      </c>
      <c r="F192" s="8">
        <v>121.0</v>
      </c>
      <c r="G192" s="1" t="s">
        <v>494</v>
      </c>
      <c r="H192" s="1" t="str">
        <f t="shared" si="1"/>
        <v>Matt</v>
      </c>
      <c r="I192" s="1" t="str">
        <f t="shared" si="2"/>
        <v>Breida</v>
      </c>
      <c r="J192" s="1" t="str">
        <f t="shared" si="3"/>
        <v>#N/A</v>
      </c>
      <c r="K192" s="1" t="str">
        <f>IFERROR(VLOOKUP($J192,Players!$D:$E,2,FALSE),VLOOKUP($G192,Players!A:E,5,FALSE))</f>
        <v>RB</v>
      </c>
    </row>
    <row r="193" ht="15.75" customHeight="1">
      <c r="A193" s="1">
        <v>2020.0</v>
      </c>
      <c r="B193" s="1" t="s">
        <v>41</v>
      </c>
      <c r="C193" s="1" t="s">
        <v>26</v>
      </c>
      <c r="D193" s="8">
        <v>12.0</v>
      </c>
      <c r="E193" s="8">
        <v>12.0</v>
      </c>
      <c r="F193" s="8">
        <v>144.0</v>
      </c>
      <c r="G193" s="1" t="s">
        <v>498</v>
      </c>
      <c r="H193" s="1" t="str">
        <f t="shared" si="1"/>
        <v>Duke</v>
      </c>
      <c r="I193" s="1" t="str">
        <f t="shared" si="2"/>
        <v>Johnson</v>
      </c>
      <c r="J193" s="1" t="str">
        <f t="shared" si="3"/>
        <v>#N/A</v>
      </c>
      <c r="K193" s="1" t="str">
        <f>IFERROR(VLOOKUP($J193,Players!$D:$E,2,FALSE),VLOOKUP($G193,Players!A:E,5,FALSE))</f>
        <v>RB</v>
      </c>
    </row>
    <row r="194" ht="15.75" customHeight="1">
      <c r="A194" s="1">
        <v>2020.0</v>
      </c>
      <c r="B194" s="1" t="s">
        <v>41</v>
      </c>
      <c r="C194" s="1" t="s">
        <v>26</v>
      </c>
      <c r="D194" s="8">
        <v>12.0</v>
      </c>
      <c r="E194" s="8">
        <v>13.0</v>
      </c>
      <c r="F194" s="8">
        <v>145.0</v>
      </c>
      <c r="G194" s="1" t="s">
        <v>502</v>
      </c>
      <c r="H194" s="1" t="str">
        <f t="shared" si="1"/>
        <v>#VALUE!</v>
      </c>
      <c r="I194" s="1" t="str">
        <f t="shared" si="2"/>
        <v>#VALUE!</v>
      </c>
      <c r="J194" s="1" t="str">
        <f t="shared" si="3"/>
        <v>#N/A</v>
      </c>
      <c r="K194" s="1" t="str">
        <f>IFERROR(VLOOKUP($J194,Players!$D:$E,2,FALSE),VLOOKUP($G194,Players!A:E,5,FALSE))</f>
        <v>DEF</v>
      </c>
    </row>
    <row r="195" ht="15.75" customHeight="1">
      <c r="A195" s="1">
        <v>2020.0</v>
      </c>
      <c r="B195" s="1" t="s">
        <v>41</v>
      </c>
      <c r="C195" s="1" t="s">
        <v>26</v>
      </c>
      <c r="D195" s="8">
        <v>12.0</v>
      </c>
      <c r="E195" s="8">
        <v>14.0</v>
      </c>
      <c r="F195" s="8">
        <v>168.0</v>
      </c>
      <c r="G195" s="1" t="s">
        <v>505</v>
      </c>
      <c r="H195" s="1" t="str">
        <f t="shared" si="1"/>
        <v>Jimmy</v>
      </c>
      <c r="I195" s="1" t="str">
        <f t="shared" si="2"/>
        <v>Garoppolo</v>
      </c>
      <c r="J195" s="1" t="str">
        <f t="shared" si="3"/>
        <v>#N/A</v>
      </c>
      <c r="K195" s="1" t="str">
        <f>IFERROR(VLOOKUP($J195,Players!$D:$E,2,FALSE),VLOOKUP($G195,Players!A:E,5,FALSE))</f>
        <v>QB</v>
      </c>
    </row>
    <row r="196" ht="15.75" customHeight="1">
      <c r="A196" s="1">
        <v>2020.0</v>
      </c>
      <c r="B196" s="1" t="s">
        <v>41</v>
      </c>
      <c r="C196" s="1" t="s">
        <v>26</v>
      </c>
      <c r="D196" s="8">
        <v>12.0</v>
      </c>
      <c r="E196" s="8">
        <v>15.0</v>
      </c>
      <c r="F196" s="8">
        <v>169.0</v>
      </c>
      <c r="G196" s="1" t="s">
        <v>509</v>
      </c>
      <c r="H196" s="1" t="str">
        <f t="shared" si="1"/>
        <v>Matt</v>
      </c>
      <c r="I196" s="1" t="str">
        <f t="shared" si="2"/>
        <v>Prater</v>
      </c>
      <c r="J196" s="1" t="str">
        <f t="shared" si="3"/>
        <v>#N/A</v>
      </c>
      <c r="K196" s="1" t="str">
        <f>IFERROR(VLOOKUP($J196,Players!$D:$E,2,FALSE),VLOOKUP($G196,Players!A:E,5,FALSE))</f>
        <v>K</v>
      </c>
    </row>
    <row r="197" ht="15.75" customHeight="1">
      <c r="A197" s="1">
        <v>2020.0</v>
      </c>
      <c r="B197" s="1" t="s">
        <v>50</v>
      </c>
      <c r="C197" s="1" t="s">
        <v>8</v>
      </c>
      <c r="D197" s="8">
        <v>11.0</v>
      </c>
      <c r="E197" s="8">
        <v>1.0</v>
      </c>
      <c r="F197" s="8">
        <v>2.0</v>
      </c>
      <c r="G197" s="1" t="s">
        <v>342</v>
      </c>
      <c r="H197" s="1" t="str">
        <f t="shared" si="1"/>
        <v>Saquon</v>
      </c>
      <c r="I197" s="1" t="str">
        <f t="shared" si="2"/>
        <v>Barkley</v>
      </c>
      <c r="J197" s="1" t="str">
        <f t="shared" si="3"/>
        <v>#N/A</v>
      </c>
      <c r="K197" s="1" t="str">
        <f>IFERROR(VLOOKUP($J197,Players!$D:$E,2,FALSE),VLOOKUP($G197,Players!A:E,5,FALSE))</f>
        <v>RB</v>
      </c>
    </row>
    <row r="198" ht="15.75" customHeight="1">
      <c r="A198" s="1">
        <v>2020.0</v>
      </c>
      <c r="B198" s="1" t="s">
        <v>50</v>
      </c>
      <c r="C198" s="1" t="s">
        <v>8</v>
      </c>
      <c r="D198" s="8">
        <v>11.0</v>
      </c>
      <c r="E198" s="8">
        <v>2.0</v>
      </c>
      <c r="F198" s="8">
        <v>23.0</v>
      </c>
      <c r="G198" s="1" t="s">
        <v>85</v>
      </c>
      <c r="H198" s="1" t="str">
        <f t="shared" si="1"/>
        <v>James</v>
      </c>
      <c r="I198" s="1" t="str">
        <f t="shared" si="2"/>
        <v>Conner</v>
      </c>
      <c r="J198" s="1" t="str">
        <f t="shared" si="3"/>
        <v>#N/A</v>
      </c>
      <c r="K198" s="1" t="str">
        <f>IFERROR(VLOOKUP($J198,Players!$D:$E,2,FALSE),VLOOKUP($G198,Players!A:E,5,FALSE))</f>
        <v>RB</v>
      </c>
    </row>
    <row r="199" ht="15.75" customHeight="1">
      <c r="A199" s="1">
        <v>2020.0</v>
      </c>
      <c r="B199" s="1" t="s">
        <v>50</v>
      </c>
      <c r="C199" s="1" t="s">
        <v>8</v>
      </c>
      <c r="D199" s="8">
        <v>11.0</v>
      </c>
      <c r="E199" s="8">
        <v>3.0</v>
      </c>
      <c r="F199" s="8">
        <v>26.0</v>
      </c>
      <c r="G199" s="1" t="s">
        <v>391</v>
      </c>
      <c r="H199" s="1" t="str">
        <f t="shared" si="1"/>
        <v>Mike</v>
      </c>
      <c r="I199" s="1" t="str">
        <f t="shared" si="2"/>
        <v>Evans</v>
      </c>
      <c r="J199" s="1" t="str">
        <f t="shared" si="3"/>
        <v>#N/A</v>
      </c>
      <c r="K199" s="1" t="str">
        <f>IFERROR(VLOOKUP($J199,Players!$D:$E,2,FALSE),VLOOKUP($G199,Players!A:E,5,FALSE))</f>
        <v>WR</v>
      </c>
    </row>
    <row r="200" ht="15.75" customHeight="1">
      <c r="A200" s="1">
        <v>2020.0</v>
      </c>
      <c r="B200" s="1" t="s">
        <v>50</v>
      </c>
      <c r="C200" s="1" t="s">
        <v>8</v>
      </c>
      <c r="D200" s="8">
        <v>11.0</v>
      </c>
      <c r="E200" s="8">
        <v>4.0</v>
      </c>
      <c r="F200" s="8">
        <v>47.0</v>
      </c>
      <c r="G200" s="1" t="s">
        <v>125</v>
      </c>
      <c r="H200" s="1" t="str">
        <f t="shared" si="1"/>
        <v>Terry</v>
      </c>
      <c r="I200" s="1" t="str">
        <f t="shared" si="2"/>
        <v>McLaurin</v>
      </c>
      <c r="J200" s="1" t="str">
        <f t="shared" si="3"/>
        <v>#N/A</v>
      </c>
      <c r="K200" s="1" t="str">
        <f>IFERROR(VLOOKUP($J200,Players!$D:$E,2,FALSE),VLOOKUP($G200,Players!A:E,5,FALSE))</f>
        <v>WR</v>
      </c>
    </row>
    <row r="201" ht="15.75" customHeight="1">
      <c r="A201" s="1">
        <v>2020.0</v>
      </c>
      <c r="B201" s="1" t="s">
        <v>50</v>
      </c>
      <c r="C201" s="1" t="s">
        <v>8</v>
      </c>
      <c r="D201" s="8">
        <v>11.0</v>
      </c>
      <c r="E201" s="8">
        <v>5.0</v>
      </c>
      <c r="F201" s="8">
        <v>50.0</v>
      </c>
      <c r="G201" s="1" t="s">
        <v>203</v>
      </c>
      <c r="H201" s="1" t="str">
        <f t="shared" si="1"/>
        <v>Evan</v>
      </c>
      <c r="I201" s="1" t="str">
        <f t="shared" si="2"/>
        <v>Engram</v>
      </c>
      <c r="J201" s="1" t="str">
        <f t="shared" si="3"/>
        <v>#N/A</v>
      </c>
      <c r="K201" s="1" t="str">
        <f>IFERROR(VLOOKUP($J201,Players!$D:$E,2,FALSE),VLOOKUP($G201,Players!A:E,5,FALSE))</f>
        <v>TE</v>
      </c>
    </row>
    <row r="202" ht="15.75" customHeight="1">
      <c r="A202" s="1">
        <v>2020.0</v>
      </c>
      <c r="B202" s="1" t="s">
        <v>50</v>
      </c>
      <c r="C202" s="1" t="s">
        <v>8</v>
      </c>
      <c r="D202" s="8">
        <v>11.0</v>
      </c>
      <c r="E202" s="8">
        <v>6.0</v>
      </c>
      <c r="F202" s="8">
        <v>71.0</v>
      </c>
      <c r="G202" s="1" t="s">
        <v>261</v>
      </c>
      <c r="H202" s="1" t="str">
        <f t="shared" si="1"/>
        <v>David</v>
      </c>
      <c r="I202" s="1" t="str">
        <f t="shared" si="2"/>
        <v>Montgomery</v>
      </c>
      <c r="J202" s="1" t="str">
        <f t="shared" si="3"/>
        <v>#N/A</v>
      </c>
      <c r="K202" s="1" t="str">
        <f>IFERROR(VLOOKUP($J202,Players!$D:$E,2,FALSE),VLOOKUP($G202,Players!A:E,5,FALSE))</f>
        <v>RB</v>
      </c>
    </row>
    <row r="203" ht="15.75" customHeight="1">
      <c r="A203" s="1">
        <v>2020.0</v>
      </c>
      <c r="B203" s="1" t="s">
        <v>50</v>
      </c>
      <c r="C203" s="1" t="s">
        <v>8</v>
      </c>
      <c r="D203" s="8">
        <v>11.0</v>
      </c>
      <c r="E203" s="8">
        <v>7.0</v>
      </c>
      <c r="F203" s="8">
        <v>74.0</v>
      </c>
      <c r="G203" s="1" t="s">
        <v>524</v>
      </c>
      <c r="H203" s="1" t="str">
        <f t="shared" si="1"/>
        <v>Matt</v>
      </c>
      <c r="I203" s="1" t="str">
        <f t="shared" si="2"/>
        <v>Ryan</v>
      </c>
      <c r="J203" s="1" t="str">
        <f t="shared" si="3"/>
        <v>#N/A</v>
      </c>
      <c r="K203" s="1" t="str">
        <f>IFERROR(VLOOKUP($J203,Players!$D:$E,2,FALSE),VLOOKUP($G203,Players!A:E,5,FALSE))</f>
        <v>QB</v>
      </c>
    </row>
    <row r="204" ht="15.75" customHeight="1">
      <c r="A204" s="1">
        <v>2020.0</v>
      </c>
      <c r="B204" s="1" t="s">
        <v>50</v>
      </c>
      <c r="C204" s="1" t="s">
        <v>8</v>
      </c>
      <c r="D204" s="8">
        <v>11.0</v>
      </c>
      <c r="E204" s="8">
        <v>8.0</v>
      </c>
      <c r="F204" s="8">
        <v>95.0</v>
      </c>
      <c r="G204" s="1" t="s">
        <v>82</v>
      </c>
      <c r="H204" s="1" t="str">
        <f t="shared" si="1"/>
        <v>Diontae</v>
      </c>
      <c r="I204" s="1" t="str">
        <f t="shared" si="2"/>
        <v>Johnson</v>
      </c>
      <c r="J204" s="1" t="str">
        <f t="shared" si="3"/>
        <v>#N/A</v>
      </c>
      <c r="K204" s="1" t="str">
        <f>IFERROR(VLOOKUP($J204,Players!$D:$E,2,FALSE),VLOOKUP($G204,Players!A:E,5,FALSE))</f>
        <v>WR</v>
      </c>
    </row>
    <row r="205" ht="15.75" customHeight="1">
      <c r="A205" s="1">
        <v>2020.0</v>
      </c>
      <c r="B205" s="1" t="s">
        <v>50</v>
      </c>
      <c r="C205" s="1" t="s">
        <v>8</v>
      </c>
      <c r="D205" s="8">
        <v>11.0</v>
      </c>
      <c r="E205" s="8">
        <v>9.0</v>
      </c>
      <c r="F205" s="8">
        <v>98.0</v>
      </c>
      <c r="G205" s="1" t="s">
        <v>527</v>
      </c>
      <c r="H205" s="1" t="str">
        <f t="shared" si="1"/>
        <v>Hunter</v>
      </c>
      <c r="I205" s="1" t="str">
        <f t="shared" si="2"/>
        <v>Henry</v>
      </c>
      <c r="J205" s="1" t="str">
        <f t="shared" si="3"/>
        <v>#N/A</v>
      </c>
      <c r="K205" s="1" t="str">
        <f>IFERROR(VLOOKUP($J205,Players!$D:$E,2,FALSE),VLOOKUP($G205,Players!A:E,5,FALSE))</f>
        <v>TE</v>
      </c>
    </row>
    <row r="206" ht="15.75" customHeight="1">
      <c r="A206" s="1">
        <v>2020.0</v>
      </c>
      <c r="B206" s="1" t="s">
        <v>50</v>
      </c>
      <c r="C206" s="1" t="s">
        <v>8</v>
      </c>
      <c r="D206" s="8">
        <v>11.0</v>
      </c>
      <c r="E206" s="8">
        <v>10.0</v>
      </c>
      <c r="F206" s="8">
        <v>119.0</v>
      </c>
      <c r="G206" s="1" t="s">
        <v>124</v>
      </c>
      <c r="H206" s="1" t="str">
        <f t="shared" si="1"/>
        <v>Justin</v>
      </c>
      <c r="I206" s="1" t="str">
        <f t="shared" si="2"/>
        <v>Jefferson</v>
      </c>
      <c r="J206" s="1" t="str">
        <f t="shared" si="3"/>
        <v>#N/A</v>
      </c>
      <c r="K206" s="1" t="str">
        <f>IFERROR(VLOOKUP($J206,Players!$D:$E,2,FALSE),VLOOKUP($G206,Players!A:E,5,FALSE))</f>
        <v>WR</v>
      </c>
    </row>
    <row r="207" ht="15.75" customHeight="1">
      <c r="A207" s="1">
        <v>2020.0</v>
      </c>
      <c r="B207" s="1" t="s">
        <v>50</v>
      </c>
      <c r="C207" s="1" t="s">
        <v>8</v>
      </c>
      <c r="D207" s="8">
        <v>11.0</v>
      </c>
      <c r="E207" s="8">
        <v>11.0</v>
      </c>
      <c r="F207" s="8">
        <v>122.0</v>
      </c>
      <c r="G207" s="1" t="s">
        <v>531</v>
      </c>
      <c r="H207" s="1" t="str">
        <f t="shared" si="1"/>
        <v>Bryce</v>
      </c>
      <c r="I207" s="1" t="str">
        <f t="shared" si="2"/>
        <v>Love</v>
      </c>
      <c r="J207" s="1" t="str">
        <f t="shared" si="3"/>
        <v>#N/A</v>
      </c>
      <c r="K207" s="1" t="str">
        <f>IFERROR(VLOOKUP($J207,Players!$D:$E,2,FALSE),VLOOKUP($G207,Players!A:E,5,FALSE))</f>
        <v>RB</v>
      </c>
    </row>
    <row r="208" ht="15.75" customHeight="1">
      <c r="A208" s="1">
        <v>2020.0</v>
      </c>
      <c r="B208" s="1" t="s">
        <v>50</v>
      </c>
      <c r="C208" s="1" t="s">
        <v>8</v>
      </c>
      <c r="D208" s="8">
        <v>11.0</v>
      </c>
      <c r="E208" s="8">
        <v>12.0</v>
      </c>
      <c r="F208" s="8">
        <v>143.0</v>
      </c>
      <c r="G208" s="1" t="s">
        <v>534</v>
      </c>
      <c r="H208" s="1" t="str">
        <f t="shared" si="1"/>
        <v>Preston</v>
      </c>
      <c r="I208" s="1" t="str">
        <f t="shared" si="2"/>
        <v>Williams</v>
      </c>
      <c r="J208" s="1" t="str">
        <f t="shared" si="3"/>
        <v>#N/A</v>
      </c>
      <c r="K208" s="1" t="str">
        <f>IFERROR(VLOOKUP($J208,Players!$D:$E,2,FALSE),VLOOKUP($G208,Players!A:E,5,FALSE))</f>
        <v>WR</v>
      </c>
    </row>
    <row r="209" ht="15.75" customHeight="1">
      <c r="A209" s="1">
        <v>2020.0</v>
      </c>
      <c r="B209" s="1" t="s">
        <v>50</v>
      </c>
      <c r="C209" s="1" t="s">
        <v>8</v>
      </c>
      <c r="D209" s="8">
        <v>11.0</v>
      </c>
      <c r="E209" s="8">
        <v>13.0</v>
      </c>
      <c r="F209" s="8">
        <v>146.0</v>
      </c>
      <c r="G209" s="1" t="s">
        <v>102</v>
      </c>
      <c r="H209" s="1" t="str">
        <f t="shared" si="1"/>
        <v>Nyheim</v>
      </c>
      <c r="I209" s="1" t="str">
        <f t="shared" si="2"/>
        <v>Hines</v>
      </c>
      <c r="J209" s="1" t="str">
        <f t="shared" si="3"/>
        <v>#N/A</v>
      </c>
      <c r="K209" s="1" t="str">
        <f>IFERROR(VLOOKUP($J209,Players!$D:$E,2,FALSE),VLOOKUP($G209,Players!A:E,5,FALSE))</f>
        <v>RB</v>
      </c>
    </row>
    <row r="210" ht="15.75" customHeight="1">
      <c r="A210" s="1">
        <v>2020.0</v>
      </c>
      <c r="B210" s="1" t="s">
        <v>50</v>
      </c>
      <c r="C210" s="1" t="s">
        <v>8</v>
      </c>
      <c r="D210" s="8">
        <v>11.0</v>
      </c>
      <c r="E210" s="8">
        <v>14.0</v>
      </c>
      <c r="F210" s="8">
        <v>167.0</v>
      </c>
      <c r="G210" s="1" t="s">
        <v>434</v>
      </c>
      <c r="H210" s="1" t="str">
        <f t="shared" si="1"/>
        <v>Baker</v>
      </c>
      <c r="I210" s="1" t="str">
        <f t="shared" si="2"/>
        <v>Mayfield</v>
      </c>
      <c r="J210" s="1" t="str">
        <f t="shared" si="3"/>
        <v>#N/A</v>
      </c>
      <c r="K210" s="1" t="str">
        <f>IFERROR(VLOOKUP($J210,Players!$D:$E,2,FALSE),VLOOKUP($G210,Players!A:E,5,FALSE))</f>
        <v>QB</v>
      </c>
    </row>
    <row r="211" ht="15.75" customHeight="1">
      <c r="A211" s="1">
        <v>2020.0</v>
      </c>
      <c r="B211" s="1" t="s">
        <v>50</v>
      </c>
      <c r="C211" s="1" t="s">
        <v>8</v>
      </c>
      <c r="D211" s="8">
        <v>11.0</v>
      </c>
      <c r="E211" s="8">
        <v>15.0</v>
      </c>
      <c r="F211" s="8">
        <v>170.0</v>
      </c>
      <c r="G211" s="1" t="s">
        <v>541</v>
      </c>
      <c r="H211" s="1" t="str">
        <f t="shared" si="1"/>
        <v>Tennessee</v>
      </c>
      <c r="I211" s="1" t="str">
        <f t="shared" si="2"/>
        <v/>
      </c>
      <c r="J211" s="1" t="str">
        <f t="shared" si="3"/>
        <v>#N/A</v>
      </c>
      <c r="K211" s="1" t="str">
        <f>IFERROR(VLOOKUP($J211,Players!$D:$E,2,FALSE),VLOOKUP($G211,Players!A:E,5,FALSE))</f>
        <v>DEF</v>
      </c>
    </row>
    <row r="212" ht="15.75" customHeight="1">
      <c r="A212" s="1">
        <v>2020.0</v>
      </c>
      <c r="B212" s="1" t="s">
        <v>21</v>
      </c>
      <c r="C212" s="1" t="s">
        <v>22</v>
      </c>
      <c r="D212" s="8">
        <v>5.0</v>
      </c>
      <c r="E212" s="8">
        <v>1.0</v>
      </c>
      <c r="F212" s="8">
        <v>3.0</v>
      </c>
      <c r="G212" s="1" t="s">
        <v>123</v>
      </c>
      <c r="H212" s="1" t="str">
        <f t="shared" si="1"/>
        <v>Ezekiel</v>
      </c>
      <c r="I212" s="1" t="str">
        <f t="shared" si="2"/>
        <v>Elliott</v>
      </c>
      <c r="J212" s="1" t="str">
        <f t="shared" si="3"/>
        <v>#N/A</v>
      </c>
      <c r="K212" s="1" t="str">
        <f>IFERROR(VLOOKUP($J212,Players!$D:$E,2,FALSE),VLOOKUP($G212,Players!A:E,5,FALSE))</f>
        <v>RB</v>
      </c>
    </row>
    <row r="213" ht="15.75" customHeight="1">
      <c r="A213" s="1">
        <v>2020.0</v>
      </c>
      <c r="B213" s="1" t="s">
        <v>21</v>
      </c>
      <c r="C213" s="1" t="s">
        <v>22</v>
      </c>
      <c r="D213" s="8">
        <v>5.0</v>
      </c>
      <c r="E213" s="8">
        <v>2.0</v>
      </c>
      <c r="F213" s="8">
        <v>22.0</v>
      </c>
      <c r="G213" s="1" t="s">
        <v>139</v>
      </c>
      <c r="H213" s="1" t="str">
        <f t="shared" si="1"/>
        <v>Travis</v>
      </c>
      <c r="I213" s="1" t="str">
        <f t="shared" si="2"/>
        <v>Kelce</v>
      </c>
      <c r="J213" s="1" t="str">
        <f t="shared" si="3"/>
        <v>#N/A</v>
      </c>
      <c r="K213" s="1" t="str">
        <f>IFERROR(VLOOKUP($J213,Players!$D:$E,2,FALSE),VLOOKUP($G213,Players!A:E,5,FALSE))</f>
        <v>TE</v>
      </c>
    </row>
    <row r="214" ht="15.75" customHeight="1">
      <c r="A214" s="1">
        <v>2020.0</v>
      </c>
      <c r="B214" s="1" t="s">
        <v>21</v>
      </c>
      <c r="C214" s="1" t="s">
        <v>22</v>
      </c>
      <c r="D214" s="8">
        <v>5.0</v>
      </c>
      <c r="E214" s="8">
        <v>3.0</v>
      </c>
      <c r="F214" s="8">
        <v>27.0</v>
      </c>
      <c r="G214" s="1" t="s">
        <v>347</v>
      </c>
      <c r="H214" s="1" t="str">
        <f t="shared" si="1"/>
        <v>Chris</v>
      </c>
      <c r="I214" s="1" t="str">
        <f t="shared" si="2"/>
        <v>Carson</v>
      </c>
      <c r="J214" s="1" t="str">
        <f t="shared" si="3"/>
        <v>#N/A</v>
      </c>
      <c r="K214" s="1" t="str">
        <f>IFERROR(VLOOKUP($J214,Players!$D:$E,2,FALSE),VLOOKUP($G214,Players!A:E,5,FALSE))</f>
        <v>RB</v>
      </c>
    </row>
    <row r="215" ht="15.75" customHeight="1">
      <c r="A215" s="1">
        <v>2020.0</v>
      </c>
      <c r="B215" s="1" t="s">
        <v>21</v>
      </c>
      <c r="C215" s="1" t="s">
        <v>22</v>
      </c>
      <c r="D215" s="8">
        <v>5.0</v>
      </c>
      <c r="E215" s="8">
        <v>4.0</v>
      </c>
      <c r="F215" s="8">
        <v>46.0</v>
      </c>
      <c r="G215" s="1" t="s">
        <v>170</v>
      </c>
      <c r="H215" s="1" t="str">
        <f t="shared" si="1"/>
        <v>Calvin</v>
      </c>
      <c r="I215" s="1" t="str">
        <f t="shared" si="2"/>
        <v>Ridley</v>
      </c>
      <c r="J215" s="1" t="str">
        <f t="shared" si="3"/>
        <v>#N/A</v>
      </c>
      <c r="K215" s="1" t="str">
        <f>IFERROR(VLOOKUP($J215,Players!$D:$E,2,FALSE),VLOOKUP($G215,Players!A:E,5,FALSE))</f>
        <v>WR</v>
      </c>
    </row>
    <row r="216" ht="15.75" customHeight="1">
      <c r="A216" s="1">
        <v>2020.0</v>
      </c>
      <c r="B216" s="1" t="s">
        <v>21</v>
      </c>
      <c r="C216" s="1" t="s">
        <v>22</v>
      </c>
      <c r="D216" s="8">
        <v>5.0</v>
      </c>
      <c r="E216" s="8">
        <v>5.0</v>
      </c>
      <c r="F216" s="8">
        <v>51.0</v>
      </c>
      <c r="G216" s="1" t="s">
        <v>554</v>
      </c>
      <c r="H216" s="1" t="str">
        <f t="shared" si="1"/>
        <v>Cam</v>
      </c>
      <c r="I216" s="1" t="str">
        <f t="shared" si="2"/>
        <v>Akers</v>
      </c>
      <c r="J216" s="1" t="str">
        <f t="shared" si="3"/>
        <v>#N/A</v>
      </c>
      <c r="K216" s="1" t="str">
        <f>IFERROR(VLOOKUP($J216,Players!$D:$E,2,FALSE),VLOOKUP($G216,Players!A:E,5,FALSE))</f>
        <v>RB</v>
      </c>
    </row>
    <row r="217" ht="15.75" customHeight="1">
      <c r="A217" s="1">
        <v>2020.0</v>
      </c>
      <c r="B217" s="1" t="s">
        <v>21</v>
      </c>
      <c r="C217" s="1" t="s">
        <v>22</v>
      </c>
      <c r="D217" s="8">
        <v>5.0</v>
      </c>
      <c r="E217" s="8">
        <v>6.0</v>
      </c>
      <c r="F217" s="8">
        <v>70.0</v>
      </c>
      <c r="G217" s="1" t="s">
        <v>178</v>
      </c>
      <c r="H217" s="1" t="str">
        <f t="shared" si="1"/>
        <v>Kyler</v>
      </c>
      <c r="I217" s="1" t="str">
        <f t="shared" si="2"/>
        <v>Murray</v>
      </c>
      <c r="J217" s="1" t="str">
        <f t="shared" si="3"/>
        <v>#N/A</v>
      </c>
      <c r="K217" s="1" t="str">
        <f>IFERROR(VLOOKUP($J217,Players!$D:$E,2,FALSE),VLOOKUP($G217,Players!A:E,5,FALSE))</f>
        <v>QB</v>
      </c>
    </row>
    <row r="218" ht="15.75" customHeight="1">
      <c r="A218" s="1">
        <v>2020.0</v>
      </c>
      <c r="B218" s="1" t="s">
        <v>21</v>
      </c>
      <c r="C218" s="1" t="s">
        <v>22</v>
      </c>
      <c r="D218" s="8">
        <v>5.0</v>
      </c>
      <c r="E218" s="8">
        <v>7.0</v>
      </c>
      <c r="F218" s="8">
        <v>75.0</v>
      </c>
      <c r="G218" s="1" t="s">
        <v>117</v>
      </c>
      <c r="H218" s="1" t="str">
        <f t="shared" si="1"/>
        <v>Jarvis</v>
      </c>
      <c r="I218" s="1" t="str">
        <f t="shared" si="2"/>
        <v>Landry</v>
      </c>
      <c r="J218" s="1" t="str">
        <f t="shared" si="3"/>
        <v>#N/A</v>
      </c>
      <c r="K218" s="1" t="str">
        <f>IFERROR(VLOOKUP($J218,Players!$D:$E,2,FALSE),VLOOKUP($G218,Players!A:E,5,FALSE))</f>
        <v>WR</v>
      </c>
    </row>
    <row r="219" ht="15.75" customHeight="1">
      <c r="A219" s="1">
        <v>2020.0</v>
      </c>
      <c r="B219" s="1" t="s">
        <v>21</v>
      </c>
      <c r="C219" s="1" t="s">
        <v>22</v>
      </c>
      <c r="D219" s="8">
        <v>5.0</v>
      </c>
      <c r="E219" s="8">
        <v>8.0</v>
      </c>
      <c r="F219" s="8">
        <v>94.0</v>
      </c>
      <c r="G219" s="1" t="s">
        <v>238</v>
      </c>
      <c r="H219" s="1" t="str">
        <f t="shared" si="1"/>
        <v>Devin</v>
      </c>
      <c r="I219" s="1" t="str">
        <f t="shared" si="2"/>
        <v>Singletary</v>
      </c>
      <c r="J219" s="1" t="str">
        <f t="shared" si="3"/>
        <v>#N/A</v>
      </c>
      <c r="K219" s="1" t="str">
        <f>IFERROR(VLOOKUP($J219,Players!$D:$E,2,FALSE),VLOOKUP($G219,Players!A:E,5,FALSE))</f>
        <v>RB</v>
      </c>
    </row>
    <row r="220" ht="15.75" customHeight="1">
      <c r="A220" s="1">
        <v>2020.0</v>
      </c>
      <c r="B220" s="1" t="s">
        <v>21</v>
      </c>
      <c r="C220" s="1" t="s">
        <v>22</v>
      </c>
      <c r="D220" s="8">
        <v>5.0</v>
      </c>
      <c r="E220" s="8">
        <v>9.0</v>
      </c>
      <c r="F220" s="8">
        <v>99.0</v>
      </c>
      <c r="G220" s="1" t="s">
        <v>147</v>
      </c>
      <c r="H220" s="1" t="str">
        <f t="shared" si="1"/>
        <v>Brandin</v>
      </c>
      <c r="I220" s="1" t="str">
        <f t="shared" si="2"/>
        <v>Cooks</v>
      </c>
      <c r="J220" s="1" t="str">
        <f t="shared" si="3"/>
        <v>#N/A</v>
      </c>
      <c r="K220" s="1" t="str">
        <f>IFERROR(VLOOKUP($J220,Players!$D:$E,2,FALSE),VLOOKUP($G220,Players!A:E,5,FALSE))</f>
        <v>WR</v>
      </c>
    </row>
    <row r="221" ht="15.75" customHeight="1">
      <c r="A221" s="1">
        <v>2020.0</v>
      </c>
      <c r="B221" s="1" t="s">
        <v>21</v>
      </c>
      <c r="C221" s="1" t="s">
        <v>22</v>
      </c>
      <c r="D221" s="8">
        <v>5.0</v>
      </c>
      <c r="E221" s="8">
        <v>10.0</v>
      </c>
      <c r="F221" s="8">
        <v>118.0</v>
      </c>
      <c r="G221" s="1" t="s">
        <v>285</v>
      </c>
      <c r="H221" s="1" t="str">
        <f t="shared" si="1"/>
        <v>Joe</v>
      </c>
      <c r="I221" s="1" t="str">
        <f t="shared" si="2"/>
        <v>Burrow</v>
      </c>
      <c r="J221" s="1" t="str">
        <f t="shared" si="3"/>
        <v>#N/A</v>
      </c>
      <c r="K221" s="1" t="str">
        <f>IFERROR(VLOOKUP($J221,Players!$D:$E,2,FALSE),VLOOKUP($G221,Players!A:E,5,FALSE))</f>
        <v>QB</v>
      </c>
    </row>
    <row r="222" ht="15.75" customHeight="1">
      <c r="A222" s="1">
        <v>2020.0</v>
      </c>
      <c r="B222" s="1" t="s">
        <v>21</v>
      </c>
      <c r="C222" s="1" t="s">
        <v>22</v>
      </c>
      <c r="D222" s="8">
        <v>5.0</v>
      </c>
      <c r="E222" s="8">
        <v>11.0</v>
      </c>
      <c r="F222" s="8">
        <v>123.0</v>
      </c>
      <c r="G222" s="1" t="s">
        <v>566</v>
      </c>
      <c r="H222" s="1" t="str">
        <f t="shared" si="1"/>
        <v>N'Keal</v>
      </c>
      <c r="I222" s="1" t="str">
        <f t="shared" si="2"/>
        <v>Harry</v>
      </c>
      <c r="J222" s="1" t="str">
        <f t="shared" si="3"/>
        <v>#N/A</v>
      </c>
      <c r="K222" s="1" t="str">
        <f>IFERROR(VLOOKUP($J222,Players!$D:$E,2,FALSE),VLOOKUP($G222,Players!A:E,5,FALSE))</f>
        <v>WR</v>
      </c>
    </row>
    <row r="223" ht="15.75" customHeight="1">
      <c r="A223" s="1">
        <v>2020.0</v>
      </c>
      <c r="B223" s="1" t="s">
        <v>21</v>
      </c>
      <c r="C223" s="1" t="s">
        <v>22</v>
      </c>
      <c r="D223" s="8">
        <v>5.0</v>
      </c>
      <c r="E223" s="8">
        <v>12.0</v>
      </c>
      <c r="F223" s="8">
        <v>142.0</v>
      </c>
      <c r="G223" s="1" t="s">
        <v>121</v>
      </c>
      <c r="H223" s="1" t="str">
        <f t="shared" si="1"/>
        <v>Jalen</v>
      </c>
      <c r="I223" s="1" t="str">
        <f t="shared" si="2"/>
        <v>Reagor</v>
      </c>
      <c r="J223" s="1" t="str">
        <f t="shared" si="3"/>
        <v>#N/A</v>
      </c>
      <c r="K223" s="1" t="str">
        <f>IFERROR(VLOOKUP($J223,Players!$D:$E,2,FALSE),VLOOKUP($G223,Players!A:E,5,FALSE))</f>
        <v>WR</v>
      </c>
    </row>
    <row r="224" ht="15.75" customHeight="1">
      <c r="A224" s="1">
        <v>2020.0</v>
      </c>
      <c r="B224" s="1" t="s">
        <v>21</v>
      </c>
      <c r="C224" s="1" t="s">
        <v>22</v>
      </c>
      <c r="D224" s="8">
        <v>5.0</v>
      </c>
      <c r="E224" s="8">
        <v>13.0</v>
      </c>
      <c r="F224" s="8">
        <v>147.0</v>
      </c>
      <c r="G224" s="1" t="s">
        <v>88</v>
      </c>
      <c r="H224" s="1" t="str">
        <f t="shared" si="1"/>
        <v>Tony</v>
      </c>
      <c r="I224" s="1" t="str">
        <f t="shared" si="2"/>
        <v>Pollard</v>
      </c>
      <c r="J224" s="1" t="str">
        <f t="shared" si="3"/>
        <v>#N/A</v>
      </c>
      <c r="K224" s="1" t="str">
        <f>IFERROR(VLOOKUP($J224,Players!$D:$E,2,FALSE),VLOOKUP($G224,Players!A:E,5,FALSE))</f>
        <v>RB</v>
      </c>
    </row>
    <row r="225" ht="15.75" customHeight="1">
      <c r="A225" s="1">
        <v>2020.0</v>
      </c>
      <c r="B225" s="1" t="s">
        <v>21</v>
      </c>
      <c r="C225" s="1" t="s">
        <v>22</v>
      </c>
      <c r="D225" s="8">
        <v>5.0</v>
      </c>
      <c r="E225" s="8">
        <v>14.0</v>
      </c>
      <c r="F225" s="8">
        <v>166.0</v>
      </c>
      <c r="G225" s="1" t="s">
        <v>573</v>
      </c>
      <c r="H225" s="1" t="str">
        <f t="shared" si="1"/>
        <v>#VALUE!</v>
      </c>
      <c r="I225" s="1" t="str">
        <f t="shared" si="2"/>
        <v>#VALUE!</v>
      </c>
      <c r="J225" s="1" t="str">
        <f t="shared" si="3"/>
        <v>#N/A</v>
      </c>
      <c r="K225" s="1" t="str">
        <f>IFERROR(VLOOKUP($J225,Players!$D:$E,2,FALSE),VLOOKUP($G225,Players!A:E,5,FALSE))</f>
        <v>DEF</v>
      </c>
    </row>
    <row r="226" ht="15.75" customHeight="1">
      <c r="A226" s="1">
        <v>2020.0</v>
      </c>
      <c r="B226" s="1" t="s">
        <v>21</v>
      </c>
      <c r="C226" s="1" t="s">
        <v>22</v>
      </c>
      <c r="D226" s="8">
        <v>5.0</v>
      </c>
      <c r="E226" s="8">
        <v>15.0</v>
      </c>
      <c r="F226" s="8">
        <v>171.0</v>
      </c>
      <c r="G226" s="1" t="s">
        <v>575</v>
      </c>
      <c r="H226" s="1" t="str">
        <f t="shared" si="1"/>
        <v>Robbie</v>
      </c>
      <c r="I226" s="1" t="str">
        <f t="shared" si="2"/>
        <v>Gould</v>
      </c>
      <c r="J226" s="1" t="str">
        <f t="shared" si="3"/>
        <v>#N/A</v>
      </c>
      <c r="K226" s="1" t="str">
        <f>IFERROR(VLOOKUP($J226,Players!$D:$E,2,FALSE),VLOOKUP($G226,Players!A:E,5,FALSE))</f>
        <v>K</v>
      </c>
    </row>
    <row r="227" ht="15.75" customHeight="1">
      <c r="A227" s="1">
        <v>2020.0</v>
      </c>
      <c r="B227" s="1" t="s">
        <v>18</v>
      </c>
      <c r="C227" s="1" t="s">
        <v>12</v>
      </c>
      <c r="D227" s="8">
        <v>4.0</v>
      </c>
      <c r="E227" s="8">
        <v>1.0</v>
      </c>
      <c r="F227" s="8">
        <v>4.0</v>
      </c>
      <c r="G227" s="1" t="s">
        <v>168</v>
      </c>
      <c r="H227" s="1" t="str">
        <f t="shared" si="1"/>
        <v>Derrick</v>
      </c>
      <c r="I227" s="1" t="str">
        <f t="shared" si="2"/>
        <v>Henry</v>
      </c>
      <c r="J227" s="1" t="str">
        <f t="shared" si="3"/>
        <v>#N/A</v>
      </c>
      <c r="K227" s="1" t="str">
        <f>IFERROR(VLOOKUP($J227,Players!$D:$E,2,FALSE),VLOOKUP($G227,Players!A:E,5,FALSE))</f>
        <v>RB</v>
      </c>
    </row>
    <row r="228" ht="15.75" customHeight="1">
      <c r="A228" s="1">
        <v>2020.0</v>
      </c>
      <c r="B228" s="1" t="s">
        <v>18</v>
      </c>
      <c r="C228" s="1" t="s">
        <v>12</v>
      </c>
      <c r="D228" s="8">
        <v>4.0</v>
      </c>
      <c r="E228" s="8">
        <v>2.0</v>
      </c>
      <c r="F228" s="8">
        <v>21.0</v>
      </c>
      <c r="G228" s="1" t="s">
        <v>256</v>
      </c>
      <c r="H228" s="1" t="str">
        <f t="shared" si="1"/>
        <v>Austin</v>
      </c>
      <c r="I228" s="1" t="str">
        <f t="shared" si="2"/>
        <v>Ekeler</v>
      </c>
      <c r="J228" s="1" t="str">
        <f t="shared" si="3"/>
        <v>#N/A</v>
      </c>
      <c r="K228" s="1" t="str">
        <f>IFERROR(VLOOKUP($J228,Players!$D:$E,2,FALSE),VLOOKUP($G228,Players!A:E,5,FALSE))</f>
        <v>RB</v>
      </c>
    </row>
    <row r="229" ht="15.75" customHeight="1">
      <c r="A229" s="1">
        <v>2020.0</v>
      </c>
      <c r="B229" s="1" t="s">
        <v>18</v>
      </c>
      <c r="C229" s="1" t="s">
        <v>12</v>
      </c>
      <c r="D229" s="8">
        <v>4.0</v>
      </c>
      <c r="E229" s="8">
        <v>3.0</v>
      </c>
      <c r="F229" s="8">
        <v>28.0</v>
      </c>
      <c r="G229" s="1" t="s">
        <v>95</v>
      </c>
      <c r="H229" s="1" t="str">
        <f t="shared" si="1"/>
        <v>Allen</v>
      </c>
      <c r="I229" s="1" t="str">
        <f t="shared" si="2"/>
        <v>Robinson II</v>
      </c>
      <c r="J229" s="1" t="str">
        <f t="shared" si="3"/>
        <v>#N/A</v>
      </c>
      <c r="K229" s="1" t="str">
        <f>IFERROR(VLOOKUP($J229,Players!$D:$E,2,FALSE),VLOOKUP($G229,Players!A:E,5,FALSE))</f>
        <v>#N/A</v>
      </c>
    </row>
    <row r="230" ht="15.75" customHeight="1">
      <c r="A230" s="1">
        <v>2020.0</v>
      </c>
      <c r="B230" s="1" t="s">
        <v>18</v>
      </c>
      <c r="C230" s="1" t="s">
        <v>12</v>
      </c>
      <c r="D230" s="8">
        <v>4.0</v>
      </c>
      <c r="E230" s="8">
        <v>4.0</v>
      </c>
      <c r="F230" s="8">
        <v>45.0</v>
      </c>
      <c r="G230" s="1" t="s">
        <v>263</v>
      </c>
      <c r="H230" s="1" t="str">
        <f t="shared" si="1"/>
        <v>Amari</v>
      </c>
      <c r="I230" s="1" t="str">
        <f t="shared" si="2"/>
        <v>Cooper</v>
      </c>
      <c r="J230" s="1" t="str">
        <f t="shared" si="3"/>
        <v>#N/A</v>
      </c>
      <c r="K230" s="1" t="str">
        <f>IFERROR(VLOOKUP($J230,Players!$D:$E,2,FALSE),VLOOKUP($G230,Players!A:E,5,FALSE))</f>
        <v>WR</v>
      </c>
    </row>
    <row r="231" ht="15.75" customHeight="1">
      <c r="A231" s="1">
        <v>2020.0</v>
      </c>
      <c r="B231" s="1" t="s">
        <v>18</v>
      </c>
      <c r="C231" s="1" t="s">
        <v>12</v>
      </c>
      <c r="D231" s="8">
        <v>4.0</v>
      </c>
      <c r="E231" s="8">
        <v>5.0</v>
      </c>
      <c r="F231" s="8">
        <v>52.0</v>
      </c>
      <c r="G231" s="1" t="s">
        <v>235</v>
      </c>
      <c r="H231" s="1" t="str">
        <f t="shared" si="1"/>
        <v>DJ</v>
      </c>
      <c r="I231" s="1" t="str">
        <f t="shared" si="2"/>
        <v>Chark Jr</v>
      </c>
      <c r="J231" s="1" t="str">
        <f t="shared" si="3"/>
        <v>#N/A</v>
      </c>
      <c r="K231" s="1" t="str">
        <f>IFERROR(VLOOKUP($J231,Players!$D:$E,2,FALSE),VLOOKUP($G231,Players!A:E,5,FALSE))</f>
        <v>#N/A</v>
      </c>
    </row>
    <row r="232" ht="15.75" customHeight="1">
      <c r="A232" s="1">
        <v>2020.0</v>
      </c>
      <c r="B232" s="1" t="s">
        <v>18</v>
      </c>
      <c r="C232" s="1" t="s">
        <v>12</v>
      </c>
      <c r="D232" s="8">
        <v>4.0</v>
      </c>
      <c r="E232" s="8">
        <v>6.0</v>
      </c>
      <c r="F232" s="8">
        <v>69.0</v>
      </c>
      <c r="G232" s="1" t="s">
        <v>402</v>
      </c>
      <c r="H232" s="1" t="str">
        <f t="shared" si="1"/>
        <v>Leonard</v>
      </c>
      <c r="I232" s="1" t="str">
        <f t="shared" si="2"/>
        <v>Fournette</v>
      </c>
      <c r="J232" s="1" t="str">
        <f t="shared" si="3"/>
        <v>#N/A</v>
      </c>
      <c r="K232" s="1" t="str">
        <f>IFERROR(VLOOKUP($J232,Players!$D:$E,2,FALSE),VLOOKUP($G232,Players!A:E,5,FALSE))</f>
        <v>RB</v>
      </c>
    </row>
    <row r="233" ht="15.75" customHeight="1">
      <c r="A233" s="1">
        <v>2020.0</v>
      </c>
      <c r="B233" s="1" t="s">
        <v>18</v>
      </c>
      <c r="C233" s="1" t="s">
        <v>12</v>
      </c>
      <c r="D233" s="8">
        <v>4.0</v>
      </c>
      <c r="E233" s="8">
        <v>7.0</v>
      </c>
      <c r="F233" s="8">
        <v>76.0</v>
      </c>
      <c r="G233" s="1" t="s">
        <v>318</v>
      </c>
      <c r="H233" s="1" t="str">
        <f t="shared" si="1"/>
        <v>Will</v>
      </c>
      <c r="I233" s="1" t="str">
        <f t="shared" si="2"/>
        <v>Fuller V</v>
      </c>
      <c r="J233" s="1" t="str">
        <f t="shared" si="3"/>
        <v>#N/A</v>
      </c>
      <c r="K233" s="1" t="str">
        <f>IFERROR(VLOOKUP($J233,Players!$D:$E,2,FALSE),VLOOKUP($G233,Players!A:E,5,FALSE))</f>
        <v>#N/A</v>
      </c>
    </row>
    <row r="234" ht="15.75" customHeight="1">
      <c r="A234" s="1">
        <v>2020.0</v>
      </c>
      <c r="B234" s="1" t="s">
        <v>18</v>
      </c>
      <c r="C234" s="1" t="s">
        <v>12</v>
      </c>
      <c r="D234" s="8">
        <v>4.0</v>
      </c>
      <c r="E234" s="8">
        <v>8.0</v>
      </c>
      <c r="F234" s="8">
        <v>93.0</v>
      </c>
      <c r="G234" s="1" t="s">
        <v>452</v>
      </c>
      <c r="H234" s="1" t="str">
        <f t="shared" si="1"/>
        <v>James</v>
      </c>
      <c r="I234" s="1" t="str">
        <f t="shared" si="2"/>
        <v>White</v>
      </c>
      <c r="J234" s="1" t="str">
        <f t="shared" si="3"/>
        <v>#N/A</v>
      </c>
      <c r="K234" s="1" t="str">
        <f>IFERROR(VLOOKUP($J234,Players!$D:$E,2,FALSE),VLOOKUP($G234,Players!A:E,5,FALSE))</f>
        <v>RB</v>
      </c>
    </row>
    <row r="235" ht="15.75" customHeight="1">
      <c r="A235" s="1">
        <v>2020.0</v>
      </c>
      <c r="B235" s="1" t="s">
        <v>18</v>
      </c>
      <c r="C235" s="1" t="s">
        <v>12</v>
      </c>
      <c r="D235" s="8">
        <v>4.0</v>
      </c>
      <c r="E235" s="8">
        <v>9.0</v>
      </c>
      <c r="F235" s="8">
        <v>100.0</v>
      </c>
      <c r="G235" s="1" t="s">
        <v>227</v>
      </c>
      <c r="H235" s="1" t="str">
        <f t="shared" si="1"/>
        <v>TJ</v>
      </c>
      <c r="I235" s="1" t="str">
        <f t="shared" si="2"/>
        <v>Hockenson</v>
      </c>
      <c r="J235" s="1" t="str">
        <f t="shared" si="3"/>
        <v>#N/A</v>
      </c>
      <c r="K235" s="1" t="str">
        <f>IFERROR(VLOOKUP($J235,Players!$D:$E,2,FALSE),VLOOKUP($G235,Players!A:E,5,FALSE))</f>
        <v>TE</v>
      </c>
    </row>
    <row r="236" ht="15.75" customHeight="1">
      <c r="A236" s="1">
        <v>2020.0</v>
      </c>
      <c r="B236" s="1" t="s">
        <v>18</v>
      </c>
      <c r="C236" s="1" t="s">
        <v>12</v>
      </c>
      <c r="D236" s="8">
        <v>4.0</v>
      </c>
      <c r="E236" s="8">
        <v>10.0</v>
      </c>
      <c r="F236" s="8">
        <v>117.0</v>
      </c>
      <c r="G236" s="1" t="s">
        <v>118</v>
      </c>
      <c r="H236" s="1" t="str">
        <f t="shared" si="1"/>
        <v>Mike</v>
      </c>
      <c r="I236" s="1" t="str">
        <f t="shared" si="2"/>
        <v>Gesicki</v>
      </c>
      <c r="J236" s="1" t="str">
        <f t="shared" si="3"/>
        <v>#N/A</v>
      </c>
      <c r="K236" s="1" t="str">
        <f>IFERROR(VLOOKUP($J236,Players!$D:$E,2,FALSE),VLOOKUP($G236,Players!A:E,5,FALSE))</f>
        <v>TE</v>
      </c>
    </row>
    <row r="237" ht="15.75" customHeight="1">
      <c r="A237" s="1">
        <v>2020.0</v>
      </c>
      <c r="B237" s="1" t="s">
        <v>18</v>
      </c>
      <c r="C237" s="1" t="s">
        <v>12</v>
      </c>
      <c r="D237" s="8">
        <v>4.0</v>
      </c>
      <c r="E237" s="8">
        <v>11.0</v>
      </c>
      <c r="F237" s="8">
        <v>124.0</v>
      </c>
      <c r="G237" s="1" t="s">
        <v>366</v>
      </c>
      <c r="H237" s="1" t="str">
        <f t="shared" si="1"/>
        <v>Matthew</v>
      </c>
      <c r="I237" s="1" t="str">
        <f t="shared" si="2"/>
        <v>Stafford</v>
      </c>
      <c r="J237" s="1" t="str">
        <f t="shared" si="3"/>
        <v>#N/A</v>
      </c>
      <c r="K237" s="1" t="str">
        <f>IFERROR(VLOOKUP($J237,Players!$D:$E,2,FALSE),VLOOKUP($G237,Players!A:E,5,FALSE))</f>
        <v>QB</v>
      </c>
    </row>
    <row r="238" ht="15.75" customHeight="1">
      <c r="A238" s="1">
        <v>2020.0</v>
      </c>
      <c r="B238" s="1" t="s">
        <v>18</v>
      </c>
      <c r="C238" s="1" t="s">
        <v>12</v>
      </c>
      <c r="D238" s="8">
        <v>4.0</v>
      </c>
      <c r="E238" s="8">
        <v>12.0</v>
      </c>
      <c r="F238" s="8">
        <v>141.0</v>
      </c>
      <c r="G238" s="1" t="s">
        <v>143</v>
      </c>
      <c r="H238" s="1" t="str">
        <f t="shared" si="1"/>
        <v>Chase</v>
      </c>
      <c r="I238" s="1" t="str">
        <f t="shared" si="2"/>
        <v>Edmonds</v>
      </c>
      <c r="J238" s="1" t="str">
        <f t="shared" si="3"/>
        <v>#N/A</v>
      </c>
      <c r="K238" s="1" t="str">
        <f>IFERROR(VLOOKUP($J238,Players!$D:$E,2,FALSE),VLOOKUP($G238,Players!A:E,5,FALSE))</f>
        <v>RB</v>
      </c>
    </row>
    <row r="239" ht="15.75" customHeight="1">
      <c r="A239" s="1">
        <v>2020.0</v>
      </c>
      <c r="B239" s="1" t="s">
        <v>18</v>
      </c>
      <c r="C239" s="1" t="s">
        <v>12</v>
      </c>
      <c r="D239" s="8">
        <v>4.0</v>
      </c>
      <c r="E239" s="8">
        <v>13.0</v>
      </c>
      <c r="F239" s="8">
        <v>148.0</v>
      </c>
      <c r="G239" s="1" t="s">
        <v>104</v>
      </c>
      <c r="H239" s="1" t="str">
        <f t="shared" si="1"/>
        <v>Parris</v>
      </c>
      <c r="I239" s="1" t="str">
        <f t="shared" si="2"/>
        <v>Campbell</v>
      </c>
      <c r="J239" s="1" t="str">
        <f t="shared" si="3"/>
        <v>#N/A</v>
      </c>
      <c r="K239" s="1" t="str">
        <f>IFERROR(VLOOKUP($J239,Players!$D:$E,2,FALSE),VLOOKUP($G239,Players!A:E,5,FALSE))</f>
        <v>WR</v>
      </c>
    </row>
    <row r="240" ht="15.75" customHeight="1">
      <c r="A240" s="1">
        <v>2020.0</v>
      </c>
      <c r="B240" s="1" t="s">
        <v>18</v>
      </c>
      <c r="C240" s="1" t="s">
        <v>12</v>
      </c>
      <c r="D240" s="8">
        <v>4.0</v>
      </c>
      <c r="E240" s="8">
        <v>14.0</v>
      </c>
      <c r="F240" s="8">
        <v>165.0</v>
      </c>
      <c r="G240" s="1" t="s">
        <v>231</v>
      </c>
      <c r="H240" s="1" t="str">
        <f t="shared" si="1"/>
        <v>Los</v>
      </c>
      <c r="I240" s="1" t="str">
        <f t="shared" si="2"/>
        <v>Angeles</v>
      </c>
      <c r="J240" s="1" t="str">
        <f t="shared" si="3"/>
        <v>#N/A</v>
      </c>
      <c r="K240" s="1" t="str">
        <f>IFERROR(VLOOKUP($J240,Players!$D:$E,2,FALSE),VLOOKUP($G240,Players!A:E,5,FALSE))</f>
        <v>DEF</v>
      </c>
    </row>
    <row r="241" ht="15.75" customHeight="1">
      <c r="A241" s="1">
        <v>2020.0</v>
      </c>
      <c r="B241" s="1" t="s">
        <v>18</v>
      </c>
      <c r="C241" s="1" t="s">
        <v>12</v>
      </c>
      <c r="D241" s="8">
        <v>4.0</v>
      </c>
      <c r="E241" s="8">
        <v>15.0</v>
      </c>
      <c r="F241" s="8">
        <v>172.0</v>
      </c>
      <c r="G241" s="1" t="s">
        <v>606</v>
      </c>
      <c r="H241" s="1" t="str">
        <f t="shared" si="1"/>
        <v>Zane</v>
      </c>
      <c r="I241" s="1" t="str">
        <f t="shared" si="2"/>
        <v>Gonzalez</v>
      </c>
      <c r="J241" s="1" t="str">
        <f t="shared" si="3"/>
        <v>#N/A</v>
      </c>
      <c r="K241" s="1" t="str">
        <f>IFERROR(VLOOKUP($J241,Players!$D:$E,2,FALSE),VLOOKUP($G241,Players!A:E,5,FALSE))</f>
        <v>K</v>
      </c>
    </row>
    <row r="242" ht="15.75" customHeight="1">
      <c r="A242" s="1">
        <v>2020.0</v>
      </c>
      <c r="B242" s="1" t="s">
        <v>42</v>
      </c>
      <c r="C242" s="1" t="s">
        <v>15</v>
      </c>
      <c r="D242" s="8">
        <v>1.0</v>
      </c>
      <c r="E242" s="8">
        <v>1.0</v>
      </c>
      <c r="F242" s="8">
        <v>5.0</v>
      </c>
      <c r="G242" s="1" t="s">
        <v>93</v>
      </c>
      <c r="H242" s="1" t="str">
        <f t="shared" si="1"/>
        <v>Dalvin</v>
      </c>
      <c r="I242" s="1" t="str">
        <f t="shared" si="2"/>
        <v>Cook</v>
      </c>
      <c r="J242" s="1" t="str">
        <f t="shared" si="3"/>
        <v>#N/A</v>
      </c>
      <c r="K242" s="1" t="str">
        <f>IFERROR(VLOOKUP($J242,Players!$D:$E,2,FALSE),VLOOKUP($G242,Players!A:E,5,FALSE))</f>
        <v>RB</v>
      </c>
    </row>
    <row r="243" ht="15.75" customHeight="1">
      <c r="A243" s="1">
        <v>2020.0</v>
      </c>
      <c r="B243" s="1" t="s">
        <v>42</v>
      </c>
      <c r="C243" s="1" t="s">
        <v>15</v>
      </c>
      <c r="D243" s="8">
        <v>1.0</v>
      </c>
      <c r="E243" s="8">
        <v>2.0</v>
      </c>
      <c r="F243" s="8">
        <v>20.0</v>
      </c>
      <c r="G243" s="1" t="s">
        <v>167</v>
      </c>
      <c r="H243" s="1" t="str">
        <f t="shared" si="1"/>
        <v>Aaron</v>
      </c>
      <c r="I243" s="1" t="str">
        <f t="shared" si="2"/>
        <v>Jones</v>
      </c>
      <c r="J243" s="1" t="str">
        <f t="shared" si="3"/>
        <v>#N/A</v>
      </c>
      <c r="K243" s="1" t="str">
        <f>IFERROR(VLOOKUP($J243,Players!$D:$E,2,FALSE),VLOOKUP($G243,Players!A:E,5,FALSE))</f>
        <v>RB</v>
      </c>
    </row>
    <row r="244" ht="15.75" customHeight="1">
      <c r="A244" s="1">
        <v>2020.0</v>
      </c>
      <c r="B244" s="1" t="s">
        <v>42</v>
      </c>
      <c r="C244" s="1" t="s">
        <v>15</v>
      </c>
      <c r="D244" s="8">
        <v>1.0</v>
      </c>
      <c r="E244" s="8">
        <v>3.0</v>
      </c>
      <c r="F244" s="8">
        <v>29.0</v>
      </c>
      <c r="G244" s="1" t="s">
        <v>225</v>
      </c>
      <c r="H244" s="1" t="str">
        <f t="shared" si="1"/>
        <v>Lamar</v>
      </c>
      <c r="I244" s="1" t="str">
        <f t="shared" si="2"/>
        <v>Jackson</v>
      </c>
      <c r="J244" s="1" t="str">
        <f t="shared" si="3"/>
        <v>#N/A</v>
      </c>
      <c r="K244" s="1" t="str">
        <f>IFERROR(VLOOKUP($J244,Players!$D:$E,2,FALSE),VLOOKUP($G244,Players!A:E,5,FALSE))</f>
        <v>QB</v>
      </c>
    </row>
    <row r="245" ht="15.75" customHeight="1">
      <c r="A245" s="1">
        <v>2020.0</v>
      </c>
      <c r="B245" s="1" t="s">
        <v>42</v>
      </c>
      <c r="C245" s="1" t="s">
        <v>15</v>
      </c>
      <c r="D245" s="8">
        <v>1.0</v>
      </c>
      <c r="E245" s="8">
        <v>4.0</v>
      </c>
      <c r="F245" s="8">
        <v>44.0</v>
      </c>
      <c r="G245" s="1" t="s">
        <v>216</v>
      </c>
      <c r="H245" s="1" t="str">
        <f t="shared" si="1"/>
        <v>DK</v>
      </c>
      <c r="I245" s="1" t="str">
        <f t="shared" si="2"/>
        <v>Metcalf</v>
      </c>
      <c r="J245" s="1" t="str">
        <f t="shared" si="3"/>
        <v>#N/A</v>
      </c>
      <c r="K245" s="1" t="str">
        <f>IFERROR(VLOOKUP($J245,Players!$D:$E,2,FALSE),VLOOKUP($G245,Players!A:E,5,FALSE))</f>
        <v>#N/A</v>
      </c>
    </row>
    <row r="246" ht="15.75" customHeight="1">
      <c r="A246" s="1">
        <v>2020.0</v>
      </c>
      <c r="B246" s="1" t="s">
        <v>42</v>
      </c>
      <c r="C246" s="1" t="s">
        <v>15</v>
      </c>
      <c r="D246" s="8">
        <v>1.0</v>
      </c>
      <c r="E246" s="8">
        <v>5.0</v>
      </c>
      <c r="F246" s="8">
        <v>53.0</v>
      </c>
      <c r="G246" s="1" t="s">
        <v>422</v>
      </c>
      <c r="H246" s="1" t="str">
        <f t="shared" si="1"/>
        <v>Stefon</v>
      </c>
      <c r="I246" s="1" t="str">
        <f t="shared" si="2"/>
        <v>Diggs</v>
      </c>
      <c r="J246" s="1" t="str">
        <f t="shared" si="3"/>
        <v>#N/A</v>
      </c>
      <c r="K246" s="1" t="str">
        <f>IFERROR(VLOOKUP($J246,Players!$D:$E,2,FALSE),VLOOKUP($G246,Players!A:E,5,FALSE))</f>
        <v>WR</v>
      </c>
    </row>
    <row r="247" ht="15.75" customHeight="1">
      <c r="A247" s="1">
        <v>2020.0</v>
      </c>
      <c r="B247" s="1" t="s">
        <v>42</v>
      </c>
      <c r="C247" s="1" t="s">
        <v>15</v>
      </c>
      <c r="D247" s="8">
        <v>1.0</v>
      </c>
      <c r="E247" s="8">
        <v>6.0</v>
      </c>
      <c r="F247" s="8">
        <v>68.0</v>
      </c>
      <c r="G247" s="1" t="s">
        <v>119</v>
      </c>
      <c r="H247" s="1" t="str">
        <f t="shared" si="1"/>
        <v>Marquise</v>
      </c>
      <c r="I247" s="1" t="str">
        <f t="shared" si="2"/>
        <v>Brown</v>
      </c>
      <c r="J247" s="1" t="str">
        <f t="shared" si="3"/>
        <v>#N/A</v>
      </c>
      <c r="K247" s="1" t="str">
        <f>IFERROR(VLOOKUP($J247,Players!$D:$E,2,FALSE),VLOOKUP($G247,Players!A:E,5,FALSE))</f>
        <v>WR</v>
      </c>
    </row>
    <row r="248" ht="15.75" customHeight="1">
      <c r="A248" s="1">
        <v>2020.0</v>
      </c>
      <c r="B248" s="1" t="s">
        <v>42</v>
      </c>
      <c r="C248" s="1" t="s">
        <v>15</v>
      </c>
      <c r="D248" s="8">
        <v>1.0</v>
      </c>
      <c r="E248" s="8">
        <v>7.0</v>
      </c>
      <c r="F248" s="8">
        <v>77.0</v>
      </c>
      <c r="G248" s="1" t="s">
        <v>618</v>
      </c>
      <c r="H248" s="1" t="str">
        <f t="shared" si="1"/>
        <v>Julian</v>
      </c>
      <c r="I248" s="1" t="str">
        <f t="shared" si="2"/>
        <v>Edelman</v>
      </c>
      <c r="J248" s="1" t="str">
        <f t="shared" si="3"/>
        <v>#N/A</v>
      </c>
      <c r="K248" s="1" t="str">
        <f>IFERROR(VLOOKUP($J248,Players!$D:$E,2,FALSE),VLOOKUP($G248,Players!A:E,5,FALSE))</f>
        <v>WR</v>
      </c>
    </row>
    <row r="249" ht="15.75" customHeight="1">
      <c r="A249" s="1">
        <v>2020.0</v>
      </c>
      <c r="B249" s="1" t="s">
        <v>42</v>
      </c>
      <c r="C249" s="1" t="s">
        <v>15</v>
      </c>
      <c r="D249" s="8">
        <v>1.0</v>
      </c>
      <c r="E249" s="8">
        <v>8.0</v>
      </c>
      <c r="F249" s="8">
        <v>92.0</v>
      </c>
      <c r="G249" s="1" t="s">
        <v>620</v>
      </c>
      <c r="H249" s="1" t="str">
        <f t="shared" si="1"/>
        <v>Phillip</v>
      </c>
      <c r="I249" s="1" t="str">
        <f t="shared" si="2"/>
        <v>Lindsay</v>
      </c>
      <c r="J249" s="1" t="str">
        <f t="shared" si="3"/>
        <v>#N/A</v>
      </c>
      <c r="K249" s="1" t="str">
        <f>IFERROR(VLOOKUP($J249,Players!$D:$E,2,FALSE),VLOOKUP($G249,Players!A:E,5,FALSE))</f>
        <v>RB</v>
      </c>
    </row>
    <row r="250" ht="15.75" customHeight="1">
      <c r="A250" s="1">
        <v>2020.0</v>
      </c>
      <c r="B250" s="1" t="s">
        <v>42</v>
      </c>
      <c r="C250" s="1" t="s">
        <v>15</v>
      </c>
      <c r="D250" s="8">
        <v>1.0</v>
      </c>
      <c r="E250" s="8">
        <v>9.0</v>
      </c>
      <c r="F250" s="8">
        <v>101.0</v>
      </c>
      <c r="G250" s="1" t="s">
        <v>449</v>
      </c>
      <c r="H250" s="1" t="str">
        <f t="shared" si="1"/>
        <v>Henry</v>
      </c>
      <c r="I250" s="1" t="str">
        <f t="shared" si="2"/>
        <v>Ruggs III</v>
      </c>
      <c r="J250" s="1" t="str">
        <f t="shared" si="3"/>
        <v>#N/A</v>
      </c>
      <c r="K250" s="1" t="str">
        <f>IFERROR(VLOOKUP($J250,Players!$D:$E,2,FALSE),VLOOKUP($G250,Players!A:E,5,FALSE))</f>
        <v>#N/A</v>
      </c>
    </row>
    <row r="251" ht="15.75" customHeight="1">
      <c r="A251" s="1">
        <v>2020.0</v>
      </c>
      <c r="B251" s="1" t="s">
        <v>42</v>
      </c>
      <c r="C251" s="1" t="s">
        <v>15</v>
      </c>
      <c r="D251" s="8">
        <v>1.0</v>
      </c>
      <c r="E251" s="8">
        <v>10.0</v>
      </c>
      <c r="F251" s="8">
        <v>116.0</v>
      </c>
      <c r="G251" s="1" t="s">
        <v>625</v>
      </c>
      <c r="H251" s="1" t="str">
        <f t="shared" si="1"/>
        <v>Marlon</v>
      </c>
      <c r="I251" s="1" t="str">
        <f t="shared" si="2"/>
        <v>Mack</v>
      </c>
      <c r="J251" s="1" t="str">
        <f t="shared" si="3"/>
        <v>#N/A</v>
      </c>
      <c r="K251" s="1" t="str">
        <f>IFERROR(VLOOKUP($J251,Players!$D:$E,2,FALSE),VLOOKUP($G251,Players!A:E,5,FALSE))</f>
        <v>RB</v>
      </c>
    </row>
    <row r="252" ht="15.75" customHeight="1">
      <c r="A252" s="1">
        <v>2020.0</v>
      </c>
      <c r="B252" s="1" t="s">
        <v>42</v>
      </c>
      <c r="C252" s="1" t="s">
        <v>15</v>
      </c>
      <c r="D252" s="8">
        <v>1.0</v>
      </c>
      <c r="E252" s="8">
        <v>11.0</v>
      </c>
      <c r="F252" s="8">
        <v>125.0</v>
      </c>
      <c r="G252" s="1" t="s">
        <v>315</v>
      </c>
      <c r="H252" s="1" t="str">
        <f t="shared" si="1"/>
        <v>Noah</v>
      </c>
      <c r="I252" s="1" t="str">
        <f t="shared" si="2"/>
        <v>Fant</v>
      </c>
      <c r="J252" s="1" t="str">
        <f t="shared" si="3"/>
        <v>#N/A</v>
      </c>
      <c r="K252" s="1" t="str">
        <f>IFERROR(VLOOKUP($J252,Players!$D:$E,2,FALSE),VLOOKUP($G252,Players!A:E,5,FALSE))</f>
        <v>TE</v>
      </c>
    </row>
    <row r="253" ht="15.75" customHeight="1">
      <c r="A253" s="1">
        <v>2020.0</v>
      </c>
      <c r="B253" s="1" t="s">
        <v>42</v>
      </c>
      <c r="C253" s="1" t="s">
        <v>15</v>
      </c>
      <c r="D253" s="8">
        <v>1.0</v>
      </c>
      <c r="E253" s="8">
        <v>12.0</v>
      </c>
      <c r="F253" s="8">
        <v>140.0</v>
      </c>
      <c r="G253" s="1" t="s">
        <v>331</v>
      </c>
      <c r="H253" s="1" t="str">
        <f t="shared" si="1"/>
        <v>Kansas</v>
      </c>
      <c r="I253" s="1" t="str">
        <f t="shared" si="2"/>
        <v>City</v>
      </c>
      <c r="J253" s="1" t="str">
        <f t="shared" si="3"/>
        <v>#N/A</v>
      </c>
      <c r="K253" s="1" t="str">
        <f>IFERROR(VLOOKUP($J253,Players!$D:$E,2,FALSE),VLOOKUP($G253,Players!A:E,5,FALSE))</f>
        <v>DEF</v>
      </c>
    </row>
    <row r="254" ht="15.75" customHeight="1">
      <c r="A254" s="1">
        <v>2020.0</v>
      </c>
      <c r="B254" s="1" t="s">
        <v>42</v>
      </c>
      <c r="C254" s="1" t="s">
        <v>15</v>
      </c>
      <c r="D254" s="8">
        <v>1.0</v>
      </c>
      <c r="E254" s="8">
        <v>13.0</v>
      </c>
      <c r="F254" s="8">
        <v>149.0</v>
      </c>
      <c r="G254" s="1" t="s">
        <v>631</v>
      </c>
      <c r="H254" s="1" t="str">
        <f t="shared" si="1"/>
        <v>Rodrigo</v>
      </c>
      <c r="I254" s="1" t="str">
        <f t="shared" si="2"/>
        <v>Blankenship</v>
      </c>
      <c r="J254" s="1" t="str">
        <f t="shared" si="3"/>
        <v>#N/A</v>
      </c>
      <c r="K254" s="1" t="str">
        <f>IFERROR(VLOOKUP($J254,Players!$D:$E,2,FALSE),VLOOKUP($G254,Players!A:E,5,FALSE))</f>
        <v>K</v>
      </c>
    </row>
    <row r="255" ht="15.75" customHeight="1">
      <c r="A255" s="1">
        <v>2020.0</v>
      </c>
      <c r="B255" s="1" t="s">
        <v>42</v>
      </c>
      <c r="C255" s="1" t="s">
        <v>15</v>
      </c>
      <c r="D255" s="8">
        <v>1.0</v>
      </c>
      <c r="E255" s="8">
        <v>14.0</v>
      </c>
      <c r="F255" s="8">
        <v>164.0</v>
      </c>
      <c r="G255" s="1" t="s">
        <v>400</v>
      </c>
      <c r="H255" s="1" t="str">
        <f t="shared" si="1"/>
        <v>Michael</v>
      </c>
      <c r="I255" s="1" t="str">
        <f t="shared" si="2"/>
        <v>Pittman Jr</v>
      </c>
      <c r="J255" s="1" t="str">
        <f t="shared" si="3"/>
        <v>#N/A</v>
      </c>
      <c r="K255" s="1" t="str">
        <f>IFERROR(VLOOKUP($J255,Players!$D:$E,2,FALSE),VLOOKUP($G255,Players!A:E,5,FALSE))</f>
        <v>#N/A</v>
      </c>
    </row>
    <row r="256" ht="15.75" customHeight="1">
      <c r="A256" s="1">
        <v>2020.0</v>
      </c>
      <c r="B256" s="1" t="s">
        <v>42</v>
      </c>
      <c r="C256" s="1" t="s">
        <v>15</v>
      </c>
      <c r="D256" s="8">
        <v>1.0</v>
      </c>
      <c r="E256" s="8">
        <v>15.0</v>
      </c>
      <c r="F256" s="8">
        <v>173.0</v>
      </c>
      <c r="G256" s="1" t="s">
        <v>635</v>
      </c>
      <c r="H256" s="1" t="str">
        <f t="shared" si="1"/>
        <v>Jared</v>
      </c>
      <c r="I256" s="1" t="str">
        <f t="shared" si="2"/>
        <v>Goff</v>
      </c>
      <c r="J256" s="1" t="str">
        <f t="shared" si="3"/>
        <v>#N/A</v>
      </c>
      <c r="K256" s="1" t="str">
        <f>IFERROR(VLOOKUP($J256,Players!$D:$E,2,FALSE),VLOOKUP($G256,Players!A:E,5,FALSE))</f>
        <v>#N/A</v>
      </c>
    </row>
    <row r="257" ht="15.75" customHeight="1">
      <c r="A257" s="1">
        <v>2020.0</v>
      </c>
      <c r="B257" s="1" t="s">
        <v>46</v>
      </c>
      <c r="C257" s="1" t="s">
        <v>13</v>
      </c>
      <c r="D257" s="8">
        <v>6.0</v>
      </c>
      <c r="E257" s="8">
        <v>1.0</v>
      </c>
      <c r="F257" s="8">
        <v>6.0</v>
      </c>
      <c r="G257" s="1" t="s">
        <v>108</v>
      </c>
      <c r="H257" s="1" t="str">
        <f t="shared" si="1"/>
        <v>Alvin</v>
      </c>
      <c r="I257" s="1" t="str">
        <f t="shared" si="2"/>
        <v>Kamara</v>
      </c>
      <c r="J257" s="1" t="str">
        <f t="shared" si="3"/>
        <v>#N/A</v>
      </c>
      <c r="K257" s="1" t="str">
        <f>IFERROR(VLOOKUP($J257,Players!$D:$E,2,FALSE),VLOOKUP($G257,Players!A:E,5,FALSE))</f>
        <v>RB</v>
      </c>
    </row>
    <row r="258" ht="15.75" customHeight="1">
      <c r="A258" s="1">
        <v>2020.0</v>
      </c>
      <c r="B258" s="1" t="s">
        <v>46</v>
      </c>
      <c r="C258" s="1" t="s">
        <v>13</v>
      </c>
      <c r="D258" s="8">
        <v>6.0</v>
      </c>
      <c r="E258" s="8">
        <v>2.0</v>
      </c>
      <c r="F258" s="8">
        <v>19.0</v>
      </c>
      <c r="G258" s="1" t="s">
        <v>298</v>
      </c>
      <c r="H258" s="1" t="str">
        <f t="shared" si="1"/>
        <v>DeAndre</v>
      </c>
      <c r="I258" s="1" t="str">
        <f t="shared" si="2"/>
        <v>Hopkins</v>
      </c>
      <c r="J258" s="1" t="str">
        <f t="shared" si="3"/>
        <v>#N/A</v>
      </c>
      <c r="K258" s="1" t="str">
        <f>IFERROR(VLOOKUP($J258,Players!$D:$E,2,FALSE),VLOOKUP($G258,Players!A:E,5,FALSE))</f>
        <v>WR</v>
      </c>
    </row>
    <row r="259" ht="15.75" customHeight="1">
      <c r="A259" s="1">
        <v>2020.0</v>
      </c>
      <c r="B259" s="1" t="s">
        <v>46</v>
      </c>
      <c r="C259" s="1" t="s">
        <v>13</v>
      </c>
      <c r="D259" s="8">
        <v>6.0</v>
      </c>
      <c r="E259" s="8">
        <v>3.0</v>
      </c>
      <c r="F259" s="8">
        <v>30.0</v>
      </c>
      <c r="G259" s="1" t="s">
        <v>133</v>
      </c>
      <c r="H259" s="1" t="str">
        <f t="shared" si="1"/>
        <v>David</v>
      </c>
      <c r="I259" s="1" t="str">
        <f t="shared" si="2"/>
        <v>Johnson</v>
      </c>
      <c r="J259" s="1" t="str">
        <f t="shared" si="3"/>
        <v>#N/A</v>
      </c>
      <c r="K259" s="1" t="str">
        <f>IFERROR(VLOOKUP($J259,Players!$D:$E,2,FALSE),VLOOKUP($G259,Players!A:E,5,FALSE))</f>
        <v>RB</v>
      </c>
    </row>
    <row r="260" ht="15.75" customHeight="1">
      <c r="A260" s="1">
        <v>2020.0</v>
      </c>
      <c r="B260" s="1" t="s">
        <v>46</v>
      </c>
      <c r="C260" s="1" t="s">
        <v>13</v>
      </c>
      <c r="D260" s="8">
        <v>6.0</v>
      </c>
      <c r="E260" s="8">
        <v>4.0</v>
      </c>
      <c r="F260" s="8">
        <v>43.0</v>
      </c>
      <c r="G260" s="1" t="s">
        <v>142</v>
      </c>
      <c r="H260" s="1" t="str">
        <f t="shared" si="1"/>
        <v>Tyler</v>
      </c>
      <c r="I260" s="1" t="str">
        <f t="shared" si="2"/>
        <v>Lockett</v>
      </c>
      <c r="J260" s="1" t="str">
        <f t="shared" si="3"/>
        <v>#N/A</v>
      </c>
      <c r="K260" s="1" t="str">
        <f>IFERROR(VLOOKUP($J260,Players!$D:$E,2,FALSE),VLOOKUP($G260,Players!A:E,5,FALSE))</f>
        <v>WR</v>
      </c>
    </row>
    <row r="261" ht="15.75" customHeight="1">
      <c r="A261" s="1">
        <v>2020.0</v>
      </c>
      <c r="B261" s="1" t="s">
        <v>46</v>
      </c>
      <c r="C261" s="1" t="s">
        <v>13</v>
      </c>
      <c r="D261" s="8">
        <v>6.0</v>
      </c>
      <c r="E261" s="8">
        <v>5.0</v>
      </c>
      <c r="F261" s="8">
        <v>54.0</v>
      </c>
      <c r="G261" s="1" t="s">
        <v>144</v>
      </c>
      <c r="H261" s="1" t="str">
        <f t="shared" si="1"/>
        <v>Russell</v>
      </c>
      <c r="I261" s="1" t="str">
        <f t="shared" si="2"/>
        <v>Wilson</v>
      </c>
      <c r="J261" s="1" t="str">
        <f t="shared" si="3"/>
        <v>#N/A</v>
      </c>
      <c r="K261" s="1" t="str">
        <f>IFERROR(VLOOKUP($J261,Players!$D:$E,2,FALSE),VLOOKUP($G261,Players!A:E,5,FALSE))</f>
        <v>QB</v>
      </c>
    </row>
    <row r="262" ht="15.75" customHeight="1">
      <c r="A262" s="1">
        <v>2020.0</v>
      </c>
      <c r="B262" s="1" t="s">
        <v>46</v>
      </c>
      <c r="C262" s="1" t="s">
        <v>13</v>
      </c>
      <c r="D262" s="8">
        <v>6.0</v>
      </c>
      <c r="E262" s="8">
        <v>6.0</v>
      </c>
      <c r="F262" s="8">
        <v>67.0</v>
      </c>
      <c r="G262" s="1" t="s">
        <v>150</v>
      </c>
      <c r="H262" s="1" t="str">
        <f t="shared" si="1"/>
        <v>Michael</v>
      </c>
      <c r="I262" s="1" t="str">
        <f t="shared" si="2"/>
        <v>Gallup</v>
      </c>
      <c r="J262" s="1" t="str">
        <f t="shared" si="3"/>
        <v>#N/A</v>
      </c>
      <c r="K262" s="1" t="str">
        <f>IFERROR(VLOOKUP($J262,Players!$D:$E,2,FALSE),VLOOKUP($G262,Players!A:E,5,FALSE))</f>
        <v>WR</v>
      </c>
    </row>
    <row r="263" ht="15.75" customHeight="1">
      <c r="A263" s="1">
        <v>2020.0</v>
      </c>
      <c r="B263" s="1" t="s">
        <v>46</v>
      </c>
      <c r="C263" s="1" t="s">
        <v>13</v>
      </c>
      <c r="D263" s="8">
        <v>6.0</v>
      </c>
      <c r="E263" s="8">
        <v>7.0</v>
      </c>
      <c r="F263" s="8">
        <v>78.0</v>
      </c>
      <c r="G263" s="1" t="s">
        <v>654</v>
      </c>
      <c r="H263" s="1" t="str">
        <f t="shared" si="1"/>
        <v>Rob</v>
      </c>
      <c r="I263" s="1" t="str">
        <f t="shared" si="2"/>
        <v>Gronkowski</v>
      </c>
      <c r="J263" s="1" t="str">
        <f t="shared" si="3"/>
        <v>#N/A</v>
      </c>
      <c r="K263" s="1" t="str">
        <f>IFERROR(VLOOKUP($J263,Players!$D:$E,2,FALSE),VLOOKUP($G263,Players!A:E,5,FALSE))</f>
        <v>TE</v>
      </c>
    </row>
    <row r="264" ht="15.75" customHeight="1">
      <c r="A264" s="1">
        <v>2020.0</v>
      </c>
      <c r="B264" s="1" t="s">
        <v>46</v>
      </c>
      <c r="C264" s="1" t="s">
        <v>13</v>
      </c>
      <c r="D264" s="8">
        <v>6.0</v>
      </c>
      <c r="E264" s="8">
        <v>8.0</v>
      </c>
      <c r="F264" s="8">
        <v>91.0</v>
      </c>
      <c r="G264" s="1" t="s">
        <v>146</v>
      </c>
      <c r="H264" s="1" t="str">
        <f t="shared" si="1"/>
        <v>Sony</v>
      </c>
      <c r="I264" s="1" t="str">
        <f t="shared" si="2"/>
        <v>Michel</v>
      </c>
      <c r="J264" s="1" t="str">
        <f t="shared" si="3"/>
        <v>#N/A</v>
      </c>
      <c r="K264" s="1" t="str">
        <f>IFERROR(VLOOKUP($J264,Players!$D:$E,2,FALSE),VLOOKUP($G264,Players!A:E,5,FALSE))</f>
        <v>RB</v>
      </c>
    </row>
    <row r="265" ht="15.75" customHeight="1">
      <c r="A265" s="1">
        <v>2020.0</v>
      </c>
      <c r="B265" s="1" t="s">
        <v>46</v>
      </c>
      <c r="C265" s="1" t="s">
        <v>13</v>
      </c>
      <c r="D265" s="8">
        <v>6.0</v>
      </c>
      <c r="E265" s="8">
        <v>9.0</v>
      </c>
      <c r="F265" s="8">
        <v>102.0</v>
      </c>
      <c r="G265" s="1" t="s">
        <v>301</v>
      </c>
      <c r="H265" s="1" t="str">
        <f t="shared" si="1"/>
        <v>CeeDee</v>
      </c>
      <c r="I265" s="1" t="str">
        <f t="shared" si="2"/>
        <v>Lamb</v>
      </c>
      <c r="J265" s="1" t="str">
        <f t="shared" si="3"/>
        <v>#N/A</v>
      </c>
      <c r="K265" s="1" t="str">
        <f>IFERROR(VLOOKUP($J265,Players!$D:$E,2,FALSE),VLOOKUP($G265,Players!A:E,5,FALSE))</f>
        <v>WR</v>
      </c>
    </row>
    <row r="266" ht="15.75" customHeight="1">
      <c r="A266" s="1">
        <v>2020.0</v>
      </c>
      <c r="B266" s="1" t="s">
        <v>46</v>
      </c>
      <c r="C266" s="1" t="s">
        <v>13</v>
      </c>
      <c r="D266" s="8">
        <v>6.0</v>
      </c>
      <c r="E266" s="8">
        <v>10.0</v>
      </c>
      <c r="F266" s="8">
        <v>115.0</v>
      </c>
      <c r="G266" s="1" t="s">
        <v>662</v>
      </c>
      <c r="H266" s="1" t="str">
        <f t="shared" si="1"/>
        <v>New</v>
      </c>
      <c r="I266" s="1" t="str">
        <f t="shared" si="2"/>
        <v>Orleans</v>
      </c>
      <c r="J266" s="1" t="str">
        <f t="shared" si="3"/>
        <v>#N/A</v>
      </c>
      <c r="K266" s="1" t="str">
        <f>IFERROR(VLOOKUP($J266,Players!$D:$E,2,FALSE),VLOOKUP($G266,Players!A:E,5,FALSE))</f>
        <v>DEF</v>
      </c>
    </row>
    <row r="267" ht="15.75" customHeight="1">
      <c r="A267" s="1">
        <v>2020.0</v>
      </c>
      <c r="B267" s="1" t="s">
        <v>46</v>
      </c>
      <c r="C267" s="1" t="s">
        <v>13</v>
      </c>
      <c r="D267" s="8">
        <v>6.0</v>
      </c>
      <c r="E267" s="8">
        <v>11.0</v>
      </c>
      <c r="F267" s="8">
        <v>126.0</v>
      </c>
      <c r="G267" s="1" t="s">
        <v>665</v>
      </c>
      <c r="H267" s="1" t="str">
        <f t="shared" si="1"/>
        <v>Wil</v>
      </c>
      <c r="I267" s="1" t="str">
        <f t="shared" si="2"/>
        <v>Lutz</v>
      </c>
      <c r="J267" s="1" t="str">
        <f t="shared" si="3"/>
        <v>#N/A</v>
      </c>
      <c r="K267" s="1" t="str">
        <f>IFERROR(VLOOKUP($J267,Players!$D:$E,2,FALSE),VLOOKUP($G267,Players!A:E,5,FALSE))</f>
        <v>K</v>
      </c>
    </row>
    <row r="268" ht="15.75" customHeight="1">
      <c r="A268" s="1">
        <v>2020.0</v>
      </c>
      <c r="B268" s="1" t="s">
        <v>46</v>
      </c>
      <c r="C268" s="1" t="s">
        <v>13</v>
      </c>
      <c r="D268" s="8">
        <v>6.0</v>
      </c>
      <c r="E268" s="8">
        <v>12.0</v>
      </c>
      <c r="F268" s="8">
        <v>139.0</v>
      </c>
      <c r="G268" s="1" t="s">
        <v>84</v>
      </c>
      <c r="H268" s="1" t="str">
        <f t="shared" si="1"/>
        <v>Jerry</v>
      </c>
      <c r="I268" s="1" t="str">
        <f t="shared" si="2"/>
        <v>Jeudy</v>
      </c>
      <c r="J268" s="1" t="str">
        <f t="shared" si="3"/>
        <v>#N/A</v>
      </c>
      <c r="K268" s="1" t="str">
        <f>IFERROR(VLOOKUP($J268,Players!$D:$E,2,FALSE),VLOOKUP($G268,Players!A:E,5,FALSE))</f>
        <v>WR</v>
      </c>
    </row>
    <row r="269" ht="15.75" customHeight="1">
      <c r="A269" s="1">
        <v>2020.0</v>
      </c>
      <c r="B269" s="1" t="s">
        <v>46</v>
      </c>
      <c r="C269" s="1" t="s">
        <v>13</v>
      </c>
      <c r="D269" s="8">
        <v>6.0</v>
      </c>
      <c r="E269" s="8">
        <v>13.0</v>
      </c>
      <c r="F269" s="8">
        <v>150.0</v>
      </c>
      <c r="G269" s="1" t="s">
        <v>670</v>
      </c>
      <c r="H269" s="1" t="str">
        <f t="shared" si="1"/>
        <v>Chris</v>
      </c>
      <c r="I269" s="1" t="str">
        <f t="shared" si="2"/>
        <v>Thompson</v>
      </c>
      <c r="J269" s="1" t="str">
        <f t="shared" si="3"/>
        <v>#N/A</v>
      </c>
      <c r="K269" s="1" t="str">
        <f>IFERROR(VLOOKUP($J269,Players!$D:$E,2,FALSE),VLOOKUP($G269,Players!A:E,5,FALSE))</f>
        <v>WR</v>
      </c>
    </row>
    <row r="270" ht="15.75" customHeight="1">
      <c r="A270" s="1">
        <v>2020.0</v>
      </c>
      <c r="B270" s="1" t="s">
        <v>46</v>
      </c>
      <c r="C270" s="1" t="s">
        <v>13</v>
      </c>
      <c r="D270" s="8">
        <v>6.0</v>
      </c>
      <c r="E270" s="8">
        <v>14.0</v>
      </c>
      <c r="F270" s="8">
        <v>163.0</v>
      </c>
      <c r="G270" s="1" t="s">
        <v>260</v>
      </c>
      <c r="H270" s="1" t="str">
        <f t="shared" si="1"/>
        <v>Alshon</v>
      </c>
      <c r="I270" s="1" t="str">
        <f t="shared" si="2"/>
        <v>Jeffery</v>
      </c>
      <c r="J270" s="1" t="str">
        <f t="shared" si="3"/>
        <v>#N/A</v>
      </c>
      <c r="K270" s="1" t="str">
        <f>IFERROR(VLOOKUP($J270,Players!$D:$E,2,FALSE),VLOOKUP($G270,Players!A:E,5,FALSE))</f>
        <v>WR</v>
      </c>
    </row>
    <row r="271" ht="15.75" customHeight="1">
      <c r="A271" s="1">
        <v>2020.0</v>
      </c>
      <c r="B271" s="1" t="s">
        <v>46</v>
      </c>
      <c r="C271" s="1" t="s">
        <v>13</v>
      </c>
      <c r="D271" s="8">
        <v>6.0</v>
      </c>
      <c r="E271" s="8">
        <v>15.0</v>
      </c>
      <c r="F271" s="8">
        <v>174.0</v>
      </c>
      <c r="G271" s="1" t="s">
        <v>134</v>
      </c>
      <c r="H271" s="1" t="str">
        <f t="shared" si="1"/>
        <v>Jonnu</v>
      </c>
      <c r="I271" s="1" t="str">
        <f t="shared" si="2"/>
        <v>Smith</v>
      </c>
      <c r="J271" s="1" t="str">
        <f t="shared" si="3"/>
        <v>#N/A</v>
      </c>
      <c r="K271" s="1" t="str">
        <f>IFERROR(VLOOKUP($J271,Players!$D:$E,2,FALSE),VLOOKUP($G271,Players!A:E,5,FALSE))</f>
        <v>TE</v>
      </c>
    </row>
    <row r="272" ht="15.75" customHeight="1">
      <c r="A272" s="1">
        <v>2020.0</v>
      </c>
      <c r="B272" s="1" t="s">
        <v>48</v>
      </c>
      <c r="C272" s="1" t="s">
        <v>19</v>
      </c>
      <c r="D272" s="8">
        <v>10.0</v>
      </c>
      <c r="E272" s="8">
        <v>1.0</v>
      </c>
      <c r="F272" s="8">
        <v>7.0</v>
      </c>
      <c r="G272" s="1" t="s">
        <v>79</v>
      </c>
      <c r="H272" s="1" t="str">
        <f t="shared" si="1"/>
        <v>Clyde</v>
      </c>
      <c r="I272" s="1" t="str">
        <f t="shared" si="2"/>
        <v>Edwards-Helaire</v>
      </c>
      <c r="J272" s="1" t="str">
        <f t="shared" si="3"/>
        <v>#N/A</v>
      </c>
      <c r="K272" s="1" t="str">
        <f>IFERROR(VLOOKUP($J272,Players!$D:$E,2,FALSE),VLOOKUP($G272,Players!A:E,5,FALSE))</f>
        <v>RB</v>
      </c>
    </row>
    <row r="273" ht="15.75" customHeight="1">
      <c r="A273" s="1">
        <v>2020.0</v>
      </c>
      <c r="B273" s="1" t="s">
        <v>48</v>
      </c>
      <c r="C273" s="1" t="s">
        <v>19</v>
      </c>
      <c r="D273" s="8">
        <v>10.0</v>
      </c>
      <c r="E273" s="8">
        <v>2.0</v>
      </c>
      <c r="F273" s="8">
        <v>18.0</v>
      </c>
      <c r="G273" s="1" t="s">
        <v>362</v>
      </c>
      <c r="H273" s="1" t="str">
        <f t="shared" si="1"/>
        <v>Kenyan</v>
      </c>
      <c r="I273" s="1" t="str">
        <f t="shared" si="2"/>
        <v>Drake</v>
      </c>
      <c r="J273" s="1" t="str">
        <f t="shared" si="3"/>
        <v>#N/A</v>
      </c>
      <c r="K273" s="1" t="str">
        <f>IFERROR(VLOOKUP($J273,Players!$D:$E,2,FALSE),VLOOKUP($G273,Players!A:E,5,FALSE))</f>
        <v>RB</v>
      </c>
    </row>
    <row r="274" ht="15.75" customHeight="1">
      <c r="A274" s="1">
        <v>2020.0</v>
      </c>
      <c r="B274" s="1" t="s">
        <v>48</v>
      </c>
      <c r="C274" s="1" t="s">
        <v>19</v>
      </c>
      <c r="D274" s="8">
        <v>10.0</v>
      </c>
      <c r="E274" s="8">
        <v>3.0</v>
      </c>
      <c r="F274" s="8">
        <v>31.0</v>
      </c>
      <c r="G274" s="1" t="s">
        <v>130</v>
      </c>
      <c r="H274" s="1" t="str">
        <f t="shared" si="1"/>
        <v>Kenny</v>
      </c>
      <c r="I274" s="1" t="str">
        <f t="shared" si="2"/>
        <v>Golladay</v>
      </c>
      <c r="J274" s="1" t="str">
        <f t="shared" si="3"/>
        <v>#N/A</v>
      </c>
      <c r="K274" s="1" t="str">
        <f>IFERROR(VLOOKUP($J274,Players!$D:$E,2,FALSE),VLOOKUP($G274,Players!A:E,5,FALSE))</f>
        <v>WR</v>
      </c>
    </row>
    <row r="275" ht="15.75" customHeight="1">
      <c r="A275" s="1">
        <v>2020.0</v>
      </c>
      <c r="B275" s="1" t="s">
        <v>48</v>
      </c>
      <c r="C275" s="1" t="s">
        <v>19</v>
      </c>
      <c r="D275" s="8">
        <v>10.0</v>
      </c>
      <c r="E275" s="8">
        <v>4.0</v>
      </c>
      <c r="F275" s="8">
        <v>42.0</v>
      </c>
      <c r="G275" s="1" t="s">
        <v>111</v>
      </c>
      <c r="H275" s="1" t="str">
        <f t="shared" si="1"/>
        <v>DJ</v>
      </c>
      <c r="I275" s="1" t="str">
        <f t="shared" si="2"/>
        <v>Moore</v>
      </c>
      <c r="J275" s="1" t="str">
        <f t="shared" si="3"/>
        <v>#N/A</v>
      </c>
      <c r="K275" s="1" t="str">
        <f>IFERROR(VLOOKUP($J275,Players!$D:$E,2,FALSE),VLOOKUP($G275,Players!A:E,5,FALSE))</f>
        <v>#N/A</v>
      </c>
    </row>
    <row r="276" ht="15.75" customHeight="1">
      <c r="A276" s="1">
        <v>2020.0</v>
      </c>
      <c r="B276" s="1" t="s">
        <v>48</v>
      </c>
      <c r="C276" s="1" t="s">
        <v>19</v>
      </c>
      <c r="D276" s="8">
        <v>10.0</v>
      </c>
      <c r="E276" s="8">
        <v>5.0</v>
      </c>
      <c r="F276" s="8">
        <v>55.0</v>
      </c>
      <c r="G276" s="1" t="s">
        <v>389</v>
      </c>
      <c r="H276" s="1" t="str">
        <f t="shared" si="1"/>
        <v>Robert</v>
      </c>
      <c r="I276" s="1" t="str">
        <f t="shared" si="2"/>
        <v>Woods</v>
      </c>
      <c r="J276" s="1" t="str">
        <f t="shared" si="3"/>
        <v>#N/A</v>
      </c>
      <c r="K276" s="1" t="str">
        <f>IFERROR(VLOOKUP($J276,Players!$D:$E,2,FALSE),VLOOKUP($G276,Players!A:E,5,FALSE))</f>
        <v>WR</v>
      </c>
    </row>
    <row r="277" ht="15.75" customHeight="1">
      <c r="A277" s="1">
        <v>2020.0</v>
      </c>
      <c r="B277" s="1" t="s">
        <v>48</v>
      </c>
      <c r="C277" s="1" t="s">
        <v>19</v>
      </c>
      <c r="D277" s="8">
        <v>10.0</v>
      </c>
      <c r="E277" s="8">
        <v>6.0</v>
      </c>
      <c r="F277" s="8">
        <v>66.0</v>
      </c>
      <c r="G277" s="1" t="s">
        <v>152</v>
      </c>
      <c r="H277" s="1" t="str">
        <f t="shared" si="1"/>
        <v>AJ</v>
      </c>
      <c r="I277" s="1" t="str">
        <f t="shared" si="2"/>
        <v>Green</v>
      </c>
      <c r="J277" s="1" t="str">
        <f t="shared" si="3"/>
        <v>#N/A</v>
      </c>
      <c r="K277" s="1" t="str">
        <f>IFERROR(VLOOKUP($J277,Players!$D:$E,2,FALSE),VLOOKUP($G277,Players!A:E,5,FALSE))</f>
        <v>WR</v>
      </c>
    </row>
    <row r="278" ht="15.75" customHeight="1">
      <c r="A278" s="1">
        <v>2020.0</v>
      </c>
      <c r="B278" s="1" t="s">
        <v>48</v>
      </c>
      <c r="C278" s="1" t="s">
        <v>19</v>
      </c>
      <c r="D278" s="8">
        <v>10.0</v>
      </c>
      <c r="E278" s="8">
        <v>7.0</v>
      </c>
      <c r="F278" s="8">
        <v>79.0</v>
      </c>
      <c r="G278" s="1" t="s">
        <v>109</v>
      </c>
      <c r="H278" s="1" t="str">
        <f t="shared" si="1"/>
        <v>Antonio</v>
      </c>
      <c r="I278" s="1" t="str">
        <f t="shared" si="2"/>
        <v>Gibson</v>
      </c>
      <c r="J278" s="1" t="str">
        <f t="shared" si="3"/>
        <v>#N/A</v>
      </c>
      <c r="K278" s="1" t="str">
        <f>IFERROR(VLOOKUP($J278,Players!$D:$E,2,FALSE),VLOOKUP($G278,Players!A:E,5,FALSE))</f>
        <v>RB</v>
      </c>
    </row>
    <row r="279" ht="15.75" customHeight="1">
      <c r="A279" s="1">
        <v>2020.0</v>
      </c>
      <c r="B279" s="1" t="s">
        <v>48</v>
      </c>
      <c r="C279" s="1" t="s">
        <v>19</v>
      </c>
      <c r="D279" s="8">
        <v>10.0</v>
      </c>
      <c r="E279" s="8">
        <v>8.0</v>
      </c>
      <c r="F279" s="8">
        <v>90.0</v>
      </c>
      <c r="G279" s="1" t="s">
        <v>694</v>
      </c>
      <c r="H279" s="1" t="str">
        <f t="shared" si="1"/>
        <v>Jared</v>
      </c>
      <c r="I279" s="1" t="str">
        <f t="shared" si="2"/>
        <v>Cook</v>
      </c>
      <c r="J279" s="1" t="str">
        <f t="shared" si="3"/>
        <v>#N/A</v>
      </c>
      <c r="K279" s="1" t="str">
        <f>IFERROR(VLOOKUP($J279,Players!$D:$E,2,FALSE),VLOOKUP($G279,Players!A:E,5,FALSE))</f>
        <v>TE</v>
      </c>
    </row>
    <row r="280" ht="15.75" customHeight="1">
      <c r="A280" s="1">
        <v>2020.0</v>
      </c>
      <c r="B280" s="1" t="s">
        <v>48</v>
      </c>
      <c r="C280" s="1" t="s">
        <v>19</v>
      </c>
      <c r="D280" s="8">
        <v>10.0</v>
      </c>
      <c r="E280" s="8">
        <v>9.0</v>
      </c>
      <c r="F280" s="8">
        <v>103.0</v>
      </c>
      <c r="G280" s="1" t="s">
        <v>328</v>
      </c>
      <c r="H280" s="1" t="str">
        <f t="shared" si="1"/>
        <v>Sterling</v>
      </c>
      <c r="I280" s="1" t="str">
        <f t="shared" si="2"/>
        <v>Shepard</v>
      </c>
      <c r="J280" s="1" t="str">
        <f t="shared" si="3"/>
        <v>#N/A</v>
      </c>
      <c r="K280" s="1" t="str">
        <f>IFERROR(VLOOKUP($J280,Players!$D:$E,2,FALSE),VLOOKUP($G280,Players!A:E,5,FALSE))</f>
        <v>WR</v>
      </c>
    </row>
    <row r="281" ht="15.75" customHeight="1">
      <c r="A281" s="1">
        <v>2020.0</v>
      </c>
      <c r="B281" s="1" t="s">
        <v>48</v>
      </c>
      <c r="C281" s="1" t="s">
        <v>19</v>
      </c>
      <c r="D281" s="8">
        <v>10.0</v>
      </c>
      <c r="E281" s="8">
        <v>10.0</v>
      </c>
      <c r="F281" s="8">
        <v>114.0</v>
      </c>
      <c r="G281" s="1" t="s">
        <v>699</v>
      </c>
      <c r="H281" s="1" t="str">
        <f t="shared" si="1"/>
        <v>Jordan</v>
      </c>
      <c r="I281" s="1" t="str">
        <f t="shared" si="2"/>
        <v>Howard</v>
      </c>
      <c r="J281" s="1" t="str">
        <f t="shared" si="3"/>
        <v>#N/A</v>
      </c>
      <c r="K281" s="1" t="str">
        <f>IFERROR(VLOOKUP($J281,Players!$D:$E,2,FALSE),VLOOKUP($G281,Players!A:E,5,FALSE))</f>
        <v>RB</v>
      </c>
    </row>
    <row r="282" ht="15.75" customHeight="1">
      <c r="A282" s="1">
        <v>2020.0</v>
      </c>
      <c r="B282" s="1" t="s">
        <v>48</v>
      </c>
      <c r="C282" s="1" t="s">
        <v>19</v>
      </c>
      <c r="D282" s="8">
        <v>10.0</v>
      </c>
      <c r="E282" s="8">
        <v>11.0</v>
      </c>
      <c r="F282" s="8">
        <v>127.0</v>
      </c>
      <c r="G282" s="1" t="s">
        <v>701</v>
      </c>
      <c r="H282" s="1" t="str">
        <f t="shared" si="1"/>
        <v>DeSean</v>
      </c>
      <c r="I282" s="1" t="str">
        <f t="shared" si="2"/>
        <v>Jackson</v>
      </c>
      <c r="J282" s="1" t="str">
        <f t="shared" si="3"/>
        <v>#N/A</v>
      </c>
      <c r="K282" s="1" t="str">
        <f>IFERROR(VLOOKUP($J282,Players!$D:$E,2,FALSE),VLOOKUP($G282,Players!A:E,5,FALSE))</f>
        <v>WR</v>
      </c>
    </row>
    <row r="283" ht="15.75" customHeight="1">
      <c r="A283" s="1">
        <v>2020.0</v>
      </c>
      <c r="B283" s="1" t="s">
        <v>48</v>
      </c>
      <c r="C283" s="1" t="s">
        <v>19</v>
      </c>
      <c r="D283" s="8">
        <v>10.0</v>
      </c>
      <c r="E283" s="8">
        <v>12.0</v>
      </c>
      <c r="F283" s="8">
        <v>138.0</v>
      </c>
      <c r="G283" s="1" t="s">
        <v>332</v>
      </c>
      <c r="H283" s="1" t="str">
        <f t="shared" si="1"/>
        <v>Anthony</v>
      </c>
      <c r="I283" s="1" t="str">
        <f t="shared" si="2"/>
        <v>Miller</v>
      </c>
      <c r="J283" s="1" t="str">
        <f t="shared" si="3"/>
        <v>#N/A</v>
      </c>
      <c r="K283" s="1" t="str">
        <f>IFERROR(VLOOKUP($J283,Players!$D:$E,2,FALSE),VLOOKUP($G283,Players!A:E,5,FALSE))</f>
        <v>WR</v>
      </c>
    </row>
    <row r="284" ht="15.75" customHeight="1">
      <c r="A284" s="1">
        <v>2020.0</v>
      </c>
      <c r="B284" s="1" t="s">
        <v>48</v>
      </c>
      <c r="C284" s="1" t="s">
        <v>19</v>
      </c>
      <c r="D284" s="8">
        <v>10.0</v>
      </c>
      <c r="E284" s="8">
        <v>13.0</v>
      </c>
      <c r="F284" s="8">
        <v>151.0</v>
      </c>
      <c r="G284" s="1" t="s">
        <v>457</v>
      </c>
      <c r="H284" s="1" t="str">
        <f t="shared" si="1"/>
        <v>Ben</v>
      </c>
      <c r="I284" s="1" t="str">
        <f t="shared" si="2"/>
        <v>Roethlisberger</v>
      </c>
      <c r="J284" s="1" t="str">
        <f t="shared" si="3"/>
        <v>#N/A</v>
      </c>
      <c r="K284" s="1" t="str">
        <f>IFERROR(VLOOKUP($J284,Players!$D:$E,2,FALSE),VLOOKUP($G284,Players!A:E,5,FALSE))</f>
        <v>QB</v>
      </c>
    </row>
    <row r="285" ht="15.75" customHeight="1">
      <c r="A285" s="1">
        <v>2020.0</v>
      </c>
      <c r="B285" s="1" t="s">
        <v>48</v>
      </c>
      <c r="C285" s="1" t="s">
        <v>19</v>
      </c>
      <c r="D285" s="8">
        <v>10.0</v>
      </c>
      <c r="E285" s="8">
        <v>14.0</v>
      </c>
      <c r="F285" s="8">
        <v>162.0</v>
      </c>
      <c r="G285" s="1" t="s">
        <v>369</v>
      </c>
      <c r="H285" s="1" t="str">
        <f t="shared" si="1"/>
        <v>New</v>
      </c>
      <c r="I285" s="1" t="str">
        <f t="shared" si="2"/>
        <v>England</v>
      </c>
      <c r="J285" s="1" t="str">
        <f t="shared" si="3"/>
        <v>#N/A</v>
      </c>
      <c r="K285" s="1" t="str">
        <f>IFERROR(VLOOKUP($J285,Players!$D:$E,2,FALSE),VLOOKUP($G285,Players!A:E,5,FALSE))</f>
        <v>DEF</v>
      </c>
    </row>
    <row r="286" ht="15.75" customHeight="1">
      <c r="A286" s="1">
        <v>2020.0</v>
      </c>
      <c r="B286" s="1" t="s">
        <v>48</v>
      </c>
      <c r="C286" s="1" t="s">
        <v>19</v>
      </c>
      <c r="D286" s="8">
        <v>10.0</v>
      </c>
      <c r="E286" s="8">
        <v>15.0</v>
      </c>
      <c r="F286" s="8">
        <v>175.0</v>
      </c>
      <c r="G286" s="1" t="s">
        <v>707</v>
      </c>
      <c r="H286" s="1" t="str">
        <f t="shared" si="1"/>
        <v>Jake</v>
      </c>
      <c r="I286" s="1" t="str">
        <f t="shared" si="2"/>
        <v>Elliott</v>
      </c>
      <c r="J286" s="1" t="str">
        <f t="shared" si="3"/>
        <v>#N/A</v>
      </c>
      <c r="K286" s="1" t="str">
        <f>IFERROR(VLOOKUP($J286,Players!$D:$E,2,FALSE),VLOOKUP($G286,Players!A:E,5,FALSE))</f>
        <v>K</v>
      </c>
    </row>
    <row r="287" ht="15.75" customHeight="1">
      <c r="A287" s="1">
        <v>2020.0</v>
      </c>
      <c r="B287" s="1" t="s">
        <v>32</v>
      </c>
      <c r="C287" s="1" t="s">
        <v>25</v>
      </c>
      <c r="D287" s="8">
        <v>7.0</v>
      </c>
      <c r="E287" s="8">
        <v>1.0</v>
      </c>
      <c r="F287" s="8">
        <v>8.0</v>
      </c>
      <c r="G287" s="1" t="s">
        <v>270</v>
      </c>
      <c r="H287" s="1" t="str">
        <f t="shared" si="1"/>
        <v>Michael</v>
      </c>
      <c r="I287" s="1" t="str">
        <f t="shared" si="2"/>
        <v>Thomas</v>
      </c>
      <c r="J287" s="1" t="str">
        <f t="shared" si="3"/>
        <v>#N/A</v>
      </c>
      <c r="K287" s="1" t="str">
        <f>IFERROR(VLOOKUP($J287,Players!$D:$E,2,FALSE),VLOOKUP($G287,Players!A:E,5,FALSE))</f>
        <v>WR</v>
      </c>
    </row>
    <row r="288" ht="15.75" customHeight="1">
      <c r="A288" s="1">
        <v>2020.0</v>
      </c>
      <c r="B288" s="1" t="s">
        <v>32</v>
      </c>
      <c r="C288" s="1" t="s">
        <v>25</v>
      </c>
      <c r="D288" s="8">
        <v>7.0</v>
      </c>
      <c r="E288" s="8">
        <v>2.0</v>
      </c>
      <c r="F288" s="8">
        <v>17.0</v>
      </c>
      <c r="G288" s="1" t="s">
        <v>425</v>
      </c>
      <c r="H288" s="1" t="str">
        <f t="shared" si="1"/>
        <v>Nick</v>
      </c>
      <c r="I288" s="1" t="str">
        <f t="shared" si="2"/>
        <v>Chubb</v>
      </c>
      <c r="J288" s="1" t="str">
        <f t="shared" si="3"/>
        <v>#N/A</v>
      </c>
      <c r="K288" s="1" t="str">
        <f>IFERROR(VLOOKUP($J288,Players!$D:$E,2,FALSE),VLOOKUP($G288,Players!A:E,5,FALSE))</f>
        <v>RB</v>
      </c>
    </row>
    <row r="289" ht="15.75" customHeight="1">
      <c r="A289" s="1">
        <v>2020.0</v>
      </c>
      <c r="B289" s="1" t="s">
        <v>32</v>
      </c>
      <c r="C289" s="1" t="s">
        <v>25</v>
      </c>
      <c r="D289" s="8">
        <v>7.0</v>
      </c>
      <c r="E289" s="8">
        <v>3.0</v>
      </c>
      <c r="F289" s="8">
        <v>32.0</v>
      </c>
      <c r="G289" s="1" t="s">
        <v>112</v>
      </c>
      <c r="H289" s="1" t="str">
        <f t="shared" si="1"/>
        <v>Adam</v>
      </c>
      <c r="I289" s="1" t="str">
        <f t="shared" si="2"/>
        <v>Thielen</v>
      </c>
      <c r="J289" s="1" t="str">
        <f t="shared" si="3"/>
        <v>#N/A</v>
      </c>
      <c r="K289" s="1" t="str">
        <f>IFERROR(VLOOKUP($J289,Players!$D:$E,2,FALSE),VLOOKUP($G289,Players!A:E,5,FALSE))</f>
        <v>WR</v>
      </c>
    </row>
    <row r="290" ht="15.75" customHeight="1">
      <c r="A290" s="1">
        <v>2020.0</v>
      </c>
      <c r="B290" s="1" t="s">
        <v>32</v>
      </c>
      <c r="C290" s="1" t="s">
        <v>25</v>
      </c>
      <c r="D290" s="8">
        <v>7.0</v>
      </c>
      <c r="E290" s="8">
        <v>4.0</v>
      </c>
      <c r="F290" s="8">
        <v>41.0</v>
      </c>
      <c r="G290" s="1" t="s">
        <v>381</v>
      </c>
      <c r="H290" s="1" t="str">
        <f t="shared" si="1"/>
        <v>Jonathan</v>
      </c>
      <c r="I290" s="1" t="str">
        <f t="shared" si="2"/>
        <v>Taylor</v>
      </c>
      <c r="J290" s="1" t="str">
        <f t="shared" si="3"/>
        <v>#N/A</v>
      </c>
      <c r="K290" s="1" t="str">
        <f>IFERROR(VLOOKUP($J290,Players!$D:$E,2,FALSE),VLOOKUP($G290,Players!A:E,5,FALSE))</f>
        <v>RB</v>
      </c>
    </row>
    <row r="291" ht="15.75" customHeight="1">
      <c r="A291" s="1">
        <v>2020.0</v>
      </c>
      <c r="B291" s="1" t="s">
        <v>32</v>
      </c>
      <c r="C291" s="1" t="s">
        <v>25</v>
      </c>
      <c r="D291" s="8">
        <v>7.0</v>
      </c>
      <c r="E291" s="8">
        <v>5.0</v>
      </c>
      <c r="F291" s="8">
        <v>56.0</v>
      </c>
      <c r="G291" s="1" t="s">
        <v>141</v>
      </c>
      <c r="H291" s="1" t="str">
        <f t="shared" si="1"/>
        <v>AJ</v>
      </c>
      <c r="I291" s="1" t="str">
        <f t="shared" si="2"/>
        <v>Brown</v>
      </c>
      <c r="J291" s="1" t="str">
        <f t="shared" si="3"/>
        <v>#N/A</v>
      </c>
      <c r="K291" s="1" t="str">
        <f>IFERROR(VLOOKUP($J291,Players!$D:$E,2,FALSE),VLOOKUP($G291,Players!A:E,5,FALSE))</f>
        <v>WR</v>
      </c>
    </row>
    <row r="292" ht="15.75" customHeight="1">
      <c r="A292" s="1">
        <v>2020.0</v>
      </c>
      <c r="B292" s="1" t="s">
        <v>32</v>
      </c>
      <c r="C292" s="1" t="s">
        <v>25</v>
      </c>
      <c r="D292" s="8">
        <v>7.0</v>
      </c>
      <c r="E292" s="8">
        <v>6.0</v>
      </c>
      <c r="F292" s="8">
        <v>65.0</v>
      </c>
      <c r="G292" s="1" t="s">
        <v>306</v>
      </c>
      <c r="H292" s="1" t="str">
        <f t="shared" si="1"/>
        <v>Dak</v>
      </c>
      <c r="I292" s="1" t="str">
        <f t="shared" si="2"/>
        <v>Prescott</v>
      </c>
      <c r="J292" s="1" t="str">
        <f t="shared" si="3"/>
        <v>#N/A</v>
      </c>
      <c r="K292" s="1" t="str">
        <f>IFERROR(VLOOKUP($J292,Players!$D:$E,2,FALSE),VLOOKUP($G292,Players!A:E,5,FALSE))</f>
        <v>QB</v>
      </c>
    </row>
    <row r="293" ht="15.75" customHeight="1">
      <c r="A293" s="1">
        <v>2020.0</v>
      </c>
      <c r="B293" s="1" t="s">
        <v>32</v>
      </c>
      <c r="C293" s="1" t="s">
        <v>25</v>
      </c>
      <c r="D293" s="8">
        <v>7.0</v>
      </c>
      <c r="E293" s="8">
        <v>7.0</v>
      </c>
      <c r="F293" s="8">
        <v>80.0</v>
      </c>
      <c r="G293" s="1" t="s">
        <v>101</v>
      </c>
      <c r="H293" s="1" t="str">
        <f t="shared" si="1"/>
        <v>Tyler</v>
      </c>
      <c r="I293" s="1" t="str">
        <f t="shared" si="2"/>
        <v>Higbee</v>
      </c>
      <c r="J293" s="1" t="str">
        <f t="shared" si="3"/>
        <v>#N/A</v>
      </c>
      <c r="K293" s="1" t="str">
        <f>IFERROR(VLOOKUP($J293,Players!$D:$E,2,FALSE),VLOOKUP($G293,Players!A:E,5,FALSE))</f>
        <v>TE</v>
      </c>
    </row>
    <row r="294" ht="15.75" customHeight="1">
      <c r="A294" s="1">
        <v>2020.0</v>
      </c>
      <c r="B294" s="1" t="s">
        <v>32</v>
      </c>
      <c r="C294" s="1" t="s">
        <v>25</v>
      </c>
      <c r="D294" s="8">
        <v>7.0</v>
      </c>
      <c r="E294" s="8">
        <v>8.0</v>
      </c>
      <c r="F294" s="8">
        <v>89.0</v>
      </c>
      <c r="G294" s="1" t="s">
        <v>312</v>
      </c>
      <c r="H294" s="1" t="str">
        <f t="shared" si="1"/>
        <v>Ronald</v>
      </c>
      <c r="I294" s="1" t="str">
        <f t="shared" si="2"/>
        <v>Jones II</v>
      </c>
      <c r="J294" s="1" t="str">
        <f t="shared" si="3"/>
        <v>#N/A</v>
      </c>
      <c r="K294" s="1" t="str">
        <f>IFERROR(VLOOKUP($J294,Players!$D:$E,2,FALSE),VLOOKUP($G294,Players!A:E,5,FALSE))</f>
        <v>#N/A</v>
      </c>
    </row>
    <row r="295" ht="15.75" customHeight="1">
      <c r="A295" s="1">
        <v>2020.0</v>
      </c>
      <c r="B295" s="1" t="s">
        <v>32</v>
      </c>
      <c r="C295" s="1" t="s">
        <v>25</v>
      </c>
      <c r="D295" s="8">
        <v>7.0</v>
      </c>
      <c r="E295" s="8">
        <v>9.0</v>
      </c>
      <c r="F295" s="8">
        <v>104.0</v>
      </c>
      <c r="G295" s="1" t="s">
        <v>132</v>
      </c>
      <c r="H295" s="1" t="str">
        <f t="shared" si="1"/>
        <v>#VALUE!</v>
      </c>
      <c r="I295" s="1" t="str">
        <f t="shared" si="2"/>
        <v>#VALUE!</v>
      </c>
      <c r="J295" s="1" t="str">
        <f t="shared" si="3"/>
        <v>#N/A</v>
      </c>
      <c r="K295" s="1" t="str">
        <f>IFERROR(VLOOKUP($J295,Players!$D:$E,2,FALSE),VLOOKUP($G295,Players!A:E,5,FALSE))</f>
        <v>DEF</v>
      </c>
    </row>
    <row r="296" ht="15.75" customHeight="1">
      <c r="A296" s="1">
        <v>2020.0</v>
      </c>
      <c r="B296" s="1" t="s">
        <v>32</v>
      </c>
      <c r="C296" s="1" t="s">
        <v>25</v>
      </c>
      <c r="D296" s="8">
        <v>7.0</v>
      </c>
      <c r="E296" s="8">
        <v>10.0</v>
      </c>
      <c r="F296" s="8">
        <v>113.0</v>
      </c>
      <c r="G296" s="1" t="s">
        <v>711</v>
      </c>
      <c r="H296" s="1" t="str">
        <f t="shared" si="1"/>
        <v>Darius</v>
      </c>
      <c r="I296" s="1" t="str">
        <f t="shared" si="2"/>
        <v>Slayton</v>
      </c>
      <c r="J296" s="1" t="str">
        <f t="shared" si="3"/>
        <v>#N/A</v>
      </c>
      <c r="K296" s="1" t="str">
        <f>IFERROR(VLOOKUP($J296,Players!$D:$E,2,FALSE),VLOOKUP($G296,Players!A:E,5,FALSE))</f>
        <v>WR</v>
      </c>
    </row>
    <row r="297" ht="15.75" customHeight="1">
      <c r="A297" s="1">
        <v>2020.0</v>
      </c>
      <c r="B297" s="1" t="s">
        <v>32</v>
      </c>
      <c r="C297" s="1" t="s">
        <v>25</v>
      </c>
      <c r="D297" s="8">
        <v>7.0</v>
      </c>
      <c r="E297" s="8">
        <v>11.0</v>
      </c>
      <c r="F297" s="8">
        <v>128.0</v>
      </c>
      <c r="G297" s="1" t="s">
        <v>288</v>
      </c>
      <c r="H297" s="1" t="str">
        <f t="shared" si="1"/>
        <v>Greg</v>
      </c>
      <c r="I297" s="1" t="str">
        <f t="shared" si="2"/>
        <v>Zuerlein</v>
      </c>
      <c r="J297" s="1" t="str">
        <f t="shared" si="3"/>
        <v>#N/A</v>
      </c>
      <c r="K297" s="1" t="str">
        <f>IFERROR(VLOOKUP($J297,Players!$D:$E,2,FALSE),VLOOKUP($G297,Players!A:E,5,FALSE))</f>
        <v>K</v>
      </c>
    </row>
    <row r="298" ht="15.75" customHeight="1">
      <c r="A298" s="1">
        <v>2020.0</v>
      </c>
      <c r="B298" s="1" t="s">
        <v>32</v>
      </c>
      <c r="C298" s="1" t="s">
        <v>25</v>
      </c>
      <c r="D298" s="8">
        <v>7.0</v>
      </c>
      <c r="E298" s="8">
        <v>12.0</v>
      </c>
      <c r="F298" s="8">
        <v>137.0</v>
      </c>
      <c r="G298" s="1" t="s">
        <v>714</v>
      </c>
      <c r="H298" s="1" t="str">
        <f t="shared" si="1"/>
        <v>Drew</v>
      </c>
      <c r="I298" s="1" t="str">
        <f t="shared" si="2"/>
        <v>Brees</v>
      </c>
      <c r="J298" s="1" t="str">
        <f t="shared" si="3"/>
        <v>#N/A</v>
      </c>
      <c r="K298" s="1" t="str">
        <f>IFERROR(VLOOKUP($J298,Players!$D:$E,2,FALSE),VLOOKUP($G298,Players!A:E,5,FALSE))</f>
        <v>QB</v>
      </c>
    </row>
    <row r="299" ht="15.75" customHeight="1">
      <c r="A299" s="1">
        <v>2020.0</v>
      </c>
      <c r="B299" s="1" t="s">
        <v>32</v>
      </c>
      <c r="C299" s="1" t="s">
        <v>25</v>
      </c>
      <c r="D299" s="8">
        <v>7.0</v>
      </c>
      <c r="E299" s="8">
        <v>13.0</v>
      </c>
      <c r="F299" s="8">
        <v>152.0</v>
      </c>
      <c r="G299" s="1" t="s">
        <v>487</v>
      </c>
      <c r="H299" s="1" t="str">
        <f t="shared" si="1"/>
        <v>Blake</v>
      </c>
      <c r="I299" s="1" t="str">
        <f t="shared" si="2"/>
        <v>Jarwin</v>
      </c>
      <c r="J299" s="1" t="str">
        <f t="shared" si="3"/>
        <v>#N/A</v>
      </c>
      <c r="K299" s="1" t="str">
        <f>IFERROR(VLOOKUP($J299,Players!$D:$E,2,FALSE),VLOOKUP($G299,Players!A:E,5,FALSE))</f>
        <v>TE</v>
      </c>
    </row>
    <row r="300" ht="15.75" customHeight="1">
      <c r="A300" s="1">
        <v>2020.0</v>
      </c>
      <c r="B300" s="1" t="s">
        <v>32</v>
      </c>
      <c r="C300" s="1" t="s">
        <v>25</v>
      </c>
      <c r="D300" s="8">
        <v>7.0</v>
      </c>
      <c r="E300" s="8">
        <v>14.0</v>
      </c>
      <c r="F300" s="8">
        <v>161.0</v>
      </c>
      <c r="G300" s="1" t="s">
        <v>197</v>
      </c>
      <c r="H300" s="1" t="str">
        <f t="shared" si="1"/>
        <v>Adrian</v>
      </c>
      <c r="I300" s="1" t="str">
        <f t="shared" si="2"/>
        <v>Peterson</v>
      </c>
      <c r="J300" s="1" t="str">
        <f t="shared" si="3"/>
        <v>#N/A</v>
      </c>
      <c r="K300" s="1" t="str">
        <f>IFERROR(VLOOKUP($J300,Players!$D:$E,2,FALSE),VLOOKUP($G300,Players!A:E,5,FALSE))</f>
        <v>RB</v>
      </c>
    </row>
    <row r="301" ht="15.75" customHeight="1">
      <c r="A301" s="1">
        <v>2020.0</v>
      </c>
      <c r="B301" s="1" t="s">
        <v>32</v>
      </c>
      <c r="C301" s="1" t="s">
        <v>25</v>
      </c>
      <c r="D301" s="8">
        <v>7.0</v>
      </c>
      <c r="E301" s="8">
        <v>15.0</v>
      </c>
      <c r="F301" s="8">
        <v>176.0</v>
      </c>
      <c r="G301" s="1" t="s">
        <v>719</v>
      </c>
      <c r="H301" s="1" t="str">
        <f t="shared" si="1"/>
        <v>Denver</v>
      </c>
      <c r="I301" s="1" t="str">
        <f t="shared" si="2"/>
        <v/>
      </c>
      <c r="J301" s="1" t="str">
        <f t="shared" si="3"/>
        <v>#N/A</v>
      </c>
      <c r="K301" s="1" t="str">
        <f>IFERROR(VLOOKUP($J301,Players!$D:$E,2,FALSE),VLOOKUP($G301,Players!A:E,5,FALSE))</f>
        <v>DEF</v>
      </c>
    </row>
    <row r="302" ht="15.75" customHeight="1">
      <c r="A302" s="1">
        <v>2020.0</v>
      </c>
      <c r="B302" s="1" t="s">
        <v>30</v>
      </c>
      <c r="C302" s="1" t="s">
        <v>31</v>
      </c>
      <c r="D302" s="8">
        <v>8.0</v>
      </c>
      <c r="E302" s="8">
        <v>1.0</v>
      </c>
      <c r="F302" s="8">
        <v>9.0</v>
      </c>
      <c r="G302" s="1" t="s">
        <v>94</v>
      </c>
      <c r="H302" s="1" t="str">
        <f t="shared" si="1"/>
        <v>Joe</v>
      </c>
      <c r="I302" s="1" t="str">
        <f t="shared" si="2"/>
        <v>Mixon</v>
      </c>
      <c r="J302" s="1" t="str">
        <f t="shared" si="3"/>
        <v>#N/A</v>
      </c>
      <c r="K302" s="1" t="str">
        <f>IFERROR(VLOOKUP($J302,Players!$D:$E,2,FALSE),VLOOKUP($G302,Players!A:E,5,FALSE))</f>
        <v>RB</v>
      </c>
    </row>
    <row r="303" ht="15.75" customHeight="1">
      <c r="A303" s="1">
        <v>2020.0</v>
      </c>
      <c r="B303" s="1" t="s">
        <v>30</v>
      </c>
      <c r="C303" s="1" t="s">
        <v>31</v>
      </c>
      <c r="D303" s="8">
        <v>8.0</v>
      </c>
      <c r="E303" s="8">
        <v>2.0</v>
      </c>
      <c r="F303" s="8">
        <v>16.0</v>
      </c>
      <c r="G303" s="1" t="s">
        <v>345</v>
      </c>
      <c r="H303" s="1" t="str">
        <f t="shared" si="1"/>
        <v>George</v>
      </c>
      <c r="I303" s="1" t="str">
        <f t="shared" si="2"/>
        <v>Kittle</v>
      </c>
      <c r="J303" s="1" t="str">
        <f t="shared" si="3"/>
        <v>#N/A</v>
      </c>
      <c r="K303" s="1" t="str">
        <f>IFERROR(VLOOKUP($J303,Players!$D:$E,2,FALSE),VLOOKUP($G303,Players!A:E,5,FALSE))</f>
        <v>TE</v>
      </c>
    </row>
    <row r="304" ht="15.75" customHeight="1">
      <c r="A304" s="1">
        <v>2020.0</v>
      </c>
      <c r="B304" s="1" t="s">
        <v>30</v>
      </c>
      <c r="C304" s="1" t="s">
        <v>31</v>
      </c>
      <c r="D304" s="8">
        <v>8.0</v>
      </c>
      <c r="E304" s="8">
        <v>3.0</v>
      </c>
      <c r="F304" s="8">
        <v>33.0</v>
      </c>
      <c r="G304" s="1" t="s">
        <v>724</v>
      </c>
      <c r="H304" s="1" t="str">
        <f t="shared" si="1"/>
        <v>Mark</v>
      </c>
      <c r="I304" s="1" t="str">
        <f t="shared" si="2"/>
        <v>Ingram II</v>
      </c>
      <c r="J304" s="1" t="str">
        <f t="shared" si="3"/>
        <v>#N/A</v>
      </c>
      <c r="K304" s="1" t="str">
        <f>IFERROR(VLOOKUP($J304,Players!$D:$E,2,FALSE),VLOOKUP($G304,Players!A:E,5,FALSE))</f>
        <v>#N/A</v>
      </c>
    </row>
    <row r="305" ht="15.75" customHeight="1">
      <c r="A305" s="1">
        <v>2020.0</v>
      </c>
      <c r="B305" s="1" t="s">
        <v>30</v>
      </c>
      <c r="C305" s="1" t="s">
        <v>31</v>
      </c>
      <c r="D305" s="8">
        <v>8.0</v>
      </c>
      <c r="E305" s="8">
        <v>4.0</v>
      </c>
      <c r="F305" s="8">
        <v>40.0</v>
      </c>
      <c r="G305" s="1" t="s">
        <v>430</v>
      </c>
      <c r="H305" s="1" t="str">
        <f t="shared" si="1"/>
        <v>Cooper</v>
      </c>
      <c r="I305" s="1" t="str">
        <f t="shared" si="2"/>
        <v>Kupp</v>
      </c>
      <c r="J305" s="1" t="str">
        <f t="shared" si="3"/>
        <v>#N/A</v>
      </c>
      <c r="K305" s="1" t="str">
        <f>IFERROR(VLOOKUP($J305,Players!$D:$E,2,FALSE),VLOOKUP($G305,Players!A:E,5,FALSE))</f>
        <v>WR</v>
      </c>
    </row>
    <row r="306" ht="15.75" customHeight="1">
      <c r="A306" s="1">
        <v>2020.0</v>
      </c>
      <c r="B306" s="1" t="s">
        <v>30</v>
      </c>
      <c r="C306" s="1" t="s">
        <v>31</v>
      </c>
      <c r="D306" s="8">
        <v>8.0</v>
      </c>
      <c r="E306" s="8">
        <v>5.0</v>
      </c>
      <c r="F306" s="8">
        <v>57.0</v>
      </c>
      <c r="G306" s="1" t="s">
        <v>730</v>
      </c>
      <c r="H306" s="1" t="str">
        <f t="shared" si="1"/>
        <v>Deshaun</v>
      </c>
      <c r="I306" s="1" t="str">
        <f t="shared" si="2"/>
        <v>Watson</v>
      </c>
      <c r="J306" s="1" t="str">
        <f t="shared" si="3"/>
        <v>#N/A</v>
      </c>
      <c r="K306" s="1" t="str">
        <f>IFERROR(VLOOKUP($J306,Players!$D:$E,2,FALSE),VLOOKUP($G306,Players!A:E,5,FALSE))</f>
        <v>QB</v>
      </c>
    </row>
    <row r="307" ht="15.75" customHeight="1">
      <c r="A307" s="1">
        <v>2020.0</v>
      </c>
      <c r="B307" s="1" t="s">
        <v>30</v>
      </c>
      <c r="C307" s="1" t="s">
        <v>31</v>
      </c>
      <c r="D307" s="8">
        <v>8.0</v>
      </c>
      <c r="E307" s="8">
        <v>6.0</v>
      </c>
      <c r="F307" s="8">
        <v>64.0</v>
      </c>
      <c r="G307" s="1" t="s">
        <v>282</v>
      </c>
      <c r="H307" s="1" t="str">
        <f t="shared" si="1"/>
        <v>San</v>
      </c>
      <c r="I307" s="1" t="str">
        <f t="shared" si="2"/>
        <v>Francisco</v>
      </c>
      <c r="J307" s="1" t="str">
        <f t="shared" si="3"/>
        <v>#N/A</v>
      </c>
      <c r="K307" s="1" t="str">
        <f>IFERROR(VLOOKUP($J307,Players!$D:$E,2,FALSE),VLOOKUP($G307,Players!A:E,5,FALSE))</f>
        <v>DEF</v>
      </c>
    </row>
    <row r="308" ht="15.75" customHeight="1">
      <c r="A308" s="1">
        <v>2020.0</v>
      </c>
      <c r="B308" s="1" t="s">
        <v>30</v>
      </c>
      <c r="C308" s="1" t="s">
        <v>31</v>
      </c>
      <c r="D308" s="8">
        <v>8.0</v>
      </c>
      <c r="E308" s="8">
        <v>7.0</v>
      </c>
      <c r="F308" s="8">
        <v>81.0</v>
      </c>
      <c r="G308" s="1" t="s">
        <v>243</v>
      </c>
      <c r="H308" s="1" t="str">
        <f t="shared" si="1"/>
        <v>Marvin</v>
      </c>
      <c r="I308" s="1" t="str">
        <f t="shared" si="2"/>
        <v>Jones Jr</v>
      </c>
      <c r="J308" s="1" t="str">
        <f t="shared" si="3"/>
        <v>#N/A</v>
      </c>
      <c r="K308" s="1" t="str">
        <f>IFERROR(VLOOKUP($J308,Players!$D:$E,2,FALSE),VLOOKUP($G308,Players!A:E,5,FALSE))</f>
        <v>#N/A</v>
      </c>
    </row>
    <row r="309" ht="15.75" customHeight="1">
      <c r="A309" s="1">
        <v>2020.0</v>
      </c>
      <c r="B309" s="1" t="s">
        <v>30</v>
      </c>
      <c r="C309" s="1" t="s">
        <v>31</v>
      </c>
      <c r="D309" s="8">
        <v>8.0</v>
      </c>
      <c r="E309" s="8">
        <v>8.0</v>
      </c>
      <c r="F309" s="8">
        <v>88.0</v>
      </c>
      <c r="G309" s="1" t="s">
        <v>190</v>
      </c>
      <c r="H309" s="1" t="str">
        <f t="shared" si="1"/>
        <v>Justin</v>
      </c>
      <c r="I309" s="1" t="str">
        <f t="shared" si="2"/>
        <v>Tucker</v>
      </c>
      <c r="J309" s="1" t="str">
        <f t="shared" si="3"/>
        <v>#N/A</v>
      </c>
      <c r="K309" s="1" t="str">
        <f>IFERROR(VLOOKUP($J309,Players!$D:$E,2,FALSE),VLOOKUP($G309,Players!A:E,5,FALSE))</f>
        <v>K</v>
      </c>
    </row>
    <row r="310" ht="15.75" customHeight="1">
      <c r="A310" s="1">
        <v>2020.0</v>
      </c>
      <c r="B310" s="1" t="s">
        <v>30</v>
      </c>
      <c r="C310" s="1" t="s">
        <v>31</v>
      </c>
      <c r="D310" s="8">
        <v>8.0</v>
      </c>
      <c r="E310" s="8">
        <v>9.0</v>
      </c>
      <c r="F310" s="8">
        <v>105.0</v>
      </c>
      <c r="G310" s="1" t="s">
        <v>741</v>
      </c>
      <c r="H310" s="1" t="str">
        <f t="shared" si="1"/>
        <v>Emmanuel</v>
      </c>
      <c r="I310" s="1" t="str">
        <f t="shared" si="2"/>
        <v>Sanders</v>
      </c>
      <c r="J310" s="1" t="str">
        <f t="shared" si="3"/>
        <v>#N/A</v>
      </c>
      <c r="K310" s="1" t="str">
        <f>IFERROR(VLOOKUP($J310,Players!$D:$E,2,FALSE),VLOOKUP($G310,Players!A:E,5,FALSE))</f>
        <v>WR</v>
      </c>
    </row>
    <row r="311" ht="15.75" customHeight="1">
      <c r="A311" s="1">
        <v>2020.0</v>
      </c>
      <c r="B311" s="1" t="s">
        <v>30</v>
      </c>
      <c r="C311" s="1" t="s">
        <v>31</v>
      </c>
      <c r="D311" s="8">
        <v>8.0</v>
      </c>
      <c r="E311" s="8">
        <v>10.0</v>
      </c>
      <c r="F311" s="8">
        <v>112.0</v>
      </c>
      <c r="G311" s="1" t="s">
        <v>438</v>
      </c>
      <c r="H311" s="1" t="str">
        <f t="shared" si="1"/>
        <v>Dallas</v>
      </c>
      <c r="I311" s="1" t="str">
        <f t="shared" si="2"/>
        <v>Goedert</v>
      </c>
      <c r="J311" s="1" t="str">
        <f t="shared" si="3"/>
        <v>#N/A</v>
      </c>
      <c r="K311" s="1" t="str">
        <f>IFERROR(VLOOKUP($J311,Players!$D:$E,2,FALSE),VLOOKUP($G311,Players!A:E,5,FALSE))</f>
        <v>TE</v>
      </c>
    </row>
    <row r="312" ht="15.75" customHeight="1">
      <c r="A312" s="1">
        <v>2020.0</v>
      </c>
      <c r="B312" s="1" t="s">
        <v>30</v>
      </c>
      <c r="C312" s="1" t="s">
        <v>31</v>
      </c>
      <c r="D312" s="8">
        <v>8.0</v>
      </c>
      <c r="E312" s="8">
        <v>11.0</v>
      </c>
      <c r="F312" s="8">
        <v>129.0</v>
      </c>
      <c r="G312" s="1" t="s">
        <v>680</v>
      </c>
      <c r="H312" s="1" t="str">
        <f t="shared" si="1"/>
        <v>Cam</v>
      </c>
      <c r="I312" s="1" t="str">
        <f t="shared" si="2"/>
        <v>Newton</v>
      </c>
      <c r="J312" s="1" t="str">
        <f t="shared" si="3"/>
        <v>#N/A</v>
      </c>
      <c r="K312" s="1" t="str">
        <f>IFERROR(VLOOKUP($J312,Players!$D:$E,2,FALSE),VLOOKUP($G312,Players!A:E,5,FALSE))</f>
        <v>QB</v>
      </c>
    </row>
    <row r="313" ht="15.75" customHeight="1">
      <c r="A313" s="1">
        <v>2020.0</v>
      </c>
      <c r="B313" s="1" t="s">
        <v>30</v>
      </c>
      <c r="C313" s="1" t="s">
        <v>31</v>
      </c>
      <c r="D313" s="8">
        <v>8.0</v>
      </c>
      <c r="E313" s="8">
        <v>12.0</v>
      </c>
      <c r="F313" s="8">
        <v>136.0</v>
      </c>
      <c r="G313" s="1" t="s">
        <v>749</v>
      </c>
      <c r="H313" s="1" t="str">
        <f t="shared" si="1"/>
        <v>Latavius</v>
      </c>
      <c r="I313" s="1" t="str">
        <f t="shared" si="2"/>
        <v>Murray</v>
      </c>
      <c r="J313" s="1" t="str">
        <f t="shared" si="3"/>
        <v>#N/A</v>
      </c>
      <c r="K313" s="1" t="str">
        <f>IFERROR(VLOOKUP($J313,Players!$D:$E,2,FALSE),VLOOKUP($G313,Players!A:E,5,FALSE))</f>
        <v>RB</v>
      </c>
    </row>
    <row r="314" ht="15.75" customHeight="1">
      <c r="A314" s="1">
        <v>2020.0</v>
      </c>
      <c r="B314" s="1" t="s">
        <v>30</v>
      </c>
      <c r="C314" s="1" t="s">
        <v>31</v>
      </c>
      <c r="D314" s="8">
        <v>8.0</v>
      </c>
      <c r="E314" s="8">
        <v>13.0</v>
      </c>
      <c r="F314" s="8">
        <v>153.0</v>
      </c>
      <c r="G314" s="1" t="s">
        <v>751</v>
      </c>
      <c r="H314" s="1" t="str">
        <f t="shared" si="1"/>
        <v>LeSean</v>
      </c>
      <c r="I314" s="1" t="str">
        <f t="shared" si="2"/>
        <v>McCoy</v>
      </c>
      <c r="J314" s="1" t="str">
        <f t="shared" si="3"/>
        <v>#N/A</v>
      </c>
      <c r="K314" s="1" t="str">
        <f>IFERROR(VLOOKUP($J314,Players!$D:$E,2,FALSE),VLOOKUP($G314,Players!A:E,5,FALSE))</f>
        <v>RB</v>
      </c>
    </row>
    <row r="315" ht="15.75" customHeight="1">
      <c r="A315" s="1">
        <v>2020.0</v>
      </c>
      <c r="B315" s="1" t="s">
        <v>30</v>
      </c>
      <c r="C315" s="1" t="s">
        <v>31</v>
      </c>
      <c r="D315" s="8">
        <v>8.0</v>
      </c>
      <c r="E315" s="8">
        <v>14.0</v>
      </c>
      <c r="F315" s="8">
        <v>160.0</v>
      </c>
      <c r="G315" s="1" t="s">
        <v>394</v>
      </c>
      <c r="H315" s="1" t="str">
        <f t="shared" si="1"/>
        <v>Brandon</v>
      </c>
      <c r="I315" s="1" t="str">
        <f t="shared" si="2"/>
        <v>Aiyuk</v>
      </c>
      <c r="J315" s="1" t="str">
        <f t="shared" si="3"/>
        <v>#N/A</v>
      </c>
      <c r="K315" s="1" t="str">
        <f>IFERROR(VLOOKUP($J315,Players!$D:$E,2,FALSE),VLOOKUP($G315,Players!A:E,5,FALSE))</f>
        <v>WR</v>
      </c>
    </row>
    <row r="316" ht="15.75" customHeight="1">
      <c r="A316" s="1">
        <v>2020.0</v>
      </c>
      <c r="B316" s="1" t="s">
        <v>30</v>
      </c>
      <c r="C316" s="1" t="s">
        <v>31</v>
      </c>
      <c r="D316" s="8">
        <v>8.0</v>
      </c>
      <c r="E316" s="8">
        <v>15.0</v>
      </c>
      <c r="F316" s="8">
        <v>177.0</v>
      </c>
      <c r="G316" s="1" t="s">
        <v>756</v>
      </c>
      <c r="H316" s="1" t="str">
        <f t="shared" si="1"/>
        <v>#VALUE!</v>
      </c>
      <c r="I316" s="1" t="str">
        <f t="shared" si="2"/>
        <v>#VALUE!</v>
      </c>
      <c r="J316" s="1" t="str">
        <f t="shared" si="3"/>
        <v>#N/A</v>
      </c>
      <c r="K316" s="1" t="str">
        <f>IFERROR(VLOOKUP($J316,Players!$D:$E,2,FALSE),VLOOKUP($G316,Players!A:E,5,FALSE))</f>
        <v>DEF</v>
      </c>
    </row>
    <row r="317" ht="15.75" customHeight="1">
      <c r="A317" s="1">
        <v>2020.0</v>
      </c>
      <c r="B317" s="1" t="s">
        <v>43</v>
      </c>
      <c r="C317" s="1" t="s">
        <v>23</v>
      </c>
      <c r="D317" s="8">
        <v>2.0</v>
      </c>
      <c r="E317" s="8">
        <v>1.0</v>
      </c>
      <c r="F317" s="8">
        <v>10.0</v>
      </c>
      <c r="G317" s="1" t="s">
        <v>213</v>
      </c>
      <c r="H317" s="1" t="str">
        <f t="shared" si="1"/>
        <v>Davante</v>
      </c>
      <c r="I317" s="1" t="str">
        <f t="shared" si="2"/>
        <v>Adams</v>
      </c>
      <c r="J317" s="1" t="str">
        <f t="shared" si="3"/>
        <v>#N/A</v>
      </c>
      <c r="K317" s="1" t="str">
        <f>IFERROR(VLOOKUP($J317,Players!$D:$E,2,FALSE),VLOOKUP($G317,Players!A:E,5,FALSE))</f>
        <v>WR</v>
      </c>
    </row>
    <row r="318" ht="15.75" customHeight="1">
      <c r="A318" s="1">
        <v>2020.0</v>
      </c>
      <c r="B318" s="1" t="s">
        <v>43</v>
      </c>
      <c r="C318" s="1" t="s">
        <v>23</v>
      </c>
      <c r="D318" s="8">
        <v>2.0</v>
      </c>
      <c r="E318" s="8">
        <v>2.0</v>
      </c>
      <c r="F318" s="8">
        <v>15.0</v>
      </c>
      <c r="G318" s="1" t="s">
        <v>110</v>
      </c>
      <c r="H318" s="1" t="str">
        <f t="shared" si="1"/>
        <v>Patrick</v>
      </c>
      <c r="I318" s="1" t="str">
        <f t="shared" si="2"/>
        <v>Mahomes</v>
      </c>
      <c r="J318" s="1" t="str">
        <f t="shared" si="3"/>
        <v>#N/A</v>
      </c>
      <c r="K318" s="1" t="str">
        <f>IFERROR(VLOOKUP($J318,Players!$D:$E,2,FALSE),VLOOKUP($G318,Players!A:E,5,FALSE))</f>
        <v>QB</v>
      </c>
    </row>
    <row r="319" ht="15.75" customHeight="1">
      <c r="A319" s="1">
        <v>2020.0</v>
      </c>
      <c r="B319" s="1" t="s">
        <v>43</v>
      </c>
      <c r="C319" s="1" t="s">
        <v>23</v>
      </c>
      <c r="D319" s="8">
        <v>2.0</v>
      </c>
      <c r="E319" s="8">
        <v>3.0</v>
      </c>
      <c r="F319" s="8">
        <v>34.0</v>
      </c>
      <c r="G319" s="1" t="s">
        <v>760</v>
      </c>
      <c r="H319" s="1" t="str">
        <f t="shared" si="1"/>
        <v>Todd</v>
      </c>
      <c r="I319" s="1" t="str">
        <f t="shared" si="2"/>
        <v>Gurley II</v>
      </c>
      <c r="J319" s="1" t="str">
        <f t="shared" si="3"/>
        <v>#N/A</v>
      </c>
      <c r="K319" s="1" t="str">
        <f>IFERROR(VLOOKUP($J319,Players!$D:$E,2,FALSE),VLOOKUP($G319,Players!A:E,5,FALSE))</f>
        <v>#N/A</v>
      </c>
    </row>
    <row r="320" ht="15.75" customHeight="1">
      <c r="A320" s="1">
        <v>2020.0</v>
      </c>
      <c r="B320" s="1" t="s">
        <v>43</v>
      </c>
      <c r="C320" s="1" t="s">
        <v>23</v>
      </c>
      <c r="D320" s="8">
        <v>2.0</v>
      </c>
      <c r="E320" s="8">
        <v>4.0</v>
      </c>
      <c r="F320" s="8">
        <v>39.0</v>
      </c>
      <c r="G320" s="1" t="s">
        <v>360</v>
      </c>
      <c r="H320" s="1" t="str">
        <f t="shared" si="1"/>
        <v>Melvin</v>
      </c>
      <c r="I320" s="1" t="str">
        <f t="shared" si="2"/>
        <v>Gordon III</v>
      </c>
      <c r="J320" s="1" t="str">
        <f t="shared" si="3"/>
        <v>#N/A</v>
      </c>
      <c r="K320" s="1" t="str">
        <f>IFERROR(VLOOKUP($J320,Players!$D:$E,2,FALSE),VLOOKUP($G320,Players!A:E,5,FALSE))</f>
        <v>#N/A</v>
      </c>
    </row>
    <row r="321" ht="15.75" customHeight="1">
      <c r="A321" s="1">
        <v>2020.0</v>
      </c>
      <c r="B321" s="1" t="s">
        <v>43</v>
      </c>
      <c r="C321" s="1" t="s">
        <v>23</v>
      </c>
      <c r="D321" s="8">
        <v>2.0</v>
      </c>
      <c r="E321" s="8">
        <v>5.0</v>
      </c>
      <c r="F321" s="8">
        <v>58.0</v>
      </c>
      <c r="G321" s="1" t="s">
        <v>80</v>
      </c>
      <c r="H321" s="1" t="str">
        <f t="shared" si="1"/>
        <v>Keenan</v>
      </c>
      <c r="I321" s="1" t="str">
        <f t="shared" si="2"/>
        <v>Allen</v>
      </c>
      <c r="J321" s="1" t="str">
        <f t="shared" si="3"/>
        <v>#N/A</v>
      </c>
      <c r="K321" s="1" t="str">
        <f>IFERROR(VLOOKUP($J321,Players!$D:$E,2,FALSE),VLOOKUP($G321,Players!A:E,5,FALSE))</f>
        <v>WR</v>
      </c>
    </row>
    <row r="322" ht="15.75" customHeight="1">
      <c r="A322" s="1">
        <v>2020.0</v>
      </c>
      <c r="B322" s="1" t="s">
        <v>43</v>
      </c>
      <c r="C322" s="1" t="s">
        <v>23</v>
      </c>
      <c r="D322" s="8">
        <v>2.0</v>
      </c>
      <c r="E322" s="8">
        <v>6.0</v>
      </c>
      <c r="F322" s="8">
        <v>63.0</v>
      </c>
      <c r="G322" s="1" t="s">
        <v>440</v>
      </c>
      <c r="H322" s="1" t="str">
        <f t="shared" si="1"/>
        <v>Tyler</v>
      </c>
      <c r="I322" s="1" t="str">
        <f t="shared" si="2"/>
        <v>Boyd</v>
      </c>
      <c r="J322" s="1" t="str">
        <f t="shared" si="3"/>
        <v>#N/A</v>
      </c>
      <c r="K322" s="1" t="str">
        <f>IFERROR(VLOOKUP($J322,Players!$D:$E,2,FALSE),VLOOKUP($G322,Players!A:E,5,FALSE))</f>
        <v>WR</v>
      </c>
    </row>
    <row r="323" ht="15.75" customHeight="1">
      <c r="A323" s="1">
        <v>2020.0</v>
      </c>
      <c r="B323" s="1" t="s">
        <v>43</v>
      </c>
      <c r="C323" s="1" t="s">
        <v>23</v>
      </c>
      <c r="D323" s="8">
        <v>2.0</v>
      </c>
      <c r="E323" s="8">
        <v>7.0</v>
      </c>
      <c r="F323" s="8">
        <v>82.0</v>
      </c>
      <c r="G323" s="1" t="s">
        <v>222</v>
      </c>
      <c r="H323" s="1" t="str">
        <f t="shared" si="1"/>
        <v>D'Andre</v>
      </c>
      <c r="I323" s="1" t="str">
        <f t="shared" si="2"/>
        <v>Swift</v>
      </c>
      <c r="J323" s="1" t="str">
        <f t="shared" si="3"/>
        <v>#N/A</v>
      </c>
      <c r="K323" s="1" t="str">
        <f>IFERROR(VLOOKUP($J323,Players!$D:$E,2,FALSE),VLOOKUP($G323,Players!A:E,5,FALSE))</f>
        <v>RB</v>
      </c>
    </row>
    <row r="324" ht="15.75" customHeight="1">
      <c r="A324" s="1">
        <v>2020.0</v>
      </c>
      <c r="B324" s="1" t="s">
        <v>43</v>
      </c>
      <c r="C324" s="1" t="s">
        <v>23</v>
      </c>
      <c r="D324" s="8">
        <v>2.0</v>
      </c>
      <c r="E324" s="8">
        <v>8.0</v>
      </c>
      <c r="F324" s="8">
        <v>87.0</v>
      </c>
      <c r="G324" s="1" t="s">
        <v>87</v>
      </c>
      <c r="H324" s="1" t="str">
        <f t="shared" si="1"/>
        <v>#VALUE!</v>
      </c>
      <c r="I324" s="1" t="str">
        <f t="shared" si="2"/>
        <v>#VALUE!</v>
      </c>
      <c r="J324" s="1" t="str">
        <f t="shared" si="3"/>
        <v>#N/A</v>
      </c>
      <c r="K324" s="1" t="str">
        <f>IFERROR(VLOOKUP($J324,Players!$D:$E,2,FALSE),VLOOKUP($G324,Players!A:E,5,FALSE))</f>
        <v>DEF</v>
      </c>
    </row>
    <row r="325" ht="15.75" customHeight="1">
      <c r="A325" s="1">
        <v>2020.0</v>
      </c>
      <c r="B325" s="1" t="s">
        <v>43</v>
      </c>
      <c r="C325" s="1" t="s">
        <v>23</v>
      </c>
      <c r="D325" s="8">
        <v>2.0</v>
      </c>
      <c r="E325" s="8">
        <v>9.0</v>
      </c>
      <c r="F325" s="8">
        <v>106.0</v>
      </c>
      <c r="G325" s="1" t="s">
        <v>160</v>
      </c>
      <c r="H325" s="1" t="str">
        <f t="shared" si="1"/>
        <v>Tevin</v>
      </c>
      <c r="I325" s="1" t="str">
        <f t="shared" si="2"/>
        <v>Coleman</v>
      </c>
      <c r="J325" s="1" t="str">
        <f t="shared" si="3"/>
        <v>#N/A</v>
      </c>
      <c r="K325" s="1" t="str">
        <f>IFERROR(VLOOKUP($J325,Players!$D:$E,2,FALSE),VLOOKUP($G325,Players!A:E,5,FALSE))</f>
        <v>RB</v>
      </c>
    </row>
    <row r="326" ht="15.75" customHeight="1">
      <c r="A326" s="1">
        <v>2020.0</v>
      </c>
      <c r="B326" s="1" t="s">
        <v>43</v>
      </c>
      <c r="C326" s="1" t="s">
        <v>23</v>
      </c>
      <c r="D326" s="8">
        <v>2.0</v>
      </c>
      <c r="E326" s="8">
        <v>10.0</v>
      </c>
      <c r="F326" s="8">
        <v>111.0</v>
      </c>
      <c r="G326" s="1" t="s">
        <v>772</v>
      </c>
      <c r="H326" s="1" t="str">
        <f t="shared" si="1"/>
        <v>Mecole</v>
      </c>
      <c r="I326" s="1" t="str">
        <f t="shared" si="2"/>
        <v>Hardman</v>
      </c>
      <c r="J326" s="1" t="str">
        <f t="shared" si="3"/>
        <v>#N/A</v>
      </c>
      <c r="K326" s="1" t="str">
        <f>IFERROR(VLOOKUP($J326,Players!$D:$E,2,FALSE),VLOOKUP($G326,Players!A:E,5,FALSE))</f>
        <v>WR</v>
      </c>
    </row>
    <row r="327" ht="15.75" customHeight="1">
      <c r="A327" s="1">
        <v>2020.0</v>
      </c>
      <c r="B327" s="1" t="s">
        <v>43</v>
      </c>
      <c r="C327" s="1" t="s">
        <v>23</v>
      </c>
      <c r="D327" s="8">
        <v>2.0</v>
      </c>
      <c r="E327" s="8">
        <v>11.0</v>
      </c>
      <c r="F327" s="8">
        <v>130.0</v>
      </c>
      <c r="G327" s="1" t="s">
        <v>775</v>
      </c>
      <c r="H327" s="1" t="str">
        <f t="shared" si="1"/>
        <v>Larry</v>
      </c>
      <c r="I327" s="1" t="str">
        <f t="shared" si="2"/>
        <v>Fitzgerald</v>
      </c>
      <c r="J327" s="1" t="str">
        <f t="shared" si="3"/>
        <v>#N/A</v>
      </c>
      <c r="K327" s="1" t="str">
        <f>IFERROR(VLOOKUP($J327,Players!$D:$E,2,FALSE),VLOOKUP($G327,Players!A:E,5,FALSE))</f>
        <v>WR</v>
      </c>
    </row>
    <row r="328" ht="15.75" customHeight="1">
      <c r="A328" s="1">
        <v>2020.0</v>
      </c>
      <c r="B328" s="1" t="s">
        <v>43</v>
      </c>
      <c r="C328" s="1" t="s">
        <v>23</v>
      </c>
      <c r="D328" s="8">
        <v>2.0</v>
      </c>
      <c r="E328" s="8">
        <v>12.0</v>
      </c>
      <c r="F328" s="8">
        <v>135.0</v>
      </c>
      <c r="G328" s="1" t="s">
        <v>406</v>
      </c>
      <c r="H328" s="1" t="str">
        <f t="shared" si="1"/>
        <v>Austin</v>
      </c>
      <c r="I328" s="1" t="str">
        <f t="shared" si="2"/>
        <v>Hooper</v>
      </c>
      <c r="J328" s="1" t="str">
        <f t="shared" si="3"/>
        <v>#N/A</v>
      </c>
      <c r="K328" s="1" t="str">
        <f>IFERROR(VLOOKUP($J328,Players!$D:$E,2,FALSE),VLOOKUP($G328,Players!A:E,5,FALSE))</f>
        <v>TE</v>
      </c>
    </row>
    <row r="329" ht="15.75" customHeight="1">
      <c r="A329" s="1">
        <v>2020.0</v>
      </c>
      <c r="B329" s="1" t="s">
        <v>43</v>
      </c>
      <c r="C329" s="1" t="s">
        <v>23</v>
      </c>
      <c r="D329" s="8">
        <v>2.0</v>
      </c>
      <c r="E329" s="8">
        <v>13.0</v>
      </c>
      <c r="F329" s="8">
        <v>154.0</v>
      </c>
      <c r="G329" s="1" t="s">
        <v>99</v>
      </c>
      <c r="H329" s="1" t="str">
        <f t="shared" si="1"/>
        <v>Robbie</v>
      </c>
      <c r="I329" s="1" t="str">
        <f t="shared" si="2"/>
        <v>Anderson</v>
      </c>
      <c r="J329" s="1" t="str">
        <f t="shared" si="3"/>
        <v>#N/A</v>
      </c>
      <c r="K329" s="1" t="str">
        <f>IFERROR(VLOOKUP($J329,Players!$D:$E,2,FALSE),VLOOKUP($G329,Players!A:E,5,FALSE))</f>
        <v>WR</v>
      </c>
    </row>
    <row r="330" ht="15.75" customHeight="1">
      <c r="A330" s="1">
        <v>2020.0</v>
      </c>
      <c r="B330" s="1" t="s">
        <v>43</v>
      </c>
      <c r="C330" s="1" t="s">
        <v>23</v>
      </c>
      <c r="D330" s="8">
        <v>2.0</v>
      </c>
      <c r="E330" s="8">
        <v>14.0</v>
      </c>
      <c r="F330" s="8">
        <v>159.0</v>
      </c>
      <c r="G330" s="1" t="s">
        <v>176</v>
      </c>
      <c r="H330" s="1" t="str">
        <f t="shared" si="1"/>
        <v>Aaron</v>
      </c>
      <c r="I330" s="1" t="str">
        <f t="shared" si="2"/>
        <v>Rodgers</v>
      </c>
      <c r="J330" s="1" t="str">
        <f t="shared" si="3"/>
        <v>#N/A</v>
      </c>
      <c r="K330" s="1" t="str">
        <f>IFERROR(VLOOKUP($J330,Players!$D:$E,2,FALSE),VLOOKUP($G330,Players!A:E,5,FALSE))</f>
        <v>QB</v>
      </c>
    </row>
    <row r="331" ht="15.75" customHeight="1">
      <c r="A331" s="1">
        <v>2020.0</v>
      </c>
      <c r="B331" s="1" t="s">
        <v>43</v>
      </c>
      <c r="C331" s="1" t="s">
        <v>23</v>
      </c>
      <c r="D331" s="8">
        <v>2.0</v>
      </c>
      <c r="E331" s="8">
        <v>15.0</v>
      </c>
      <c r="F331" s="8">
        <v>178.0</v>
      </c>
      <c r="G331" s="1" t="s">
        <v>781</v>
      </c>
      <c r="H331" s="1" t="str">
        <f t="shared" si="1"/>
        <v>Stephen</v>
      </c>
      <c r="I331" s="1" t="str">
        <f t="shared" si="2"/>
        <v>Gostkowski</v>
      </c>
      <c r="J331" s="1" t="str">
        <f t="shared" si="3"/>
        <v>#N/A</v>
      </c>
      <c r="K331" s="1" t="str">
        <f>IFERROR(VLOOKUP($J331,Players!$D:$E,2,FALSE),VLOOKUP($G331,Players!A:E,5,FALSE))</f>
        <v>K</v>
      </c>
    </row>
    <row r="332" ht="15.75" customHeight="1">
      <c r="A332" s="1">
        <v>2020.0</v>
      </c>
      <c r="B332" s="1" t="s">
        <v>36</v>
      </c>
      <c r="C332" s="1" t="s">
        <v>17</v>
      </c>
      <c r="D332" s="8">
        <v>3.0</v>
      </c>
      <c r="E332" s="8">
        <v>1.0</v>
      </c>
      <c r="F332" s="8">
        <v>11.0</v>
      </c>
      <c r="G332" s="1" t="s">
        <v>339</v>
      </c>
      <c r="H332" s="1" t="str">
        <f t="shared" si="1"/>
        <v>Tyreek</v>
      </c>
      <c r="I332" s="1" t="str">
        <f t="shared" si="2"/>
        <v>Hill</v>
      </c>
      <c r="J332" s="1" t="str">
        <f t="shared" si="3"/>
        <v>#N/A</v>
      </c>
      <c r="K332" s="1" t="str">
        <f>IFERROR(VLOOKUP($J332,Players!$D:$E,2,FALSE),VLOOKUP($G332,Players!A:E,5,FALSE))</f>
        <v>WR</v>
      </c>
    </row>
    <row r="333" ht="15.75" customHeight="1">
      <c r="A333" s="1">
        <v>2020.0</v>
      </c>
      <c r="B333" s="1" t="s">
        <v>36</v>
      </c>
      <c r="C333" s="1" t="s">
        <v>17</v>
      </c>
      <c r="D333" s="8">
        <v>3.0</v>
      </c>
      <c r="E333" s="8">
        <v>2.0</v>
      </c>
      <c r="F333" s="8">
        <v>14.0</v>
      </c>
      <c r="G333" s="1" t="s">
        <v>96</v>
      </c>
      <c r="H333" s="1" t="str">
        <f t="shared" si="1"/>
        <v>Julio</v>
      </c>
      <c r="I333" s="1" t="str">
        <f t="shared" si="2"/>
        <v>Jones</v>
      </c>
      <c r="J333" s="1" t="str">
        <f t="shared" si="3"/>
        <v>#N/A</v>
      </c>
      <c r="K333" s="1" t="str">
        <f>IFERROR(VLOOKUP($J333,Players!$D:$E,2,FALSE),VLOOKUP($G333,Players!A:E,5,FALSE))</f>
        <v>WR</v>
      </c>
    </row>
    <row r="334" ht="15.75" customHeight="1">
      <c r="A334" s="1">
        <v>2020.0</v>
      </c>
      <c r="B334" s="1" t="s">
        <v>36</v>
      </c>
      <c r="C334" s="1" t="s">
        <v>17</v>
      </c>
      <c r="D334" s="8">
        <v>3.0</v>
      </c>
      <c r="E334" s="8">
        <v>3.0</v>
      </c>
      <c r="F334" s="8">
        <v>35.0</v>
      </c>
      <c r="G334" s="1" t="s">
        <v>81</v>
      </c>
      <c r="H334" s="1" t="str">
        <f t="shared" si="1"/>
        <v>Mark</v>
      </c>
      <c r="I334" s="1" t="str">
        <f t="shared" si="2"/>
        <v>Andrews</v>
      </c>
      <c r="J334" s="1" t="str">
        <f t="shared" si="3"/>
        <v>#N/A</v>
      </c>
      <c r="K334" s="1" t="str">
        <f>IFERROR(VLOOKUP($J334,Players!$D:$E,2,FALSE),VLOOKUP($G334,Players!A:E,5,FALSE))</f>
        <v>TE</v>
      </c>
    </row>
    <row r="335" ht="15.75" customHeight="1">
      <c r="A335" s="1">
        <v>2020.0</v>
      </c>
      <c r="B335" s="1" t="s">
        <v>36</v>
      </c>
      <c r="C335" s="1" t="s">
        <v>17</v>
      </c>
      <c r="D335" s="8">
        <v>3.0</v>
      </c>
      <c r="E335" s="8">
        <v>4.0</v>
      </c>
      <c r="F335" s="8">
        <v>38.0</v>
      </c>
      <c r="G335" s="1" t="s">
        <v>788</v>
      </c>
      <c r="H335" s="1" t="str">
        <f t="shared" si="1"/>
        <v>Le'Veon</v>
      </c>
      <c r="I335" s="1" t="str">
        <f t="shared" si="2"/>
        <v>Bell</v>
      </c>
      <c r="J335" s="1" t="str">
        <f t="shared" si="3"/>
        <v>#N/A</v>
      </c>
      <c r="K335" s="1" t="str">
        <f>IFERROR(VLOOKUP($J335,Players!$D:$E,2,FALSE),VLOOKUP($G335,Players!A:E,5,FALSE))</f>
        <v>RB</v>
      </c>
    </row>
    <row r="336" ht="15.75" customHeight="1">
      <c r="A336" s="1">
        <v>2020.0</v>
      </c>
      <c r="B336" s="1" t="s">
        <v>36</v>
      </c>
      <c r="C336" s="1" t="s">
        <v>17</v>
      </c>
      <c r="D336" s="8">
        <v>3.0</v>
      </c>
      <c r="E336" s="8">
        <v>5.0</v>
      </c>
      <c r="F336" s="8">
        <v>59.0</v>
      </c>
      <c r="G336" s="1" t="s">
        <v>791</v>
      </c>
      <c r="H336" s="1" t="str">
        <f t="shared" si="1"/>
        <v>Tarik</v>
      </c>
      <c r="I336" s="1" t="str">
        <f t="shared" si="2"/>
        <v>Cohen</v>
      </c>
      <c r="J336" s="1" t="str">
        <f t="shared" si="3"/>
        <v>#N/A</v>
      </c>
      <c r="K336" s="1" t="str">
        <f>IFERROR(VLOOKUP($J336,Players!$D:$E,2,FALSE),VLOOKUP($G336,Players!A:E,5,FALSE))</f>
        <v>RB</v>
      </c>
    </row>
    <row r="337" ht="15.75" customHeight="1">
      <c r="A337" s="1">
        <v>2020.0</v>
      </c>
      <c r="B337" s="1" t="s">
        <v>36</v>
      </c>
      <c r="C337" s="1" t="s">
        <v>17</v>
      </c>
      <c r="D337" s="8">
        <v>3.0</v>
      </c>
      <c r="E337" s="8">
        <v>6.0</v>
      </c>
      <c r="F337" s="8">
        <v>62.0</v>
      </c>
      <c r="G337" s="1" t="s">
        <v>276</v>
      </c>
      <c r="H337" s="1" t="str">
        <f t="shared" si="1"/>
        <v>Courtland</v>
      </c>
      <c r="I337" s="1" t="str">
        <f t="shared" si="2"/>
        <v>Sutton</v>
      </c>
      <c r="J337" s="1" t="str">
        <f t="shared" si="3"/>
        <v>#N/A</v>
      </c>
      <c r="K337" s="1" t="str">
        <f>IFERROR(VLOOKUP($J337,Players!$D:$E,2,FALSE),VLOOKUP($G337,Players!A:E,5,FALSE))</f>
        <v>WR</v>
      </c>
    </row>
    <row r="338" ht="15.75" customHeight="1">
      <c r="A338" s="1">
        <v>2020.0</v>
      </c>
      <c r="B338" s="1" t="s">
        <v>36</v>
      </c>
      <c r="C338" s="1" t="s">
        <v>17</v>
      </c>
      <c r="D338" s="8">
        <v>3.0</v>
      </c>
      <c r="E338" s="8">
        <v>7.0</v>
      </c>
      <c r="F338" s="8">
        <v>83.0</v>
      </c>
      <c r="G338" s="1" t="s">
        <v>428</v>
      </c>
      <c r="H338" s="1" t="str">
        <f t="shared" si="1"/>
        <v>Josh</v>
      </c>
      <c r="I338" s="1" t="str">
        <f t="shared" si="2"/>
        <v>Allen</v>
      </c>
      <c r="J338" s="1" t="str">
        <f t="shared" si="3"/>
        <v>#N/A</v>
      </c>
      <c r="K338" s="1" t="str">
        <f>IFERROR(VLOOKUP($J338,Players!$D:$E,2,FALSE),VLOOKUP($G338,Players!A:E,5,FALSE))</f>
        <v>QB</v>
      </c>
    </row>
    <row r="339" ht="15.75" customHeight="1">
      <c r="A339" s="1">
        <v>2020.0</v>
      </c>
      <c r="B339" s="1" t="s">
        <v>36</v>
      </c>
      <c r="C339" s="1" t="s">
        <v>17</v>
      </c>
      <c r="D339" s="8">
        <v>3.0</v>
      </c>
      <c r="E339" s="8">
        <v>8.0</v>
      </c>
      <c r="F339" s="8">
        <v>86.0</v>
      </c>
      <c r="G339" s="1" t="s">
        <v>798</v>
      </c>
      <c r="H339" s="1" t="str">
        <f t="shared" si="1"/>
        <v>JK</v>
      </c>
      <c r="I339" s="1" t="str">
        <f t="shared" si="2"/>
        <v>Dobbins</v>
      </c>
      <c r="J339" s="1" t="str">
        <f t="shared" si="3"/>
        <v>#N/A</v>
      </c>
      <c r="K339" s="1" t="str">
        <f>IFERROR(VLOOKUP($J339,Players!$D:$E,2,FALSE),VLOOKUP($G339,Players!A:E,5,FALSE))</f>
        <v>RB</v>
      </c>
    </row>
    <row r="340" ht="15.75" customHeight="1">
      <c r="A340" s="1">
        <v>2020.0</v>
      </c>
      <c r="B340" s="1" t="s">
        <v>36</v>
      </c>
      <c r="C340" s="1" t="s">
        <v>17</v>
      </c>
      <c r="D340" s="8">
        <v>3.0</v>
      </c>
      <c r="E340" s="8">
        <v>9.0</v>
      </c>
      <c r="F340" s="8">
        <v>107.0</v>
      </c>
      <c r="G340" s="1" t="s">
        <v>766</v>
      </c>
      <c r="H340" s="1" t="str">
        <f t="shared" si="1"/>
        <v>#VALUE!</v>
      </c>
      <c r="I340" s="1" t="str">
        <f t="shared" si="2"/>
        <v>#VALUE!</v>
      </c>
      <c r="J340" s="1" t="str">
        <f t="shared" si="3"/>
        <v>#N/A</v>
      </c>
      <c r="K340" s="1" t="str">
        <f>IFERROR(VLOOKUP($J340,Players!$D:$E,2,FALSE),VLOOKUP($G340,Players!A:E,5,FALSE))</f>
        <v>DEF</v>
      </c>
    </row>
    <row r="341" ht="15.75" customHeight="1">
      <c r="A341" s="1">
        <v>2020.0</v>
      </c>
      <c r="B341" s="1" t="s">
        <v>36</v>
      </c>
      <c r="C341" s="1" t="s">
        <v>17</v>
      </c>
      <c r="D341" s="8">
        <v>3.0</v>
      </c>
      <c r="E341" s="8">
        <v>10.0</v>
      </c>
      <c r="F341" s="8">
        <v>110.0</v>
      </c>
      <c r="G341" s="1" t="s">
        <v>323</v>
      </c>
      <c r="H341" s="1" t="str">
        <f t="shared" si="1"/>
        <v>Harrison</v>
      </c>
      <c r="I341" s="1" t="str">
        <f t="shared" si="2"/>
        <v>Butker</v>
      </c>
      <c r="J341" s="1" t="str">
        <f t="shared" si="3"/>
        <v>#N/A</v>
      </c>
      <c r="K341" s="1" t="str">
        <f>IFERROR(VLOOKUP($J341,Players!$D:$E,2,FALSE),VLOOKUP($G341,Players!A:E,5,FALSE))</f>
        <v>K</v>
      </c>
    </row>
    <row r="342" ht="15.75" customHeight="1">
      <c r="A342" s="1">
        <v>2020.0</v>
      </c>
      <c r="B342" s="1" t="s">
        <v>36</v>
      </c>
      <c r="C342" s="1" t="s">
        <v>17</v>
      </c>
      <c r="D342" s="8">
        <v>3.0</v>
      </c>
      <c r="E342" s="8">
        <v>11.0</v>
      </c>
      <c r="F342" s="8">
        <v>131.0</v>
      </c>
      <c r="G342" s="1" t="s">
        <v>265</v>
      </c>
      <c r="H342" s="1" t="str">
        <f t="shared" si="1"/>
        <v>Darrell</v>
      </c>
      <c r="I342" s="1" t="str">
        <f t="shared" si="2"/>
        <v>Henderson Jr</v>
      </c>
      <c r="J342" s="1" t="str">
        <f t="shared" si="3"/>
        <v>#N/A</v>
      </c>
      <c r="K342" s="1" t="str">
        <f>IFERROR(VLOOKUP($J342,Players!$D:$E,2,FALSE),VLOOKUP($G342,Players!A:E,5,FALSE))</f>
        <v>#N/A</v>
      </c>
    </row>
    <row r="343" ht="15.75" customHeight="1">
      <c r="A343" s="1">
        <v>2020.0</v>
      </c>
      <c r="B343" s="1" t="s">
        <v>36</v>
      </c>
      <c r="C343" s="1" t="s">
        <v>17</v>
      </c>
      <c r="D343" s="8">
        <v>3.0</v>
      </c>
      <c r="E343" s="8">
        <v>12.0</v>
      </c>
      <c r="F343" s="8">
        <v>134.0</v>
      </c>
      <c r="G343" s="1" t="s">
        <v>251</v>
      </c>
      <c r="H343" s="1" t="str">
        <f t="shared" si="1"/>
        <v>Allen</v>
      </c>
      <c r="I343" s="1" t="str">
        <f t="shared" si="2"/>
        <v>Lazard</v>
      </c>
      <c r="J343" s="1" t="str">
        <f t="shared" si="3"/>
        <v>#N/A</v>
      </c>
      <c r="K343" s="1" t="str">
        <f>IFERROR(VLOOKUP($J343,Players!$D:$E,2,FALSE),VLOOKUP($G343,Players!A:E,5,FALSE))</f>
        <v>WR</v>
      </c>
    </row>
    <row r="344" ht="15.75" customHeight="1">
      <c r="A344" s="1">
        <v>2020.0</v>
      </c>
      <c r="B344" s="1" t="s">
        <v>36</v>
      </c>
      <c r="C344" s="1" t="s">
        <v>17</v>
      </c>
      <c r="D344" s="8">
        <v>3.0</v>
      </c>
      <c r="E344" s="8">
        <v>13.0</v>
      </c>
      <c r="F344" s="8">
        <v>155.0</v>
      </c>
      <c r="G344" s="1" t="s">
        <v>810</v>
      </c>
      <c r="H344" s="1" t="str">
        <f t="shared" si="1"/>
        <v>Daniel</v>
      </c>
      <c r="I344" s="1" t="str">
        <f t="shared" si="2"/>
        <v>Jones</v>
      </c>
      <c r="J344" s="1" t="str">
        <f t="shared" si="3"/>
        <v>#N/A</v>
      </c>
      <c r="K344" s="1" t="str">
        <f>IFERROR(VLOOKUP($J344,Players!$D:$E,2,FALSE),VLOOKUP($G344,Players!A:E,5,FALSE))</f>
        <v>QB</v>
      </c>
    </row>
    <row r="345" ht="15.75" customHeight="1">
      <c r="A345" s="1">
        <v>2020.0</v>
      </c>
      <c r="B345" s="1" t="s">
        <v>36</v>
      </c>
      <c r="C345" s="1" t="s">
        <v>17</v>
      </c>
      <c r="D345" s="8">
        <v>3.0</v>
      </c>
      <c r="E345" s="8">
        <v>14.0</v>
      </c>
      <c r="F345" s="8">
        <v>158.0</v>
      </c>
      <c r="G345" s="1" t="s">
        <v>320</v>
      </c>
      <c r="H345" s="1" t="str">
        <f t="shared" si="1"/>
        <v>Mike</v>
      </c>
      <c r="I345" s="1" t="str">
        <f t="shared" si="2"/>
        <v>Williams</v>
      </c>
      <c r="J345" s="1" t="str">
        <f t="shared" si="3"/>
        <v>#N/A</v>
      </c>
      <c r="K345" s="1" t="str">
        <f>IFERROR(VLOOKUP($J345,Players!$D:$E,2,FALSE),VLOOKUP($G345,Players!A:E,5,FALSE))</f>
        <v>WR</v>
      </c>
    </row>
    <row r="346" ht="15.75" customHeight="1">
      <c r="A346" s="1">
        <v>2020.0</v>
      </c>
      <c r="B346" s="1" t="s">
        <v>36</v>
      </c>
      <c r="C346" s="1" t="s">
        <v>17</v>
      </c>
      <c r="D346" s="8">
        <v>3.0</v>
      </c>
      <c r="E346" s="8">
        <v>15.0</v>
      </c>
      <c r="F346" s="8">
        <v>179.0</v>
      </c>
      <c r="G346" s="1" t="s">
        <v>812</v>
      </c>
      <c r="H346" s="1" t="str">
        <f t="shared" si="1"/>
        <v>Chris</v>
      </c>
      <c r="I346" s="1" t="str">
        <f t="shared" si="2"/>
        <v>Herndon</v>
      </c>
      <c r="J346" s="1" t="str">
        <f t="shared" si="3"/>
        <v>#N/A</v>
      </c>
      <c r="K346" s="1" t="str">
        <f>IFERROR(VLOOKUP($J346,Players!$D:$E,2,FALSE),VLOOKUP($G346,Players!A:E,5,FALSE))</f>
        <v>#N/A</v>
      </c>
    </row>
    <row r="347" ht="15.75" customHeight="1">
      <c r="A347" s="1">
        <v>2020.0</v>
      </c>
      <c r="B347" s="1" t="s">
        <v>35</v>
      </c>
      <c r="C347" s="1" t="s">
        <v>10</v>
      </c>
      <c r="D347" s="8">
        <v>9.0</v>
      </c>
      <c r="E347" s="8">
        <v>1.0</v>
      </c>
      <c r="F347" s="8">
        <v>12.0</v>
      </c>
      <c r="G347" s="1" t="s">
        <v>97</v>
      </c>
      <c r="H347" s="1" t="str">
        <f t="shared" si="1"/>
        <v>Josh</v>
      </c>
      <c r="I347" s="1" t="str">
        <f t="shared" si="2"/>
        <v>Jacobs</v>
      </c>
      <c r="J347" s="1" t="str">
        <f t="shared" si="3"/>
        <v>#N/A</v>
      </c>
      <c r="K347" s="1" t="str">
        <f>IFERROR(VLOOKUP($J347,Players!$D:$E,2,FALSE),VLOOKUP($G347,Players!A:E,5,FALSE))</f>
        <v>RB</v>
      </c>
    </row>
    <row r="348" ht="15.75" customHeight="1">
      <c r="A348" s="1">
        <v>2020.0</v>
      </c>
      <c r="B348" s="1" t="s">
        <v>35</v>
      </c>
      <c r="C348" s="1" t="s">
        <v>10</v>
      </c>
      <c r="D348" s="8">
        <v>9.0</v>
      </c>
      <c r="E348" s="8">
        <v>2.0</v>
      </c>
      <c r="F348" s="8">
        <v>13.0</v>
      </c>
      <c r="G348" s="1" t="s">
        <v>219</v>
      </c>
      <c r="H348" s="1" t="str">
        <f t="shared" si="1"/>
        <v>Miles</v>
      </c>
      <c r="I348" s="1" t="str">
        <f t="shared" si="2"/>
        <v>Sanders</v>
      </c>
      <c r="J348" s="1" t="str">
        <f t="shared" si="3"/>
        <v>#N/A</v>
      </c>
      <c r="K348" s="1" t="str">
        <f>IFERROR(VLOOKUP($J348,Players!$D:$E,2,FALSE),VLOOKUP($G348,Players!A:E,5,FALSE))</f>
        <v>RB</v>
      </c>
    </row>
    <row r="349" ht="15.75" customHeight="1">
      <c r="A349" s="1">
        <v>2020.0</v>
      </c>
      <c r="B349" s="1" t="s">
        <v>35</v>
      </c>
      <c r="C349" s="1" t="s">
        <v>10</v>
      </c>
      <c r="D349" s="8">
        <v>9.0</v>
      </c>
      <c r="E349" s="8">
        <v>3.0</v>
      </c>
      <c r="F349" s="8">
        <v>36.0</v>
      </c>
      <c r="G349" s="1" t="s">
        <v>435</v>
      </c>
      <c r="H349" s="1" t="str">
        <f t="shared" si="1"/>
        <v>JuJu</v>
      </c>
      <c r="I349" s="1" t="str">
        <f t="shared" si="2"/>
        <v>Smith-Schuster</v>
      </c>
      <c r="J349" s="1" t="str">
        <f t="shared" si="3"/>
        <v>#N/A</v>
      </c>
      <c r="K349" s="1" t="str">
        <f>IFERROR(VLOOKUP($J349,Players!$D:$E,2,FALSE),VLOOKUP($G349,Players!A:E,5,FALSE))</f>
        <v>WR</v>
      </c>
    </row>
    <row r="350" ht="15.75" customHeight="1">
      <c r="A350" s="1">
        <v>2020.0</v>
      </c>
      <c r="B350" s="1" t="s">
        <v>35</v>
      </c>
      <c r="C350" s="1" t="s">
        <v>10</v>
      </c>
      <c r="D350" s="8">
        <v>9.0</v>
      </c>
      <c r="E350" s="8">
        <v>4.0</v>
      </c>
      <c r="F350" s="8">
        <v>37.0</v>
      </c>
      <c r="G350" s="1" t="s">
        <v>819</v>
      </c>
      <c r="H350" s="1" t="str">
        <f t="shared" si="1"/>
        <v>Zach</v>
      </c>
      <c r="I350" s="1" t="str">
        <f t="shared" si="2"/>
        <v>Ertz</v>
      </c>
      <c r="J350" s="1" t="str">
        <f t="shared" si="3"/>
        <v>#N/A</v>
      </c>
      <c r="K350" s="1" t="str">
        <f>IFERROR(VLOOKUP($J350,Players!$D:$E,2,FALSE),VLOOKUP($G350,Players!A:E,5,FALSE))</f>
        <v>TE</v>
      </c>
    </row>
    <row r="351" ht="15.75" customHeight="1">
      <c r="A351" s="1">
        <v>2020.0</v>
      </c>
      <c r="B351" s="1" t="s">
        <v>35</v>
      </c>
      <c r="C351" s="1" t="s">
        <v>10</v>
      </c>
      <c r="D351" s="8">
        <v>9.0</v>
      </c>
      <c r="E351" s="8">
        <v>5.0</v>
      </c>
      <c r="F351" s="8">
        <v>60.0</v>
      </c>
      <c r="G351" s="1" t="s">
        <v>113</v>
      </c>
      <c r="H351" s="1" t="str">
        <f t="shared" si="1"/>
        <v>Kareem</v>
      </c>
      <c r="I351" s="1" t="str">
        <f t="shared" si="2"/>
        <v>Hunt</v>
      </c>
      <c r="J351" s="1" t="str">
        <f t="shared" si="3"/>
        <v>#N/A</v>
      </c>
      <c r="K351" s="1" t="str">
        <f>IFERROR(VLOOKUP($J351,Players!$D:$E,2,FALSE),VLOOKUP($G351,Players!A:E,5,FALSE))</f>
        <v>RB</v>
      </c>
    </row>
    <row r="352" ht="15.75" customHeight="1">
      <c r="A352" s="1">
        <v>2020.0</v>
      </c>
      <c r="B352" s="1" t="s">
        <v>35</v>
      </c>
      <c r="C352" s="1" t="s">
        <v>10</v>
      </c>
      <c r="D352" s="8">
        <v>9.0</v>
      </c>
      <c r="E352" s="8">
        <v>6.0</v>
      </c>
      <c r="F352" s="8">
        <v>61.0</v>
      </c>
      <c r="G352" s="1" t="s">
        <v>822</v>
      </c>
      <c r="H352" s="1" t="str">
        <f t="shared" si="1"/>
        <v>TY</v>
      </c>
      <c r="I352" s="1" t="str">
        <f t="shared" si="2"/>
        <v>Hilton</v>
      </c>
      <c r="J352" s="1" t="str">
        <f t="shared" si="3"/>
        <v>#N/A</v>
      </c>
      <c r="K352" s="1" t="str">
        <f>IFERROR(VLOOKUP($J352,Players!$D:$E,2,FALSE),VLOOKUP($G352,Players!A:E,5,FALSE))</f>
        <v>WR</v>
      </c>
    </row>
    <row r="353" ht="15.75" customHeight="1">
      <c r="A353" s="1">
        <v>2020.0</v>
      </c>
      <c r="B353" s="1" t="s">
        <v>35</v>
      </c>
      <c r="C353" s="1" t="s">
        <v>10</v>
      </c>
      <c r="D353" s="8">
        <v>9.0</v>
      </c>
      <c r="E353" s="8">
        <v>7.0</v>
      </c>
      <c r="F353" s="8">
        <v>84.0</v>
      </c>
      <c r="G353" s="1" t="s">
        <v>148</v>
      </c>
      <c r="H353" s="1" t="str">
        <f t="shared" si="1"/>
        <v>Zack</v>
      </c>
      <c r="I353" s="1" t="str">
        <f t="shared" si="2"/>
        <v>Moss</v>
      </c>
      <c r="J353" s="1" t="str">
        <f t="shared" si="3"/>
        <v>#N/A</v>
      </c>
      <c r="K353" s="1" t="str">
        <f>IFERROR(VLOOKUP($J353,Players!$D:$E,2,FALSE),VLOOKUP($G353,Players!A:E,5,FALSE))</f>
        <v>RB</v>
      </c>
    </row>
    <row r="354" ht="15.75" customHeight="1">
      <c r="A354" s="1">
        <v>2020.0</v>
      </c>
      <c r="B354" s="1" t="s">
        <v>35</v>
      </c>
      <c r="C354" s="1" t="s">
        <v>10</v>
      </c>
      <c r="D354" s="8">
        <v>9.0</v>
      </c>
      <c r="E354" s="8">
        <v>8.0</v>
      </c>
      <c r="F354" s="8">
        <v>85.0</v>
      </c>
      <c r="G354" s="1" t="s">
        <v>98</v>
      </c>
      <c r="H354" s="1" t="str">
        <f t="shared" si="1"/>
        <v>Deebo</v>
      </c>
      <c r="I354" s="1" t="str">
        <f t="shared" si="2"/>
        <v>Samuel</v>
      </c>
      <c r="J354" s="1" t="str">
        <f t="shared" si="3"/>
        <v>#N/A</v>
      </c>
      <c r="K354" s="1" t="str">
        <f>IFERROR(VLOOKUP($J354,Players!$D:$E,2,FALSE),VLOOKUP($G354,Players!A:E,5,FALSE))</f>
        <v>WR</v>
      </c>
    </row>
    <row r="355" ht="15.75" customHeight="1">
      <c r="A355" s="1">
        <v>2020.0</v>
      </c>
      <c r="B355" s="1" t="s">
        <v>35</v>
      </c>
      <c r="C355" s="1" t="s">
        <v>10</v>
      </c>
      <c r="D355" s="8">
        <v>9.0</v>
      </c>
      <c r="E355" s="8">
        <v>9.0</v>
      </c>
      <c r="F355" s="8">
        <v>108.0</v>
      </c>
      <c r="G355" s="1" t="s">
        <v>267</v>
      </c>
      <c r="H355" s="1" t="str">
        <f t="shared" si="1"/>
        <v>Tom</v>
      </c>
      <c r="I355" s="1" t="str">
        <f t="shared" si="2"/>
        <v>Brady</v>
      </c>
      <c r="J355" s="1" t="str">
        <f t="shared" si="3"/>
        <v>#N/A</v>
      </c>
      <c r="K355" s="1" t="str">
        <f>IFERROR(VLOOKUP($J355,Players!$D:$E,2,FALSE),VLOOKUP($G355,Players!A:E,5,FALSE))</f>
        <v>QB</v>
      </c>
    </row>
    <row r="356" ht="15.75" customHeight="1">
      <c r="A356" s="1">
        <v>2020.0</v>
      </c>
      <c r="B356" s="1" t="s">
        <v>35</v>
      </c>
      <c r="C356" s="1" t="s">
        <v>10</v>
      </c>
      <c r="D356" s="8">
        <v>9.0</v>
      </c>
      <c r="E356" s="8">
        <v>10.0</v>
      </c>
      <c r="F356" s="8">
        <v>109.0</v>
      </c>
      <c r="G356" s="1" t="s">
        <v>830</v>
      </c>
      <c r="H356" s="1" t="str">
        <f t="shared" si="1"/>
        <v>Hayden</v>
      </c>
      <c r="I356" s="1" t="str">
        <f t="shared" si="2"/>
        <v>Hurst</v>
      </c>
      <c r="J356" s="1" t="str">
        <f t="shared" si="3"/>
        <v>#N/A</v>
      </c>
      <c r="K356" s="1" t="str">
        <f>IFERROR(VLOOKUP($J356,Players!$D:$E,2,FALSE),VLOOKUP($G356,Players!A:E,5,FALSE))</f>
        <v>TE</v>
      </c>
    </row>
    <row r="357" ht="15.75" customHeight="1">
      <c r="A357" s="1">
        <v>2020.0</v>
      </c>
      <c r="B357" s="1" t="s">
        <v>35</v>
      </c>
      <c r="C357" s="1" t="s">
        <v>10</v>
      </c>
      <c r="D357" s="8">
        <v>9.0</v>
      </c>
      <c r="E357" s="8">
        <v>11.0</v>
      </c>
      <c r="F357" s="8">
        <v>132.0</v>
      </c>
      <c r="G357" s="1" t="s">
        <v>818</v>
      </c>
      <c r="H357" s="1" t="str">
        <f t="shared" si="1"/>
        <v>Christian</v>
      </c>
      <c r="I357" s="1" t="str">
        <f t="shared" si="2"/>
        <v>Kirk</v>
      </c>
      <c r="J357" s="1" t="str">
        <f t="shared" si="3"/>
        <v>#N/A</v>
      </c>
      <c r="K357" s="1" t="str">
        <f>IFERROR(VLOOKUP($J357,Players!$D:$E,2,FALSE),VLOOKUP($G357,Players!A:E,5,FALSE))</f>
        <v>WR</v>
      </c>
    </row>
    <row r="358" ht="15.75" customHeight="1">
      <c r="A358" s="1">
        <v>2020.0</v>
      </c>
      <c r="B358" s="1" t="s">
        <v>35</v>
      </c>
      <c r="C358" s="1" t="s">
        <v>10</v>
      </c>
      <c r="D358" s="8">
        <v>9.0</v>
      </c>
      <c r="E358" s="8">
        <v>12.0</v>
      </c>
      <c r="F358" s="8">
        <v>133.0</v>
      </c>
      <c r="G358" s="1" t="s">
        <v>407</v>
      </c>
      <c r="H358" s="1" t="str">
        <f t="shared" si="1"/>
        <v>#VALUE!</v>
      </c>
      <c r="I358" s="1" t="str">
        <f t="shared" si="2"/>
        <v>#VALUE!</v>
      </c>
      <c r="J358" s="1" t="str">
        <f t="shared" si="3"/>
        <v>#N/A</v>
      </c>
      <c r="K358" s="1" t="str">
        <f>IFERROR(VLOOKUP($J358,Players!$D:$E,2,FALSE),VLOOKUP($G358,Players!A:E,5,FALSE))</f>
        <v>DEF</v>
      </c>
    </row>
    <row r="359" ht="15.75" customHeight="1">
      <c r="A359" s="1">
        <v>2020.0</v>
      </c>
      <c r="B359" s="1" t="s">
        <v>35</v>
      </c>
      <c r="C359" s="1" t="s">
        <v>10</v>
      </c>
      <c r="D359" s="8">
        <v>9.0</v>
      </c>
      <c r="E359" s="8">
        <v>13.0</v>
      </c>
      <c r="F359" s="8">
        <v>156.0</v>
      </c>
      <c r="G359" s="1" t="s">
        <v>504</v>
      </c>
      <c r="H359" s="1" t="str">
        <f t="shared" si="1"/>
        <v>Boston</v>
      </c>
      <c r="I359" s="1" t="str">
        <f t="shared" si="2"/>
        <v>Scott</v>
      </c>
      <c r="J359" s="1" t="str">
        <f t="shared" si="3"/>
        <v>#N/A</v>
      </c>
      <c r="K359" s="1" t="str">
        <f>IFERROR(VLOOKUP($J359,Players!$D:$E,2,FALSE),VLOOKUP($G359,Players!A:E,5,FALSE))</f>
        <v>RB</v>
      </c>
    </row>
    <row r="360" ht="15.75" customHeight="1">
      <c r="A360" s="1">
        <v>2020.0</v>
      </c>
      <c r="B360" s="1" t="s">
        <v>35</v>
      </c>
      <c r="C360" s="1" t="s">
        <v>10</v>
      </c>
      <c r="D360" s="8">
        <v>9.0</v>
      </c>
      <c r="E360" s="8">
        <v>14.0</v>
      </c>
      <c r="F360" s="8">
        <v>157.0</v>
      </c>
      <c r="G360" s="1" t="s">
        <v>835</v>
      </c>
      <c r="H360" s="1" t="str">
        <f t="shared" si="1"/>
        <v>Sammy</v>
      </c>
      <c r="I360" s="1" t="str">
        <f t="shared" si="2"/>
        <v>Watkins</v>
      </c>
      <c r="J360" s="1" t="str">
        <f t="shared" si="3"/>
        <v>#N/A</v>
      </c>
      <c r="K360" s="1" t="str">
        <f>IFERROR(VLOOKUP($J360,Players!$D:$E,2,FALSE),VLOOKUP($G360,Players!A:E,5,FALSE))</f>
        <v>WR</v>
      </c>
    </row>
    <row r="361" ht="15.75" customHeight="1">
      <c r="A361" s="1">
        <v>2020.0</v>
      </c>
      <c r="B361" s="1" t="s">
        <v>35</v>
      </c>
      <c r="C361" s="1" t="s">
        <v>10</v>
      </c>
      <c r="D361" s="8">
        <v>9.0</v>
      </c>
      <c r="E361" s="8">
        <v>15.0</v>
      </c>
      <c r="F361" s="8">
        <v>180.0</v>
      </c>
      <c r="G361" s="1" t="s">
        <v>249</v>
      </c>
      <c r="H361" s="1" t="str">
        <f t="shared" si="1"/>
        <v>Younghoe</v>
      </c>
      <c r="I361" s="1" t="str">
        <f t="shared" si="2"/>
        <v>Koo</v>
      </c>
      <c r="J361" s="1" t="str">
        <f t="shared" si="3"/>
        <v>#N/A</v>
      </c>
      <c r="K361" s="1" t="str">
        <f>IFERROR(VLOOKUP($J361,Players!$D:$E,2,FALSE),VLOOKUP($G361,Players!A:E,5,FALSE))</f>
        <v>K</v>
      </c>
    </row>
    <row r="362" ht="15.75" customHeight="1">
      <c r="A362" s="1">
        <v>2019.0</v>
      </c>
      <c r="B362" s="1" t="s">
        <v>32</v>
      </c>
      <c r="C362" s="1" t="s">
        <v>25</v>
      </c>
      <c r="D362" s="8">
        <v>3.0</v>
      </c>
      <c r="E362" s="8">
        <v>1.0</v>
      </c>
      <c r="F362" s="8">
        <v>7.0</v>
      </c>
      <c r="G362" s="1" t="s">
        <v>85</v>
      </c>
      <c r="H362" s="1" t="str">
        <f t="shared" si="1"/>
        <v>James</v>
      </c>
      <c r="I362" s="1" t="str">
        <f t="shared" si="2"/>
        <v>Conner</v>
      </c>
      <c r="J362" s="1" t="str">
        <f t="shared" si="3"/>
        <v>#N/A</v>
      </c>
      <c r="K362" s="1" t="str">
        <f>IFERROR(VLOOKUP($J362,Players!$D:$E,2,FALSE),VLOOKUP($G362,Players!A:E,5,FALSE))</f>
        <v>RB</v>
      </c>
    </row>
    <row r="363" ht="15.75" customHeight="1">
      <c r="A363" s="1">
        <v>2019.0</v>
      </c>
      <c r="B363" s="1" t="s">
        <v>32</v>
      </c>
      <c r="C363" s="1" t="s">
        <v>25</v>
      </c>
      <c r="D363" s="8">
        <v>3.0</v>
      </c>
      <c r="E363" s="8">
        <v>2.0</v>
      </c>
      <c r="F363" s="8">
        <v>18.0</v>
      </c>
      <c r="G363" s="1" t="s">
        <v>339</v>
      </c>
      <c r="H363" s="1" t="str">
        <f t="shared" si="1"/>
        <v>Tyreek</v>
      </c>
      <c r="I363" s="1" t="str">
        <f t="shared" si="2"/>
        <v>Hill</v>
      </c>
      <c r="J363" s="1" t="str">
        <f t="shared" si="3"/>
        <v>#N/A</v>
      </c>
      <c r="K363" s="1" t="str">
        <f>IFERROR(VLOOKUP($J363,Players!$D:$E,2,FALSE),VLOOKUP($G363,Players!A:E,5,FALSE))</f>
        <v>WR</v>
      </c>
    </row>
    <row r="364" ht="15.75" customHeight="1">
      <c r="A364" s="1">
        <v>2019.0</v>
      </c>
      <c r="B364" s="1" t="s">
        <v>32</v>
      </c>
      <c r="C364" s="1" t="s">
        <v>25</v>
      </c>
      <c r="D364" s="8">
        <v>3.0</v>
      </c>
      <c r="E364" s="8">
        <v>3.0</v>
      </c>
      <c r="F364" s="8">
        <v>31.0</v>
      </c>
      <c r="G364" s="1" t="s">
        <v>618</v>
      </c>
      <c r="H364" s="1" t="str">
        <f t="shared" si="1"/>
        <v>Julian</v>
      </c>
      <c r="I364" s="1" t="str">
        <f t="shared" si="2"/>
        <v>Edelman</v>
      </c>
      <c r="J364" s="1" t="str">
        <f t="shared" si="3"/>
        <v>#N/A</v>
      </c>
      <c r="K364" s="1" t="str">
        <f>IFERROR(VLOOKUP($J364,Players!$D:$E,2,FALSE),VLOOKUP($G364,Players!A:E,5,FALSE))</f>
        <v>WR</v>
      </c>
    </row>
    <row r="365" ht="15.75" customHeight="1">
      <c r="A365" s="1">
        <v>2019.0</v>
      </c>
      <c r="B365" s="1" t="s">
        <v>32</v>
      </c>
      <c r="C365" s="1" t="s">
        <v>25</v>
      </c>
      <c r="D365" s="8">
        <v>3.0</v>
      </c>
      <c r="E365" s="8">
        <v>4.0</v>
      </c>
      <c r="F365" s="8">
        <v>42.0</v>
      </c>
      <c r="G365" s="1" t="s">
        <v>841</v>
      </c>
      <c r="H365" s="1" t="str">
        <f t="shared" si="1"/>
        <v>Devonta</v>
      </c>
      <c r="I365" s="1" t="str">
        <f t="shared" si="2"/>
        <v>Freeman</v>
      </c>
      <c r="J365" s="1" t="str">
        <f t="shared" si="3"/>
        <v>#N/A</v>
      </c>
      <c r="K365" s="1" t="str">
        <f>IFERROR(VLOOKUP($J365,Players!$D:$E,2,FALSE),VLOOKUP($G365,Players!A:E,5,FALSE))</f>
        <v>RB</v>
      </c>
    </row>
    <row r="366" ht="15.75" customHeight="1">
      <c r="A366" s="1">
        <v>2019.0</v>
      </c>
      <c r="B366" s="1" t="s">
        <v>32</v>
      </c>
      <c r="C366" s="1" t="s">
        <v>25</v>
      </c>
      <c r="D366" s="8">
        <v>3.0</v>
      </c>
      <c r="E366" s="8">
        <v>5.0</v>
      </c>
      <c r="F366" s="8">
        <v>55.0</v>
      </c>
      <c r="G366" s="1" t="s">
        <v>498</v>
      </c>
      <c r="H366" s="1" t="str">
        <f t="shared" si="1"/>
        <v>Duke</v>
      </c>
      <c r="I366" s="1" t="str">
        <f t="shared" si="2"/>
        <v>Johnson</v>
      </c>
      <c r="J366" s="1" t="str">
        <f t="shared" si="3"/>
        <v>#N/A</v>
      </c>
      <c r="K366" s="1" t="str">
        <f>IFERROR(VLOOKUP($J366,Players!$D:$E,2,FALSE),VLOOKUP($G366,Players!A:E,5,FALSE))</f>
        <v>RB</v>
      </c>
    </row>
    <row r="367" ht="15.75" customHeight="1">
      <c r="A367" s="1">
        <v>2019.0</v>
      </c>
      <c r="B367" s="1" t="s">
        <v>32</v>
      </c>
      <c r="C367" s="1" t="s">
        <v>25</v>
      </c>
      <c r="D367" s="8">
        <v>3.0</v>
      </c>
      <c r="E367" s="8">
        <v>6.0</v>
      </c>
      <c r="F367" s="8">
        <v>66.0</v>
      </c>
      <c r="G367" s="1" t="s">
        <v>111</v>
      </c>
      <c r="H367" s="1" t="str">
        <f t="shared" si="1"/>
        <v>DJ</v>
      </c>
      <c r="I367" s="1" t="str">
        <f t="shared" si="2"/>
        <v>Moore</v>
      </c>
      <c r="J367" s="1" t="str">
        <f t="shared" si="3"/>
        <v>#N/A</v>
      </c>
      <c r="K367" s="1" t="str">
        <f>IFERROR(VLOOKUP($J367,Players!$D:$E,2,FALSE),VLOOKUP($G367,Players!A:E,5,FALSE))</f>
        <v>#N/A</v>
      </c>
    </row>
    <row r="368" ht="15.75" customHeight="1">
      <c r="A368" s="1">
        <v>2019.0</v>
      </c>
      <c r="B368" s="1" t="s">
        <v>32</v>
      </c>
      <c r="C368" s="1" t="s">
        <v>25</v>
      </c>
      <c r="D368" s="8">
        <v>3.0</v>
      </c>
      <c r="E368" s="8">
        <v>7.0</v>
      </c>
      <c r="F368" s="8">
        <v>79.0</v>
      </c>
      <c r="G368" s="1" t="s">
        <v>741</v>
      </c>
      <c r="H368" s="1" t="str">
        <f t="shared" si="1"/>
        <v>Emmanuel</v>
      </c>
      <c r="I368" s="1" t="str">
        <f t="shared" si="2"/>
        <v>Sanders</v>
      </c>
      <c r="J368" s="1" t="str">
        <f t="shared" si="3"/>
        <v>#N/A</v>
      </c>
      <c r="K368" s="1" t="str">
        <f>IFERROR(VLOOKUP($J368,Players!$D:$E,2,FALSE),VLOOKUP($G368,Players!A:E,5,FALSE))</f>
        <v>WR</v>
      </c>
    </row>
    <row r="369" ht="15.75" customHeight="1">
      <c r="A369" s="1">
        <v>2019.0</v>
      </c>
      <c r="B369" s="1" t="s">
        <v>32</v>
      </c>
      <c r="C369" s="1" t="s">
        <v>25</v>
      </c>
      <c r="D369" s="8">
        <v>3.0</v>
      </c>
      <c r="E369" s="8">
        <v>8.0</v>
      </c>
      <c r="F369" s="8">
        <v>90.0</v>
      </c>
      <c r="G369" s="1" t="s">
        <v>714</v>
      </c>
      <c r="H369" s="1" t="str">
        <f t="shared" si="1"/>
        <v>Drew</v>
      </c>
      <c r="I369" s="1" t="str">
        <f t="shared" si="2"/>
        <v>Brees</v>
      </c>
      <c r="J369" s="1" t="str">
        <f t="shared" si="3"/>
        <v>#N/A</v>
      </c>
      <c r="K369" s="1" t="str">
        <f>IFERROR(VLOOKUP($J369,Players!$D:$E,2,FALSE),VLOOKUP($G369,Players!A:E,5,FALSE))</f>
        <v>QB</v>
      </c>
    </row>
    <row r="370" ht="15.75" customHeight="1">
      <c r="A370" s="1">
        <v>2019.0</v>
      </c>
      <c r="B370" s="1" t="s">
        <v>32</v>
      </c>
      <c r="C370" s="1" t="s">
        <v>25</v>
      </c>
      <c r="D370" s="8">
        <v>3.0</v>
      </c>
      <c r="E370" s="8">
        <v>9.0</v>
      </c>
      <c r="F370" s="8">
        <v>103.0</v>
      </c>
      <c r="G370" s="1" t="s">
        <v>766</v>
      </c>
      <c r="H370" s="1" t="str">
        <f t="shared" si="1"/>
        <v>#VALUE!</v>
      </c>
      <c r="I370" s="1" t="str">
        <f t="shared" si="2"/>
        <v>#VALUE!</v>
      </c>
      <c r="J370" s="1" t="str">
        <f t="shared" si="3"/>
        <v>#N/A</v>
      </c>
      <c r="K370" s="1" t="str">
        <f>IFERROR(VLOOKUP($J370,Players!$D:$E,2,FALSE),VLOOKUP($G370,Players!A:E,5,FALSE))</f>
        <v>DEF</v>
      </c>
    </row>
    <row r="371" ht="15.75" customHeight="1">
      <c r="A371" s="1">
        <v>2019.0</v>
      </c>
      <c r="B371" s="1" t="s">
        <v>32</v>
      </c>
      <c r="C371" s="1" t="s">
        <v>25</v>
      </c>
      <c r="D371" s="8">
        <v>3.0</v>
      </c>
      <c r="E371" s="8">
        <v>10.0</v>
      </c>
      <c r="F371" s="8">
        <v>114.0</v>
      </c>
      <c r="G371" s="1" t="s">
        <v>854</v>
      </c>
      <c r="H371" s="1" t="str">
        <f t="shared" si="1"/>
        <v>Trey</v>
      </c>
      <c r="I371" s="1" t="str">
        <f t="shared" si="2"/>
        <v>Burton</v>
      </c>
      <c r="J371" s="1" t="str">
        <f t="shared" si="3"/>
        <v>#N/A</v>
      </c>
      <c r="K371" s="1" t="str">
        <f>IFERROR(VLOOKUP($J371,Players!$D:$E,2,FALSE),VLOOKUP($G371,Players!A:E,5,FALSE))</f>
        <v>TE</v>
      </c>
    </row>
    <row r="372" ht="15.75" customHeight="1">
      <c r="A372" s="1">
        <v>2019.0</v>
      </c>
      <c r="B372" s="1" t="s">
        <v>32</v>
      </c>
      <c r="C372" s="1" t="s">
        <v>25</v>
      </c>
      <c r="D372" s="8">
        <v>3.0</v>
      </c>
      <c r="E372" s="8">
        <v>11.0</v>
      </c>
      <c r="F372" s="8">
        <v>127.0</v>
      </c>
      <c r="G372" s="1" t="s">
        <v>857</v>
      </c>
      <c r="H372" s="1" t="str">
        <f t="shared" si="1"/>
        <v>Ito</v>
      </c>
      <c r="I372" s="1" t="str">
        <f t="shared" si="2"/>
        <v>Smith</v>
      </c>
      <c r="J372" s="1" t="str">
        <f t="shared" si="3"/>
        <v>#N/A</v>
      </c>
      <c r="K372" s="1" t="str">
        <f>IFERROR(VLOOKUP($J372,Players!$D:$E,2,FALSE),VLOOKUP($G372,Players!A:E,5,FALSE))</f>
        <v>RB</v>
      </c>
    </row>
    <row r="373" ht="15.75" customHeight="1">
      <c r="A373" s="1">
        <v>2019.0</v>
      </c>
      <c r="B373" s="1" t="s">
        <v>32</v>
      </c>
      <c r="C373" s="1" t="s">
        <v>25</v>
      </c>
      <c r="D373" s="8">
        <v>3.0</v>
      </c>
      <c r="E373" s="8">
        <v>12.0</v>
      </c>
      <c r="F373" s="8">
        <v>138.0</v>
      </c>
      <c r="G373" s="1" t="s">
        <v>288</v>
      </c>
      <c r="H373" s="1" t="str">
        <f t="shared" si="1"/>
        <v>Greg</v>
      </c>
      <c r="I373" s="1" t="str">
        <f t="shared" si="2"/>
        <v>Zuerlein</v>
      </c>
      <c r="J373" s="1" t="str">
        <f t="shared" si="3"/>
        <v>#N/A</v>
      </c>
      <c r="K373" s="1" t="str">
        <f>IFERROR(VLOOKUP($J373,Players!$D:$E,2,FALSE),VLOOKUP($G373,Players!A:E,5,FALSE))</f>
        <v>K</v>
      </c>
    </row>
    <row r="374" ht="15.75" customHeight="1">
      <c r="A374" s="1">
        <v>2019.0</v>
      </c>
      <c r="B374" s="1" t="s">
        <v>32</v>
      </c>
      <c r="C374" s="1" t="s">
        <v>25</v>
      </c>
      <c r="D374" s="8">
        <v>3.0</v>
      </c>
      <c r="E374" s="8">
        <v>13.0</v>
      </c>
      <c r="F374" s="8">
        <v>151.0</v>
      </c>
      <c r="G374" s="1" t="s">
        <v>862</v>
      </c>
      <c r="H374" s="1" t="str">
        <f t="shared" si="1"/>
        <v>Philip</v>
      </c>
      <c r="I374" s="1" t="str">
        <f t="shared" si="2"/>
        <v>Rivers</v>
      </c>
      <c r="J374" s="1" t="str">
        <f t="shared" si="3"/>
        <v>#N/A</v>
      </c>
      <c r="K374" s="1" t="str">
        <f>IFERROR(VLOOKUP($J374,Players!$D:$E,2,FALSE),VLOOKUP($G374,Players!A:E,5,FALSE))</f>
        <v>QB</v>
      </c>
    </row>
    <row r="375" ht="15.75" customHeight="1">
      <c r="A375" s="1">
        <v>2019.0</v>
      </c>
      <c r="B375" s="1" t="s">
        <v>32</v>
      </c>
      <c r="C375" s="1" t="s">
        <v>25</v>
      </c>
      <c r="D375" s="8">
        <v>3.0</v>
      </c>
      <c r="E375" s="8">
        <v>14.0</v>
      </c>
      <c r="F375" s="8">
        <v>162.0</v>
      </c>
      <c r="G375" s="1" t="s">
        <v>864</v>
      </c>
      <c r="H375" s="1" t="str">
        <f t="shared" si="1"/>
        <v>Mohamed</v>
      </c>
      <c r="I375" s="1" t="str">
        <f t="shared" si="2"/>
        <v>Sanu Sr</v>
      </c>
      <c r="J375" s="1" t="str">
        <f t="shared" si="3"/>
        <v>#N/A</v>
      </c>
      <c r="K375" s="1" t="str">
        <f>IFERROR(VLOOKUP($J375,Players!$D:$E,2,FALSE),VLOOKUP($G375,Players!A:E,5,FALSE))</f>
        <v>#N/A</v>
      </c>
    </row>
    <row r="376" ht="15.75" customHeight="1">
      <c r="A376" s="1">
        <v>2019.0</v>
      </c>
      <c r="B376" s="1" t="s">
        <v>32</v>
      </c>
      <c r="C376" s="1" t="s">
        <v>25</v>
      </c>
      <c r="D376" s="8">
        <v>3.0</v>
      </c>
      <c r="E376" s="8">
        <v>15.0</v>
      </c>
      <c r="F376" s="8">
        <v>175.0</v>
      </c>
      <c r="G376" s="1" t="s">
        <v>867</v>
      </c>
      <c r="H376" s="1" t="str">
        <f t="shared" si="1"/>
        <v>Mark</v>
      </c>
      <c r="I376" s="1" t="str">
        <f t="shared" si="2"/>
        <v>Andrews</v>
      </c>
      <c r="J376" s="1" t="str">
        <f t="shared" si="3"/>
        <v>#N/A</v>
      </c>
      <c r="K376" s="1" t="str">
        <f>IFERROR(VLOOKUP($J376,Players!$D:$E,2,FALSE),VLOOKUP($G376,Players!A:E,5,FALSE))</f>
        <v>#N/A</v>
      </c>
    </row>
    <row r="377" ht="15.75" customHeight="1">
      <c r="A377" s="1">
        <v>2019.0</v>
      </c>
      <c r="B377" s="1" t="s">
        <v>21</v>
      </c>
      <c r="C377" s="1" t="s">
        <v>22</v>
      </c>
      <c r="D377" s="8">
        <v>5.0</v>
      </c>
      <c r="E377" s="8">
        <v>1.0</v>
      </c>
      <c r="F377" s="8">
        <v>6.0</v>
      </c>
      <c r="G377" s="1" t="s">
        <v>133</v>
      </c>
      <c r="H377" s="1" t="str">
        <f t="shared" si="1"/>
        <v>David</v>
      </c>
      <c r="I377" s="1" t="str">
        <f t="shared" si="2"/>
        <v>Johnson</v>
      </c>
      <c r="J377" s="1" t="str">
        <f t="shared" si="3"/>
        <v>#N/A</v>
      </c>
      <c r="K377" s="1" t="str">
        <f>IFERROR(VLOOKUP($J377,Players!$D:$E,2,FALSE),VLOOKUP($G377,Players!A:E,5,FALSE))</f>
        <v>RB</v>
      </c>
    </row>
    <row r="378" ht="15.75" customHeight="1">
      <c r="A378" s="1">
        <v>2019.0</v>
      </c>
      <c r="B378" s="1" t="s">
        <v>21</v>
      </c>
      <c r="C378" s="1" t="s">
        <v>22</v>
      </c>
      <c r="D378" s="8">
        <v>5.0</v>
      </c>
      <c r="E378" s="8">
        <v>2.0</v>
      </c>
      <c r="F378" s="8">
        <v>19.0</v>
      </c>
      <c r="G378" s="1" t="s">
        <v>110</v>
      </c>
      <c r="H378" s="1" t="str">
        <f t="shared" si="1"/>
        <v>Patrick</v>
      </c>
      <c r="I378" s="1" t="str">
        <f t="shared" si="2"/>
        <v>Mahomes</v>
      </c>
      <c r="J378" s="1" t="str">
        <f t="shared" si="3"/>
        <v>#N/A</v>
      </c>
      <c r="K378" s="1" t="str">
        <f>IFERROR(VLOOKUP($J378,Players!$D:$E,2,FALSE),VLOOKUP($G378,Players!A:E,5,FALSE))</f>
        <v>QB</v>
      </c>
    </row>
    <row r="379" ht="15.75" customHeight="1">
      <c r="A379" s="1">
        <v>2019.0</v>
      </c>
      <c r="B379" s="1" t="s">
        <v>21</v>
      </c>
      <c r="C379" s="1" t="s">
        <v>22</v>
      </c>
      <c r="D379" s="8">
        <v>5.0</v>
      </c>
      <c r="E379" s="8">
        <v>3.0</v>
      </c>
      <c r="F379" s="8">
        <v>30.0</v>
      </c>
      <c r="G379" s="1" t="s">
        <v>402</v>
      </c>
      <c r="H379" s="1" t="str">
        <f t="shared" si="1"/>
        <v>Leonard</v>
      </c>
      <c r="I379" s="1" t="str">
        <f t="shared" si="2"/>
        <v>Fournette</v>
      </c>
      <c r="J379" s="1" t="str">
        <f t="shared" si="3"/>
        <v>#N/A</v>
      </c>
      <c r="K379" s="1" t="str">
        <f>IFERROR(VLOOKUP($J379,Players!$D:$E,2,FALSE),VLOOKUP($G379,Players!A:E,5,FALSE))</f>
        <v>RB</v>
      </c>
    </row>
    <row r="380" ht="15.75" customHeight="1">
      <c r="A380" s="1">
        <v>2019.0</v>
      </c>
      <c r="B380" s="1" t="s">
        <v>21</v>
      </c>
      <c r="C380" s="1" t="s">
        <v>22</v>
      </c>
      <c r="D380" s="8">
        <v>5.0</v>
      </c>
      <c r="E380" s="8">
        <v>4.0</v>
      </c>
      <c r="F380" s="8">
        <v>43.0</v>
      </c>
      <c r="G380" s="1" t="s">
        <v>173</v>
      </c>
      <c r="H380" s="1" t="str">
        <f t="shared" si="1"/>
        <v>Chris</v>
      </c>
      <c r="I380" s="1" t="str">
        <f t="shared" si="2"/>
        <v>Godwin</v>
      </c>
      <c r="J380" s="1" t="str">
        <f t="shared" si="3"/>
        <v>#N/A</v>
      </c>
      <c r="K380" s="1" t="str">
        <f>IFERROR(VLOOKUP($J380,Players!$D:$E,2,FALSE),VLOOKUP($G380,Players!A:E,5,FALSE))</f>
        <v>WR</v>
      </c>
    </row>
    <row r="381" ht="15.75" customHeight="1">
      <c r="A381" s="1">
        <v>2019.0</v>
      </c>
      <c r="B381" s="1" t="s">
        <v>21</v>
      </c>
      <c r="C381" s="1" t="s">
        <v>22</v>
      </c>
      <c r="D381" s="8">
        <v>5.0</v>
      </c>
      <c r="E381" s="8">
        <v>5.0</v>
      </c>
      <c r="F381" s="8">
        <v>54.0</v>
      </c>
      <c r="G381" s="1" t="s">
        <v>130</v>
      </c>
      <c r="H381" s="1" t="str">
        <f t="shared" si="1"/>
        <v>Kenny</v>
      </c>
      <c r="I381" s="1" t="str">
        <f t="shared" si="2"/>
        <v>Golladay</v>
      </c>
      <c r="J381" s="1" t="str">
        <f t="shared" si="3"/>
        <v>#N/A</v>
      </c>
      <c r="K381" s="1" t="str">
        <f>IFERROR(VLOOKUP($J381,Players!$D:$E,2,FALSE),VLOOKUP($G381,Players!A:E,5,FALSE))</f>
        <v>WR</v>
      </c>
    </row>
    <row r="382" ht="15.75" customHeight="1">
      <c r="A382" s="1">
        <v>2019.0</v>
      </c>
      <c r="B382" s="1" t="s">
        <v>21</v>
      </c>
      <c r="C382" s="1" t="s">
        <v>22</v>
      </c>
      <c r="D382" s="8">
        <v>5.0</v>
      </c>
      <c r="E382" s="8">
        <v>6.0</v>
      </c>
      <c r="F382" s="8">
        <v>67.0</v>
      </c>
      <c r="G382" s="1" t="s">
        <v>880</v>
      </c>
      <c r="H382" s="1" t="str">
        <f t="shared" si="1"/>
        <v>Derrius</v>
      </c>
      <c r="I382" s="1" t="str">
        <f t="shared" si="2"/>
        <v>Guice</v>
      </c>
      <c r="J382" s="1" t="str">
        <f t="shared" si="3"/>
        <v>#N/A</v>
      </c>
      <c r="K382" s="1" t="str">
        <f>IFERROR(VLOOKUP($J382,Players!$D:$E,2,FALSE),VLOOKUP($G382,Players!A:E,5,FALSE))</f>
        <v>RB</v>
      </c>
    </row>
    <row r="383" ht="15.75" customHeight="1">
      <c r="A383" s="1">
        <v>2019.0</v>
      </c>
      <c r="B383" s="1" t="s">
        <v>21</v>
      </c>
      <c r="C383" s="1" t="s">
        <v>22</v>
      </c>
      <c r="D383" s="8">
        <v>5.0</v>
      </c>
      <c r="E383" s="8">
        <v>7.0</v>
      </c>
      <c r="F383" s="8">
        <v>78.0</v>
      </c>
      <c r="G383" s="1" t="s">
        <v>238</v>
      </c>
      <c r="H383" s="1" t="str">
        <f t="shared" si="1"/>
        <v>Devin</v>
      </c>
      <c r="I383" s="1" t="str">
        <f t="shared" si="2"/>
        <v>Singletary</v>
      </c>
      <c r="J383" s="1" t="str">
        <f t="shared" si="3"/>
        <v>#N/A</v>
      </c>
      <c r="K383" s="1" t="str">
        <f>IFERROR(VLOOKUP($J383,Players!$D:$E,2,FALSE),VLOOKUP($G383,Players!A:E,5,FALSE))</f>
        <v>RB</v>
      </c>
    </row>
    <row r="384" ht="15.75" customHeight="1">
      <c r="A384" s="1">
        <v>2019.0</v>
      </c>
      <c r="B384" s="1" t="s">
        <v>21</v>
      </c>
      <c r="C384" s="1" t="s">
        <v>22</v>
      </c>
      <c r="D384" s="8">
        <v>5.0</v>
      </c>
      <c r="E384" s="8">
        <v>8.0</v>
      </c>
      <c r="F384" s="8">
        <v>91.0</v>
      </c>
      <c r="G384" s="1" t="s">
        <v>273</v>
      </c>
      <c r="H384" s="1" t="str">
        <f t="shared" si="1"/>
        <v>Corey</v>
      </c>
      <c r="I384" s="1" t="str">
        <f t="shared" si="2"/>
        <v>Davis</v>
      </c>
      <c r="J384" s="1" t="str">
        <f t="shared" si="3"/>
        <v>#N/A</v>
      </c>
      <c r="K384" s="1" t="str">
        <f>IFERROR(VLOOKUP($J384,Players!$D:$E,2,FALSE),VLOOKUP($G384,Players!A:E,5,FALSE))</f>
        <v>WR</v>
      </c>
    </row>
    <row r="385" ht="15.75" customHeight="1">
      <c r="A385" s="1">
        <v>2019.0</v>
      </c>
      <c r="B385" s="1" t="s">
        <v>21</v>
      </c>
      <c r="C385" s="1" t="s">
        <v>22</v>
      </c>
      <c r="D385" s="8">
        <v>5.0</v>
      </c>
      <c r="E385" s="8">
        <v>9.0</v>
      </c>
      <c r="F385" s="8">
        <v>102.0</v>
      </c>
      <c r="G385" s="1" t="s">
        <v>196</v>
      </c>
      <c r="H385" s="1" t="str">
        <f t="shared" si="1"/>
        <v>Curtis</v>
      </c>
      <c r="I385" s="1" t="str">
        <f t="shared" si="2"/>
        <v>Samuel</v>
      </c>
      <c r="J385" s="1" t="str">
        <f t="shared" si="3"/>
        <v>#N/A</v>
      </c>
      <c r="K385" s="1" t="str">
        <f>IFERROR(VLOOKUP($J385,Players!$D:$E,2,FALSE),VLOOKUP($G385,Players!A:E,5,FALSE))</f>
        <v>WR</v>
      </c>
    </row>
    <row r="386" ht="15.75" customHeight="1">
      <c r="A386" s="1">
        <v>2019.0</v>
      </c>
      <c r="B386" s="1" t="s">
        <v>21</v>
      </c>
      <c r="C386" s="1" t="s">
        <v>22</v>
      </c>
      <c r="D386" s="8">
        <v>5.0</v>
      </c>
      <c r="E386" s="8">
        <v>10.0</v>
      </c>
      <c r="F386" s="8">
        <v>115.0</v>
      </c>
      <c r="G386" s="1" t="s">
        <v>406</v>
      </c>
      <c r="H386" s="1" t="str">
        <f t="shared" si="1"/>
        <v>Austin</v>
      </c>
      <c r="I386" s="1" t="str">
        <f t="shared" si="2"/>
        <v>Hooper</v>
      </c>
      <c r="J386" s="1" t="str">
        <f t="shared" si="3"/>
        <v>#N/A</v>
      </c>
      <c r="K386" s="1" t="str">
        <f>IFERROR(VLOOKUP($J386,Players!$D:$E,2,FALSE),VLOOKUP($G386,Players!A:E,5,FALSE))</f>
        <v>TE</v>
      </c>
    </row>
    <row r="387" ht="15.75" customHeight="1">
      <c r="A387" s="1">
        <v>2019.0</v>
      </c>
      <c r="B387" s="1" t="s">
        <v>21</v>
      </c>
      <c r="C387" s="1" t="s">
        <v>22</v>
      </c>
      <c r="D387" s="8">
        <v>5.0</v>
      </c>
      <c r="E387" s="8">
        <v>11.0</v>
      </c>
      <c r="F387" s="8">
        <v>126.0</v>
      </c>
      <c r="G387" s="1" t="s">
        <v>216</v>
      </c>
      <c r="H387" s="1" t="str">
        <f t="shared" si="1"/>
        <v>DK</v>
      </c>
      <c r="I387" s="1" t="str">
        <f t="shared" si="2"/>
        <v>Metcalf</v>
      </c>
      <c r="J387" s="1" t="str">
        <f t="shared" si="3"/>
        <v>#N/A</v>
      </c>
      <c r="K387" s="1" t="str">
        <f>IFERROR(VLOOKUP($J387,Players!$D:$E,2,FALSE),VLOOKUP($G387,Players!A:E,5,FALSE))</f>
        <v>#N/A</v>
      </c>
    </row>
    <row r="388" ht="15.75" customHeight="1">
      <c r="A388" s="1">
        <v>2019.0</v>
      </c>
      <c r="B388" s="1" t="s">
        <v>21</v>
      </c>
      <c r="C388" s="1" t="s">
        <v>22</v>
      </c>
      <c r="D388" s="8">
        <v>5.0</v>
      </c>
      <c r="E388" s="8">
        <v>12.0</v>
      </c>
      <c r="F388" s="8">
        <v>139.0</v>
      </c>
      <c r="G388" s="1" t="s">
        <v>891</v>
      </c>
      <c r="H388" s="1" t="str">
        <f t="shared" si="1"/>
        <v>Stephen</v>
      </c>
      <c r="I388" s="1" t="str">
        <f t="shared" si="2"/>
        <v>Gostkowski</v>
      </c>
      <c r="J388" s="1" t="str">
        <f t="shared" si="3"/>
        <v>#N/A</v>
      </c>
      <c r="K388" s="1" t="str">
        <f>IFERROR(VLOOKUP($J388,Players!$D:$E,2,FALSE),VLOOKUP($G388,Players!A:E,5,FALSE))</f>
        <v>K</v>
      </c>
    </row>
    <row r="389" ht="15.75" customHeight="1">
      <c r="A389" s="1">
        <v>2019.0</v>
      </c>
      <c r="B389" s="1" t="s">
        <v>21</v>
      </c>
      <c r="C389" s="1" t="s">
        <v>22</v>
      </c>
      <c r="D389" s="8">
        <v>5.0</v>
      </c>
      <c r="E389" s="8">
        <v>13.0</v>
      </c>
      <c r="F389" s="8">
        <v>150.0</v>
      </c>
      <c r="G389" s="1" t="s">
        <v>573</v>
      </c>
      <c r="H389" s="1" t="str">
        <f t="shared" si="1"/>
        <v>#VALUE!</v>
      </c>
      <c r="I389" s="1" t="str">
        <f t="shared" si="2"/>
        <v>#VALUE!</v>
      </c>
      <c r="J389" s="1" t="str">
        <f t="shared" si="3"/>
        <v>#N/A</v>
      </c>
      <c r="K389" s="1" t="str">
        <f>IFERROR(VLOOKUP($J389,Players!$D:$E,2,FALSE),VLOOKUP($G389,Players!A:E,5,FALSE))</f>
        <v>DEF</v>
      </c>
    </row>
    <row r="390" ht="15.75" customHeight="1">
      <c r="A390" s="1">
        <v>2019.0</v>
      </c>
      <c r="B390" s="1" t="s">
        <v>21</v>
      </c>
      <c r="C390" s="1" t="s">
        <v>22</v>
      </c>
      <c r="D390" s="8">
        <v>5.0</v>
      </c>
      <c r="E390" s="8">
        <v>14.0</v>
      </c>
      <c r="F390" s="8">
        <v>163.0</v>
      </c>
      <c r="G390" s="1" t="s">
        <v>457</v>
      </c>
      <c r="H390" s="1" t="str">
        <f t="shared" si="1"/>
        <v>Ben</v>
      </c>
      <c r="I390" s="1" t="str">
        <f t="shared" si="2"/>
        <v>Roethlisberger</v>
      </c>
      <c r="J390" s="1" t="str">
        <f t="shared" si="3"/>
        <v>#N/A</v>
      </c>
      <c r="K390" s="1" t="str">
        <f>IFERROR(VLOOKUP($J390,Players!$D:$E,2,FALSE),VLOOKUP($G390,Players!A:E,5,FALSE))</f>
        <v>QB</v>
      </c>
    </row>
    <row r="391" ht="15.75" customHeight="1">
      <c r="A391" s="1">
        <v>2019.0</v>
      </c>
      <c r="B391" s="1" t="s">
        <v>21</v>
      </c>
      <c r="C391" s="1" t="s">
        <v>22</v>
      </c>
      <c r="D391" s="8">
        <v>5.0</v>
      </c>
      <c r="E391" s="8">
        <v>15.0</v>
      </c>
      <c r="F391" s="8">
        <v>174.0</v>
      </c>
      <c r="G391" s="1" t="s">
        <v>312</v>
      </c>
      <c r="H391" s="1" t="str">
        <f t="shared" si="1"/>
        <v>Ronald</v>
      </c>
      <c r="I391" s="1" t="str">
        <f t="shared" si="2"/>
        <v>Jones II</v>
      </c>
      <c r="J391" s="1" t="str">
        <f t="shared" si="3"/>
        <v>#N/A</v>
      </c>
      <c r="K391" s="1" t="str">
        <f>IFERROR(VLOOKUP($J391,Players!$D:$E,2,FALSE),VLOOKUP($G391,Players!A:E,5,FALSE))</f>
        <v>#N/A</v>
      </c>
    </row>
    <row r="392" ht="15.75" customHeight="1">
      <c r="A392" s="1">
        <v>2019.0</v>
      </c>
      <c r="B392" s="1" t="s">
        <v>48</v>
      </c>
      <c r="C392" s="1" t="s">
        <v>19</v>
      </c>
      <c r="D392" s="8">
        <v>2.0</v>
      </c>
      <c r="E392" s="8">
        <v>1.0</v>
      </c>
      <c r="F392" s="8">
        <v>3.0</v>
      </c>
      <c r="G392" s="1" t="s">
        <v>78</v>
      </c>
      <c r="H392" s="1" t="str">
        <f t="shared" si="1"/>
        <v>Christian</v>
      </c>
      <c r="I392" s="1" t="str">
        <f t="shared" si="2"/>
        <v>McCaffrey</v>
      </c>
      <c r="J392" s="1" t="str">
        <f t="shared" si="3"/>
        <v>#N/A</v>
      </c>
      <c r="K392" s="1" t="str">
        <f>IFERROR(VLOOKUP($J392,Players!$D:$E,2,FALSE),VLOOKUP($G392,Players!A:E,5,FALSE))</f>
        <v>RB</v>
      </c>
    </row>
    <row r="393" ht="15.75" customHeight="1">
      <c r="A393" s="1">
        <v>2019.0</v>
      </c>
      <c r="B393" s="1" t="s">
        <v>48</v>
      </c>
      <c r="C393" s="1" t="s">
        <v>19</v>
      </c>
      <c r="D393" s="8">
        <v>2.0</v>
      </c>
      <c r="E393" s="8">
        <v>2.0</v>
      </c>
      <c r="F393" s="8">
        <v>22.0</v>
      </c>
      <c r="G393" s="1" t="s">
        <v>80</v>
      </c>
      <c r="H393" s="1" t="str">
        <f t="shared" si="1"/>
        <v>Keenan</v>
      </c>
      <c r="I393" s="1" t="str">
        <f t="shared" si="2"/>
        <v>Allen</v>
      </c>
      <c r="J393" s="1" t="str">
        <f t="shared" si="3"/>
        <v>#N/A</v>
      </c>
      <c r="K393" s="1" t="str">
        <f>IFERROR(VLOOKUP($J393,Players!$D:$E,2,FALSE),VLOOKUP($G393,Players!A:E,5,FALSE))</f>
        <v>WR</v>
      </c>
    </row>
    <row r="394" ht="15.75" customHeight="1">
      <c r="A394" s="1">
        <v>2019.0</v>
      </c>
      <c r="B394" s="1" t="s">
        <v>48</v>
      </c>
      <c r="C394" s="1" t="s">
        <v>19</v>
      </c>
      <c r="D394" s="8">
        <v>2.0</v>
      </c>
      <c r="E394" s="8">
        <v>3.0</v>
      </c>
      <c r="F394" s="8">
        <v>27.0</v>
      </c>
      <c r="G394" s="1" t="s">
        <v>345</v>
      </c>
      <c r="H394" s="1" t="str">
        <f t="shared" si="1"/>
        <v>George</v>
      </c>
      <c r="I394" s="1" t="str">
        <f t="shared" si="2"/>
        <v>Kittle</v>
      </c>
      <c r="J394" s="1" t="str">
        <f t="shared" si="3"/>
        <v>#N/A</v>
      </c>
      <c r="K394" s="1" t="str">
        <f>IFERROR(VLOOKUP($J394,Players!$D:$E,2,FALSE),VLOOKUP($G394,Players!A:E,5,FALSE))</f>
        <v>TE</v>
      </c>
    </row>
    <row r="395" ht="15.75" customHeight="1">
      <c r="A395" s="1">
        <v>2019.0</v>
      </c>
      <c r="B395" s="1" t="s">
        <v>48</v>
      </c>
      <c r="C395" s="1" t="s">
        <v>19</v>
      </c>
      <c r="D395" s="8">
        <v>2.0</v>
      </c>
      <c r="E395" s="8">
        <v>4.0</v>
      </c>
      <c r="F395" s="8">
        <v>46.0</v>
      </c>
      <c r="G395" s="1" t="s">
        <v>261</v>
      </c>
      <c r="H395" s="1" t="str">
        <f t="shared" si="1"/>
        <v>David</v>
      </c>
      <c r="I395" s="1" t="str">
        <f t="shared" si="2"/>
        <v>Montgomery</v>
      </c>
      <c r="J395" s="1" t="str">
        <f t="shared" si="3"/>
        <v>#N/A</v>
      </c>
      <c r="K395" s="1" t="str">
        <f>IFERROR(VLOOKUP($J395,Players!$D:$E,2,FALSE),VLOOKUP($G395,Players!A:E,5,FALSE))</f>
        <v>RB</v>
      </c>
    </row>
    <row r="396" ht="15.75" customHeight="1">
      <c r="A396" s="1">
        <v>2019.0</v>
      </c>
      <c r="B396" s="1" t="s">
        <v>48</v>
      </c>
      <c r="C396" s="1" t="s">
        <v>19</v>
      </c>
      <c r="D396" s="8">
        <v>2.0</v>
      </c>
      <c r="E396" s="8">
        <v>5.0</v>
      </c>
      <c r="F396" s="8">
        <v>51.0</v>
      </c>
      <c r="G396" s="1" t="s">
        <v>440</v>
      </c>
      <c r="H396" s="1" t="str">
        <f t="shared" si="1"/>
        <v>Tyler</v>
      </c>
      <c r="I396" s="1" t="str">
        <f t="shared" si="2"/>
        <v>Boyd</v>
      </c>
      <c r="J396" s="1" t="str">
        <f t="shared" si="3"/>
        <v>#N/A</v>
      </c>
      <c r="K396" s="1" t="str">
        <f>IFERROR(VLOOKUP($J396,Players!$D:$E,2,FALSE),VLOOKUP($G396,Players!A:E,5,FALSE))</f>
        <v>WR</v>
      </c>
    </row>
    <row r="397" ht="15.75" customHeight="1">
      <c r="A397" s="1">
        <v>2019.0</v>
      </c>
      <c r="B397" s="1" t="s">
        <v>48</v>
      </c>
      <c r="C397" s="1" t="s">
        <v>19</v>
      </c>
      <c r="D397" s="8">
        <v>2.0</v>
      </c>
      <c r="E397" s="8">
        <v>6.0</v>
      </c>
      <c r="F397" s="8">
        <v>70.0</v>
      </c>
      <c r="G397" s="1" t="s">
        <v>219</v>
      </c>
      <c r="H397" s="1" t="str">
        <f t="shared" si="1"/>
        <v>Miles</v>
      </c>
      <c r="I397" s="1" t="str">
        <f t="shared" si="2"/>
        <v>Sanders</v>
      </c>
      <c r="J397" s="1" t="str">
        <f t="shared" si="3"/>
        <v>#N/A</v>
      </c>
      <c r="K397" s="1" t="str">
        <f>IFERROR(VLOOKUP($J397,Players!$D:$E,2,FALSE),VLOOKUP($G397,Players!A:E,5,FALSE))</f>
        <v>RB</v>
      </c>
    </row>
    <row r="398" ht="15.75" customHeight="1">
      <c r="A398" s="1">
        <v>2019.0</v>
      </c>
      <c r="B398" s="1" t="s">
        <v>48</v>
      </c>
      <c r="C398" s="1" t="s">
        <v>19</v>
      </c>
      <c r="D398" s="8">
        <v>2.0</v>
      </c>
      <c r="E398" s="8">
        <v>7.0</v>
      </c>
      <c r="F398" s="8">
        <v>75.0</v>
      </c>
      <c r="G398" s="1" t="s">
        <v>243</v>
      </c>
      <c r="H398" s="1" t="str">
        <f t="shared" si="1"/>
        <v>Marvin</v>
      </c>
      <c r="I398" s="1" t="str">
        <f t="shared" si="2"/>
        <v>Jones Jr</v>
      </c>
      <c r="J398" s="1" t="str">
        <f t="shared" si="3"/>
        <v>#N/A</v>
      </c>
      <c r="K398" s="1" t="str">
        <f>IFERROR(VLOOKUP($J398,Players!$D:$E,2,FALSE),VLOOKUP($G398,Players!A:E,5,FALSE))</f>
        <v>#N/A</v>
      </c>
    </row>
    <row r="399" ht="15.75" customHeight="1">
      <c r="A399" s="1">
        <v>2019.0</v>
      </c>
      <c r="B399" s="1" t="s">
        <v>48</v>
      </c>
      <c r="C399" s="1" t="s">
        <v>19</v>
      </c>
      <c r="D399" s="8">
        <v>2.0</v>
      </c>
      <c r="E399" s="8">
        <v>8.0</v>
      </c>
      <c r="F399" s="8">
        <v>94.0</v>
      </c>
      <c r="G399" s="1" t="s">
        <v>318</v>
      </c>
      <c r="H399" s="1" t="str">
        <f t="shared" si="1"/>
        <v>Will</v>
      </c>
      <c r="I399" s="1" t="str">
        <f t="shared" si="2"/>
        <v>Fuller V</v>
      </c>
      <c r="J399" s="1" t="str">
        <f t="shared" si="3"/>
        <v>#N/A</v>
      </c>
      <c r="K399" s="1" t="str">
        <f>IFERROR(VLOOKUP($J399,Players!$D:$E,2,FALSE),VLOOKUP($G399,Players!A:E,5,FALSE))</f>
        <v>#N/A</v>
      </c>
    </row>
    <row r="400" ht="15.75" customHeight="1">
      <c r="A400" s="1">
        <v>2019.0</v>
      </c>
      <c r="B400" s="1" t="s">
        <v>48</v>
      </c>
      <c r="C400" s="1" t="s">
        <v>19</v>
      </c>
      <c r="D400" s="8">
        <v>2.0</v>
      </c>
      <c r="E400" s="8">
        <v>9.0</v>
      </c>
      <c r="F400" s="8">
        <v>99.0</v>
      </c>
      <c r="G400" s="1" t="s">
        <v>910</v>
      </c>
      <c r="H400" s="1" t="str">
        <f t="shared" si="1"/>
        <v>Kalen</v>
      </c>
      <c r="I400" s="1" t="str">
        <f t="shared" si="2"/>
        <v>Ballage</v>
      </c>
      <c r="J400" s="1" t="str">
        <f t="shared" si="3"/>
        <v>#N/A</v>
      </c>
      <c r="K400" s="1" t="str">
        <f>IFERROR(VLOOKUP($J400,Players!$D:$E,2,FALSE),VLOOKUP($G400,Players!A:E,5,FALSE))</f>
        <v>RB</v>
      </c>
    </row>
    <row r="401" ht="15.75" customHeight="1">
      <c r="A401" s="1">
        <v>2019.0</v>
      </c>
      <c r="B401" s="1" t="s">
        <v>48</v>
      </c>
      <c r="C401" s="1" t="s">
        <v>19</v>
      </c>
      <c r="D401" s="8">
        <v>2.0</v>
      </c>
      <c r="E401" s="8">
        <v>10.0</v>
      </c>
      <c r="F401" s="8">
        <v>118.0</v>
      </c>
      <c r="G401" s="1" t="s">
        <v>150</v>
      </c>
      <c r="H401" s="1" t="str">
        <f t="shared" si="1"/>
        <v>Michael</v>
      </c>
      <c r="I401" s="1" t="str">
        <f t="shared" si="2"/>
        <v>Gallup</v>
      </c>
      <c r="J401" s="1" t="str">
        <f t="shared" si="3"/>
        <v>#N/A</v>
      </c>
      <c r="K401" s="1" t="str">
        <f>IFERROR(VLOOKUP($J401,Players!$D:$E,2,FALSE),VLOOKUP($G401,Players!A:E,5,FALSE))</f>
        <v>WR</v>
      </c>
    </row>
    <row r="402" ht="15.75" customHeight="1">
      <c r="A402" s="1">
        <v>2019.0</v>
      </c>
      <c r="B402" s="1" t="s">
        <v>48</v>
      </c>
      <c r="C402" s="1" t="s">
        <v>19</v>
      </c>
      <c r="D402" s="8">
        <v>2.0</v>
      </c>
      <c r="E402" s="8">
        <v>11.0</v>
      </c>
      <c r="F402" s="8">
        <v>123.0</v>
      </c>
      <c r="G402" s="1" t="s">
        <v>375</v>
      </c>
      <c r="H402" s="1" t="str">
        <f t="shared" si="1"/>
        <v>Rashaad</v>
      </c>
      <c r="I402" s="1" t="str">
        <f t="shared" si="2"/>
        <v>Penny</v>
      </c>
      <c r="J402" s="1" t="str">
        <f t="shared" si="3"/>
        <v>#N/A</v>
      </c>
      <c r="K402" s="1" t="str">
        <f>IFERROR(VLOOKUP($J402,Players!$D:$E,2,FALSE),VLOOKUP($G402,Players!A:E,5,FALSE))</f>
        <v>RB</v>
      </c>
    </row>
    <row r="403" ht="15.75" customHeight="1">
      <c r="A403" s="1">
        <v>2019.0</v>
      </c>
      <c r="B403" s="1" t="s">
        <v>48</v>
      </c>
      <c r="C403" s="1" t="s">
        <v>19</v>
      </c>
      <c r="D403" s="8">
        <v>2.0</v>
      </c>
      <c r="E403" s="8">
        <v>12.0</v>
      </c>
      <c r="F403" s="8">
        <v>142.0</v>
      </c>
      <c r="G403" s="1" t="s">
        <v>200</v>
      </c>
      <c r="H403" s="1" t="str">
        <f t="shared" si="1"/>
        <v>Alexander</v>
      </c>
      <c r="I403" s="1" t="str">
        <f t="shared" si="2"/>
        <v>Mattison</v>
      </c>
      <c r="J403" s="1" t="str">
        <f t="shared" si="3"/>
        <v>#N/A</v>
      </c>
      <c r="K403" s="1" t="str">
        <f>IFERROR(VLOOKUP($J403,Players!$D:$E,2,FALSE),VLOOKUP($G403,Players!A:E,5,FALSE))</f>
        <v>RB</v>
      </c>
    </row>
    <row r="404" ht="15.75" customHeight="1">
      <c r="A404" s="1">
        <v>2019.0</v>
      </c>
      <c r="B404" s="1" t="s">
        <v>48</v>
      </c>
      <c r="C404" s="1" t="s">
        <v>19</v>
      </c>
      <c r="D404" s="8">
        <v>2.0</v>
      </c>
      <c r="E404" s="8">
        <v>13.0</v>
      </c>
      <c r="F404" s="8">
        <v>147.0</v>
      </c>
      <c r="G404" s="1" t="s">
        <v>306</v>
      </c>
      <c r="H404" s="1" t="str">
        <f t="shared" si="1"/>
        <v>Dak</v>
      </c>
      <c r="I404" s="1" t="str">
        <f t="shared" si="2"/>
        <v>Prescott</v>
      </c>
      <c r="J404" s="1" t="str">
        <f t="shared" si="3"/>
        <v>#N/A</v>
      </c>
      <c r="K404" s="1" t="str">
        <f>IFERROR(VLOOKUP($J404,Players!$D:$E,2,FALSE),VLOOKUP($G404,Players!A:E,5,FALSE))</f>
        <v>QB</v>
      </c>
    </row>
    <row r="405" ht="15.75" customHeight="1">
      <c r="A405" s="1">
        <v>2019.0</v>
      </c>
      <c r="B405" s="1" t="s">
        <v>48</v>
      </c>
      <c r="C405" s="1" t="s">
        <v>19</v>
      </c>
      <c r="D405" s="8">
        <v>2.0</v>
      </c>
      <c r="E405" s="8">
        <v>14.0</v>
      </c>
      <c r="F405" s="8">
        <v>166.0</v>
      </c>
      <c r="G405" s="1" t="s">
        <v>923</v>
      </c>
      <c r="H405" s="1" t="str">
        <f t="shared" si="1"/>
        <v>Ka'imi</v>
      </c>
      <c r="I405" s="1" t="str">
        <f t="shared" si="2"/>
        <v>Fairbairn</v>
      </c>
      <c r="J405" s="1" t="str">
        <f t="shared" si="3"/>
        <v>#N/A</v>
      </c>
      <c r="K405" s="1" t="str">
        <f>IFERROR(VLOOKUP($J405,Players!$D:$E,2,FALSE),VLOOKUP($G405,Players!A:E,5,FALSE))</f>
        <v>K</v>
      </c>
    </row>
    <row r="406" ht="15.75" customHeight="1">
      <c r="A406" s="1">
        <v>2019.0</v>
      </c>
      <c r="B406" s="1" t="s">
        <v>48</v>
      </c>
      <c r="C406" s="1" t="s">
        <v>19</v>
      </c>
      <c r="D406" s="8">
        <v>2.0</v>
      </c>
      <c r="E406" s="8">
        <v>15.0</v>
      </c>
      <c r="F406" s="8">
        <v>171.0</v>
      </c>
      <c r="G406" s="1" t="s">
        <v>325</v>
      </c>
      <c r="H406" s="1" t="str">
        <f t="shared" si="1"/>
        <v>#VALUE!</v>
      </c>
      <c r="I406" s="1" t="str">
        <f t="shared" si="2"/>
        <v>#VALUE!</v>
      </c>
      <c r="J406" s="1" t="str">
        <f t="shared" si="3"/>
        <v>#N/A</v>
      </c>
      <c r="K406" s="1" t="str">
        <f>IFERROR(VLOOKUP($J406,Players!$D:$E,2,FALSE),VLOOKUP($G406,Players!A:E,5,FALSE))</f>
        <v>DEF</v>
      </c>
    </row>
    <row r="407" ht="15.75" customHeight="1">
      <c r="A407" s="1">
        <v>2019.0</v>
      </c>
      <c r="B407" s="1" t="s">
        <v>30</v>
      </c>
      <c r="C407" s="1" t="s">
        <v>31</v>
      </c>
      <c r="D407" s="8">
        <v>12.0</v>
      </c>
      <c r="E407" s="8">
        <v>1.0</v>
      </c>
      <c r="F407" s="8">
        <v>11.0</v>
      </c>
      <c r="G407" s="1" t="s">
        <v>788</v>
      </c>
      <c r="H407" s="1" t="str">
        <f t="shared" si="1"/>
        <v>Le'Veon</v>
      </c>
      <c r="I407" s="1" t="str">
        <f t="shared" si="2"/>
        <v>Bell</v>
      </c>
      <c r="J407" s="1" t="str">
        <f t="shared" si="3"/>
        <v>#N/A</v>
      </c>
      <c r="K407" s="1" t="str">
        <f>IFERROR(VLOOKUP($J407,Players!$D:$E,2,FALSE),VLOOKUP($G407,Players!A:E,5,FALSE))</f>
        <v>RB</v>
      </c>
    </row>
    <row r="408" ht="15.75" customHeight="1">
      <c r="A408" s="1">
        <v>2019.0</v>
      </c>
      <c r="B408" s="1" t="s">
        <v>30</v>
      </c>
      <c r="C408" s="1" t="s">
        <v>31</v>
      </c>
      <c r="D408" s="8">
        <v>12.0</v>
      </c>
      <c r="E408" s="8">
        <v>2.0</v>
      </c>
      <c r="F408" s="8">
        <v>14.0</v>
      </c>
      <c r="G408" s="1" t="s">
        <v>270</v>
      </c>
      <c r="H408" s="1" t="str">
        <f t="shared" si="1"/>
        <v>Michael</v>
      </c>
      <c r="I408" s="1" t="str">
        <f t="shared" si="2"/>
        <v>Thomas</v>
      </c>
      <c r="J408" s="1" t="str">
        <f t="shared" si="3"/>
        <v>#N/A</v>
      </c>
      <c r="K408" s="1" t="str">
        <f>IFERROR(VLOOKUP($J408,Players!$D:$E,2,FALSE),VLOOKUP($G408,Players!A:E,5,FALSE))</f>
        <v>WR</v>
      </c>
    </row>
    <row r="409" ht="15.75" customHeight="1">
      <c r="A409" s="1">
        <v>2019.0</v>
      </c>
      <c r="B409" s="1" t="s">
        <v>30</v>
      </c>
      <c r="C409" s="1" t="s">
        <v>31</v>
      </c>
      <c r="D409" s="8">
        <v>12.0</v>
      </c>
      <c r="E409" s="8">
        <v>3.0</v>
      </c>
      <c r="F409" s="8">
        <v>35.0</v>
      </c>
      <c r="G409" s="1" t="s">
        <v>389</v>
      </c>
      <c r="H409" s="1" t="str">
        <f t="shared" si="1"/>
        <v>Robert</v>
      </c>
      <c r="I409" s="1" t="str">
        <f t="shared" si="2"/>
        <v>Woods</v>
      </c>
      <c r="J409" s="1" t="str">
        <f t="shared" si="3"/>
        <v>#N/A</v>
      </c>
      <c r="K409" s="1" t="str">
        <f>IFERROR(VLOOKUP($J409,Players!$D:$E,2,FALSE),VLOOKUP($G409,Players!A:E,5,FALSE))</f>
        <v>WR</v>
      </c>
    </row>
    <row r="410" ht="15.75" customHeight="1">
      <c r="A410" s="1">
        <v>2019.0</v>
      </c>
      <c r="B410" s="1" t="s">
        <v>30</v>
      </c>
      <c r="C410" s="1" t="s">
        <v>31</v>
      </c>
      <c r="D410" s="8">
        <v>12.0</v>
      </c>
      <c r="E410" s="8">
        <v>4.0</v>
      </c>
      <c r="F410" s="8">
        <v>38.0</v>
      </c>
      <c r="G410" s="1" t="s">
        <v>146</v>
      </c>
      <c r="H410" s="1" t="str">
        <f t="shared" si="1"/>
        <v>Sony</v>
      </c>
      <c r="I410" s="1" t="str">
        <f t="shared" si="2"/>
        <v>Michel</v>
      </c>
      <c r="J410" s="1" t="str">
        <f t="shared" si="3"/>
        <v>#N/A</v>
      </c>
      <c r="K410" s="1" t="str">
        <f>IFERROR(VLOOKUP($J410,Players!$D:$E,2,FALSE),VLOOKUP($G410,Players!A:E,5,FALSE))</f>
        <v>RB</v>
      </c>
    </row>
    <row r="411" ht="15.75" customHeight="1">
      <c r="A411" s="1">
        <v>2019.0</v>
      </c>
      <c r="B411" s="1" t="s">
        <v>30</v>
      </c>
      <c r="C411" s="1" t="s">
        <v>31</v>
      </c>
      <c r="D411" s="8">
        <v>12.0</v>
      </c>
      <c r="E411" s="8">
        <v>5.0</v>
      </c>
      <c r="F411" s="8">
        <v>59.0</v>
      </c>
      <c r="G411" s="1" t="s">
        <v>932</v>
      </c>
      <c r="H411" s="1" t="str">
        <f t="shared" si="1"/>
        <v>OJ</v>
      </c>
      <c r="I411" s="1" t="str">
        <f t="shared" si="2"/>
        <v>Howard</v>
      </c>
      <c r="J411" s="1" t="str">
        <f t="shared" si="3"/>
        <v>#N/A</v>
      </c>
      <c r="K411" s="1" t="str">
        <f>IFERROR(VLOOKUP($J411,Players!$D:$E,2,FALSE),VLOOKUP($G411,Players!A:E,5,FALSE))</f>
        <v>TE</v>
      </c>
    </row>
    <row r="412" ht="15.75" customHeight="1">
      <c r="A412" s="1">
        <v>2019.0</v>
      </c>
      <c r="B412" s="1" t="s">
        <v>30</v>
      </c>
      <c r="C412" s="1" t="s">
        <v>31</v>
      </c>
      <c r="D412" s="8">
        <v>12.0</v>
      </c>
      <c r="E412" s="8">
        <v>6.0</v>
      </c>
      <c r="F412" s="8">
        <v>62.0</v>
      </c>
      <c r="G412" s="1" t="s">
        <v>791</v>
      </c>
      <c r="H412" s="1" t="str">
        <f t="shared" si="1"/>
        <v>Tarik</v>
      </c>
      <c r="I412" s="1" t="str">
        <f t="shared" si="2"/>
        <v>Cohen</v>
      </c>
      <c r="J412" s="1" t="str">
        <f t="shared" si="3"/>
        <v>#N/A</v>
      </c>
      <c r="K412" s="1" t="str">
        <f>IFERROR(VLOOKUP($J412,Players!$D:$E,2,FALSE),VLOOKUP($G412,Players!A:E,5,FALSE))</f>
        <v>RB</v>
      </c>
    </row>
    <row r="413" ht="15.75" customHeight="1">
      <c r="A413" s="1">
        <v>2019.0</v>
      </c>
      <c r="B413" s="1" t="s">
        <v>30</v>
      </c>
      <c r="C413" s="1" t="s">
        <v>31</v>
      </c>
      <c r="D413" s="8">
        <v>12.0</v>
      </c>
      <c r="E413" s="8">
        <v>7.0</v>
      </c>
      <c r="F413" s="8">
        <v>83.0</v>
      </c>
      <c r="G413" s="1" t="s">
        <v>160</v>
      </c>
      <c r="H413" s="1" t="str">
        <f t="shared" si="1"/>
        <v>Tevin</v>
      </c>
      <c r="I413" s="1" t="str">
        <f t="shared" si="2"/>
        <v>Coleman</v>
      </c>
      <c r="J413" s="1" t="str">
        <f t="shared" si="3"/>
        <v>#N/A</v>
      </c>
      <c r="K413" s="1" t="str">
        <f>IFERROR(VLOOKUP($J413,Players!$D:$E,2,FALSE),VLOOKUP($G413,Players!A:E,5,FALSE))</f>
        <v>RB</v>
      </c>
    </row>
    <row r="414" ht="15.75" customHeight="1">
      <c r="A414" s="1">
        <v>2019.0</v>
      </c>
      <c r="B414" s="1" t="s">
        <v>30</v>
      </c>
      <c r="C414" s="1" t="s">
        <v>31</v>
      </c>
      <c r="D414" s="8">
        <v>12.0</v>
      </c>
      <c r="E414" s="8">
        <v>8.0</v>
      </c>
      <c r="F414" s="8">
        <v>86.0</v>
      </c>
      <c r="G414" s="1" t="s">
        <v>680</v>
      </c>
      <c r="H414" s="1" t="str">
        <f t="shared" si="1"/>
        <v>Cam</v>
      </c>
      <c r="I414" s="1" t="str">
        <f t="shared" si="2"/>
        <v>Newton</v>
      </c>
      <c r="J414" s="1" t="str">
        <f t="shared" si="3"/>
        <v>#N/A</v>
      </c>
      <c r="K414" s="1" t="str">
        <f>IFERROR(VLOOKUP($J414,Players!$D:$E,2,FALSE),VLOOKUP($G414,Players!A:E,5,FALSE))</f>
        <v>QB</v>
      </c>
    </row>
    <row r="415" ht="15.75" customHeight="1">
      <c r="A415" s="1">
        <v>2019.0</v>
      </c>
      <c r="B415" s="1" t="s">
        <v>30</v>
      </c>
      <c r="C415" s="1" t="s">
        <v>31</v>
      </c>
      <c r="D415" s="8">
        <v>12.0</v>
      </c>
      <c r="E415" s="8">
        <v>9.0</v>
      </c>
      <c r="F415" s="8">
        <v>107.0</v>
      </c>
      <c r="G415" s="1" t="s">
        <v>940</v>
      </c>
      <c r="H415" s="1" t="str">
        <f t="shared" si="1"/>
        <v>Delanie</v>
      </c>
      <c r="I415" s="1" t="str">
        <f t="shared" si="2"/>
        <v>Walker</v>
      </c>
      <c r="J415" s="1" t="str">
        <f t="shared" si="3"/>
        <v>#N/A</v>
      </c>
      <c r="K415" s="1" t="str">
        <f>IFERROR(VLOOKUP($J415,Players!$D:$E,2,FALSE),VLOOKUP($G415,Players!A:E,5,FALSE))</f>
        <v>TE</v>
      </c>
    </row>
    <row r="416" ht="15.75" customHeight="1">
      <c r="A416" s="1">
        <v>2019.0</v>
      </c>
      <c r="B416" s="1" t="s">
        <v>30</v>
      </c>
      <c r="C416" s="1" t="s">
        <v>31</v>
      </c>
      <c r="D416" s="8">
        <v>12.0</v>
      </c>
      <c r="E416" s="8">
        <v>10.0</v>
      </c>
      <c r="F416" s="8">
        <v>110.0</v>
      </c>
      <c r="G416" s="1" t="s">
        <v>944</v>
      </c>
      <c r="H416" s="1" t="str">
        <f t="shared" si="1"/>
        <v>Golden</v>
      </c>
      <c r="I416" s="1" t="str">
        <f t="shared" si="2"/>
        <v>Tate</v>
      </c>
      <c r="J416" s="1" t="str">
        <f t="shared" si="3"/>
        <v>#N/A</v>
      </c>
      <c r="K416" s="1" t="str">
        <f>IFERROR(VLOOKUP($J416,Players!$D:$E,2,FALSE),VLOOKUP($G416,Players!A:E,5,FALSE))</f>
        <v>WR</v>
      </c>
    </row>
    <row r="417" ht="15.75" customHeight="1">
      <c r="A417" s="1">
        <v>2019.0</v>
      </c>
      <c r="B417" s="1" t="s">
        <v>30</v>
      </c>
      <c r="C417" s="1" t="s">
        <v>31</v>
      </c>
      <c r="D417" s="8">
        <v>12.0</v>
      </c>
      <c r="E417" s="8">
        <v>11.0</v>
      </c>
      <c r="F417" s="8">
        <v>131.0</v>
      </c>
      <c r="G417" s="1" t="s">
        <v>209</v>
      </c>
      <c r="H417" s="1" t="str">
        <f t="shared" si="1"/>
        <v>Carlos</v>
      </c>
      <c r="I417" s="1" t="str">
        <f t="shared" si="2"/>
        <v>Hyde</v>
      </c>
      <c r="J417" s="1" t="str">
        <f t="shared" si="3"/>
        <v>#N/A</v>
      </c>
      <c r="K417" s="1" t="str">
        <f>IFERROR(VLOOKUP($J417,Players!$D:$E,2,FALSE),VLOOKUP($G417,Players!A:E,5,FALSE))</f>
        <v>RB</v>
      </c>
    </row>
    <row r="418" ht="15.75" customHeight="1">
      <c r="A418" s="1">
        <v>2019.0</v>
      </c>
      <c r="B418" s="1" t="s">
        <v>30</v>
      </c>
      <c r="C418" s="1" t="s">
        <v>31</v>
      </c>
      <c r="D418" s="8">
        <v>12.0</v>
      </c>
      <c r="E418" s="8">
        <v>12.0</v>
      </c>
      <c r="F418" s="8">
        <v>134.0</v>
      </c>
      <c r="G418" s="1" t="s">
        <v>948</v>
      </c>
      <c r="H418" s="1" t="str">
        <f t="shared" si="1"/>
        <v>Jake</v>
      </c>
      <c r="I418" s="1" t="str">
        <f t="shared" si="2"/>
        <v>Elliott</v>
      </c>
      <c r="J418" s="1" t="str">
        <f t="shared" si="3"/>
        <v>#N/A</v>
      </c>
      <c r="K418" s="1" t="str">
        <f>IFERROR(VLOOKUP($J418,Players!$D:$E,2,FALSE),VLOOKUP($G418,Players!A:E,5,FALSE))</f>
        <v>K</v>
      </c>
    </row>
    <row r="419" ht="15.75" customHeight="1">
      <c r="A419" s="1">
        <v>2019.0</v>
      </c>
      <c r="B419" s="1" t="s">
        <v>30</v>
      </c>
      <c r="C419" s="1" t="s">
        <v>31</v>
      </c>
      <c r="D419" s="8">
        <v>12.0</v>
      </c>
      <c r="E419" s="8">
        <v>13.0</v>
      </c>
      <c r="F419" s="8">
        <v>155.0</v>
      </c>
      <c r="G419" s="1" t="s">
        <v>412</v>
      </c>
      <c r="H419" s="1" t="str">
        <f t="shared" si="1"/>
        <v>Kirk</v>
      </c>
      <c r="I419" s="1" t="str">
        <f t="shared" si="2"/>
        <v>Cousins</v>
      </c>
      <c r="J419" s="1" t="str">
        <f t="shared" si="3"/>
        <v>#N/A</v>
      </c>
      <c r="K419" s="1" t="str">
        <f>IFERROR(VLOOKUP($J419,Players!$D:$E,2,FALSE),VLOOKUP($G419,Players!A:E,5,FALSE))</f>
        <v>QB</v>
      </c>
    </row>
    <row r="420" ht="15.75" customHeight="1">
      <c r="A420" s="1">
        <v>2019.0</v>
      </c>
      <c r="B420" s="1" t="s">
        <v>30</v>
      </c>
      <c r="C420" s="1" t="s">
        <v>31</v>
      </c>
      <c r="D420" s="8">
        <v>12.0</v>
      </c>
      <c r="E420" s="8">
        <v>14.0</v>
      </c>
      <c r="F420" s="8">
        <v>158.0</v>
      </c>
      <c r="G420" s="1" t="s">
        <v>952</v>
      </c>
      <c r="H420" s="1" t="str">
        <f t="shared" si="1"/>
        <v>#VALUE!</v>
      </c>
      <c r="I420" s="1" t="str">
        <f t="shared" si="2"/>
        <v>#VALUE!</v>
      </c>
      <c r="J420" s="1" t="str">
        <f t="shared" si="3"/>
        <v>#N/A</v>
      </c>
      <c r="K420" s="1" t="str">
        <f>IFERROR(VLOOKUP($J420,Players!$D:$E,2,FALSE),VLOOKUP($G420,Players!A:E,5,FALSE))</f>
        <v>DEF</v>
      </c>
    </row>
    <row r="421" ht="15.75" customHeight="1">
      <c r="A421" s="1">
        <v>2019.0</v>
      </c>
      <c r="B421" s="1" t="s">
        <v>30</v>
      </c>
      <c r="C421" s="1" t="s">
        <v>31</v>
      </c>
      <c r="D421" s="8">
        <v>12.0</v>
      </c>
      <c r="E421" s="8">
        <v>15.0</v>
      </c>
      <c r="F421" s="8">
        <v>179.0</v>
      </c>
      <c r="G421" s="1" t="s">
        <v>955</v>
      </c>
      <c r="H421" s="1" t="str">
        <f t="shared" si="1"/>
        <v>Eric</v>
      </c>
      <c r="I421" s="1" t="str">
        <f t="shared" si="2"/>
        <v>Ebron</v>
      </c>
      <c r="J421" s="1" t="str">
        <f t="shared" si="3"/>
        <v>#N/A</v>
      </c>
      <c r="K421" s="1" t="str">
        <f>IFERROR(VLOOKUP($J421,Players!$D:$E,2,FALSE),VLOOKUP($G421,Players!A:E,5,FALSE))</f>
        <v>#N/A</v>
      </c>
    </row>
    <row r="422" ht="15.75" customHeight="1">
      <c r="A422" s="1">
        <v>2019.0</v>
      </c>
      <c r="B422" s="1" t="s">
        <v>46</v>
      </c>
      <c r="C422" s="1" t="s">
        <v>13</v>
      </c>
      <c r="D422" s="8">
        <v>11.0</v>
      </c>
      <c r="E422" s="8">
        <v>1.0</v>
      </c>
      <c r="F422" s="8">
        <v>8.0</v>
      </c>
      <c r="G422" s="1" t="s">
        <v>213</v>
      </c>
      <c r="H422" s="1" t="str">
        <f t="shared" si="1"/>
        <v>Davante</v>
      </c>
      <c r="I422" s="1" t="str">
        <f t="shared" si="2"/>
        <v>Adams</v>
      </c>
      <c r="J422" s="1" t="str">
        <f t="shared" si="3"/>
        <v>#N/A</v>
      </c>
      <c r="K422" s="1" t="str">
        <f>IFERROR(VLOOKUP($J422,Players!$D:$E,2,FALSE),VLOOKUP($G422,Players!A:E,5,FALSE))</f>
        <v>WR</v>
      </c>
    </row>
    <row r="423" ht="15.75" customHeight="1">
      <c r="A423" s="1">
        <v>2019.0</v>
      </c>
      <c r="B423" s="1" t="s">
        <v>46</v>
      </c>
      <c r="C423" s="1" t="s">
        <v>13</v>
      </c>
      <c r="D423" s="8">
        <v>11.0</v>
      </c>
      <c r="E423" s="8">
        <v>2.0</v>
      </c>
      <c r="F423" s="8">
        <v>17.0</v>
      </c>
      <c r="G423" s="1" t="s">
        <v>181</v>
      </c>
      <c r="H423" s="1" t="str">
        <f t="shared" si="1"/>
        <v>Odell</v>
      </c>
      <c r="I423" s="1" t="str">
        <f t="shared" si="2"/>
        <v>Beckham Jr</v>
      </c>
      <c r="J423" s="1" t="str">
        <f t="shared" si="3"/>
        <v>#N/A</v>
      </c>
      <c r="K423" s="1" t="str">
        <f>IFERROR(VLOOKUP($J423,Players!$D:$E,2,FALSE),VLOOKUP($G423,Players!A:E,5,FALSE))</f>
        <v>#N/A</v>
      </c>
    </row>
    <row r="424" ht="15.75" customHeight="1">
      <c r="A424" s="1">
        <v>2019.0</v>
      </c>
      <c r="B424" s="1" t="s">
        <v>46</v>
      </c>
      <c r="C424" s="1" t="s">
        <v>13</v>
      </c>
      <c r="D424" s="8">
        <v>11.0</v>
      </c>
      <c r="E424" s="8">
        <v>3.0</v>
      </c>
      <c r="F424" s="8">
        <v>32.0</v>
      </c>
      <c r="G424" s="1" t="s">
        <v>97</v>
      </c>
      <c r="H424" s="1" t="str">
        <f t="shared" si="1"/>
        <v>Josh</v>
      </c>
      <c r="I424" s="1" t="str">
        <f t="shared" si="2"/>
        <v>Jacobs</v>
      </c>
      <c r="J424" s="1" t="str">
        <f t="shared" si="3"/>
        <v>#N/A</v>
      </c>
      <c r="K424" s="1" t="str">
        <f>IFERROR(VLOOKUP($J424,Players!$D:$E,2,FALSE),VLOOKUP($G424,Players!A:E,5,FALSE))</f>
        <v>RB</v>
      </c>
    </row>
    <row r="425" ht="15.75" customHeight="1">
      <c r="A425" s="1">
        <v>2019.0</v>
      </c>
      <c r="B425" s="1" t="s">
        <v>46</v>
      </c>
      <c r="C425" s="1" t="s">
        <v>13</v>
      </c>
      <c r="D425" s="8">
        <v>11.0</v>
      </c>
      <c r="E425" s="8">
        <v>4.0</v>
      </c>
      <c r="F425" s="8">
        <v>41.0</v>
      </c>
      <c r="G425" s="1" t="s">
        <v>360</v>
      </c>
      <c r="H425" s="1" t="str">
        <f t="shared" si="1"/>
        <v>Melvin</v>
      </c>
      <c r="I425" s="1" t="str">
        <f t="shared" si="2"/>
        <v>Gordon III</v>
      </c>
      <c r="J425" s="1" t="str">
        <f t="shared" si="3"/>
        <v>#N/A</v>
      </c>
      <c r="K425" s="1" t="str">
        <f>IFERROR(VLOOKUP($J425,Players!$D:$E,2,FALSE),VLOOKUP($G425,Players!A:E,5,FALSE))</f>
        <v>#N/A</v>
      </c>
    </row>
    <row r="426" ht="15.75" customHeight="1">
      <c r="A426" s="1">
        <v>2019.0</v>
      </c>
      <c r="B426" s="1" t="s">
        <v>46</v>
      </c>
      <c r="C426" s="1" t="s">
        <v>13</v>
      </c>
      <c r="D426" s="8">
        <v>11.0</v>
      </c>
      <c r="E426" s="8">
        <v>5.0</v>
      </c>
      <c r="F426" s="8">
        <v>56.0</v>
      </c>
      <c r="G426" s="1" t="s">
        <v>965</v>
      </c>
      <c r="H426" s="1" t="str">
        <f t="shared" si="1"/>
        <v>Josh</v>
      </c>
      <c r="I426" s="1" t="str">
        <f t="shared" si="2"/>
        <v>Gordon</v>
      </c>
      <c r="J426" s="1" t="str">
        <f t="shared" si="3"/>
        <v>#N/A</v>
      </c>
      <c r="K426" s="1" t="str">
        <f>IFERROR(VLOOKUP($J426,Players!$D:$E,2,FALSE),VLOOKUP($G426,Players!A:E,5,FALSE))</f>
        <v>WR</v>
      </c>
    </row>
    <row r="427" ht="15.75" customHeight="1">
      <c r="A427" s="1">
        <v>2019.0</v>
      </c>
      <c r="B427" s="1" t="s">
        <v>46</v>
      </c>
      <c r="C427" s="1" t="s">
        <v>13</v>
      </c>
      <c r="D427" s="8">
        <v>11.0</v>
      </c>
      <c r="E427" s="8">
        <v>6.0</v>
      </c>
      <c r="F427" s="8">
        <v>65.0</v>
      </c>
      <c r="G427" s="1" t="s">
        <v>527</v>
      </c>
      <c r="H427" s="1" t="str">
        <f t="shared" si="1"/>
        <v>Hunter</v>
      </c>
      <c r="I427" s="1" t="str">
        <f t="shared" si="2"/>
        <v>Henry</v>
      </c>
      <c r="J427" s="1" t="str">
        <f t="shared" si="3"/>
        <v>#N/A</v>
      </c>
      <c r="K427" s="1" t="str">
        <f>IFERROR(VLOOKUP($J427,Players!$D:$E,2,FALSE),VLOOKUP($G427,Players!A:E,5,FALSE))</f>
        <v>TE</v>
      </c>
    </row>
    <row r="428" ht="15.75" customHeight="1">
      <c r="A428" s="1">
        <v>2019.0</v>
      </c>
      <c r="B428" s="1" t="s">
        <v>46</v>
      </c>
      <c r="C428" s="1" t="s">
        <v>13</v>
      </c>
      <c r="D428" s="8">
        <v>11.0</v>
      </c>
      <c r="E428" s="8">
        <v>7.0</v>
      </c>
      <c r="F428" s="8">
        <v>80.0</v>
      </c>
      <c r="G428" s="1" t="s">
        <v>969</v>
      </c>
      <c r="H428" s="1" t="str">
        <f t="shared" si="1"/>
        <v>Jared</v>
      </c>
      <c r="I428" s="1" t="str">
        <f t="shared" si="2"/>
        <v>Goff</v>
      </c>
      <c r="J428" s="1" t="str">
        <f t="shared" si="3"/>
        <v>#N/A</v>
      </c>
      <c r="K428" s="1" t="str">
        <f>IFERROR(VLOOKUP($J428,Players!$D:$E,2,FALSE),VLOOKUP($G428,Players!A:E,5,FALSE))</f>
        <v>QB</v>
      </c>
    </row>
    <row r="429" ht="15.75" customHeight="1">
      <c r="A429" s="1">
        <v>2019.0</v>
      </c>
      <c r="B429" s="1" t="s">
        <v>46</v>
      </c>
      <c r="C429" s="1" t="s">
        <v>13</v>
      </c>
      <c r="D429" s="8">
        <v>11.0</v>
      </c>
      <c r="E429" s="8">
        <v>8.0</v>
      </c>
      <c r="F429" s="8">
        <v>89.0</v>
      </c>
      <c r="G429" s="1" t="s">
        <v>699</v>
      </c>
      <c r="H429" s="1" t="str">
        <f t="shared" si="1"/>
        <v>Jordan</v>
      </c>
      <c r="I429" s="1" t="str">
        <f t="shared" si="2"/>
        <v>Howard</v>
      </c>
      <c r="J429" s="1" t="str">
        <f t="shared" si="3"/>
        <v>#N/A</v>
      </c>
      <c r="K429" s="1" t="str">
        <f>IFERROR(VLOOKUP($J429,Players!$D:$E,2,FALSE),VLOOKUP($G429,Players!A:E,5,FALSE))</f>
        <v>RB</v>
      </c>
    </row>
    <row r="430" ht="15.75" customHeight="1">
      <c r="A430" s="1">
        <v>2019.0</v>
      </c>
      <c r="B430" s="1" t="s">
        <v>46</v>
      </c>
      <c r="C430" s="1" t="s">
        <v>13</v>
      </c>
      <c r="D430" s="8">
        <v>11.0</v>
      </c>
      <c r="E430" s="8">
        <v>9.0</v>
      </c>
      <c r="F430" s="8">
        <v>104.0</v>
      </c>
      <c r="G430" s="1" t="s">
        <v>972</v>
      </c>
      <c r="H430" s="1" t="str">
        <f t="shared" si="1"/>
        <v>Donte</v>
      </c>
      <c r="I430" s="1" t="str">
        <f t="shared" si="2"/>
        <v>Moncrief</v>
      </c>
      <c r="J430" s="1" t="str">
        <f t="shared" si="3"/>
        <v>#N/A</v>
      </c>
      <c r="K430" s="1" t="str">
        <f>IFERROR(VLOOKUP($J430,Players!$D:$E,2,FALSE),VLOOKUP($G430,Players!A:E,5,FALSE))</f>
        <v>WR</v>
      </c>
    </row>
    <row r="431" ht="15.75" customHeight="1">
      <c r="A431" s="1">
        <v>2019.0</v>
      </c>
      <c r="B431" s="1" t="s">
        <v>46</v>
      </c>
      <c r="C431" s="1" t="s">
        <v>13</v>
      </c>
      <c r="D431" s="8">
        <v>11.0</v>
      </c>
      <c r="E431" s="8">
        <v>10.0</v>
      </c>
      <c r="F431" s="8">
        <v>113.0</v>
      </c>
      <c r="G431" s="1" t="s">
        <v>775</v>
      </c>
      <c r="H431" s="1" t="str">
        <f t="shared" si="1"/>
        <v>Larry</v>
      </c>
      <c r="I431" s="1" t="str">
        <f t="shared" si="2"/>
        <v>Fitzgerald</v>
      </c>
      <c r="J431" s="1" t="str">
        <f t="shared" si="3"/>
        <v>#N/A</v>
      </c>
      <c r="K431" s="1" t="str">
        <f>IFERROR(VLOOKUP($J431,Players!$D:$E,2,FALSE),VLOOKUP($G431,Players!A:E,5,FALSE))</f>
        <v>WR</v>
      </c>
    </row>
    <row r="432" ht="15.75" customHeight="1">
      <c r="A432" s="1">
        <v>2019.0</v>
      </c>
      <c r="B432" s="1" t="s">
        <v>46</v>
      </c>
      <c r="C432" s="1" t="s">
        <v>13</v>
      </c>
      <c r="D432" s="8">
        <v>11.0</v>
      </c>
      <c r="E432" s="8">
        <v>11.0</v>
      </c>
      <c r="F432" s="8">
        <v>128.0</v>
      </c>
      <c r="G432" s="1" t="s">
        <v>190</v>
      </c>
      <c r="H432" s="1" t="str">
        <f t="shared" si="1"/>
        <v>Justin</v>
      </c>
      <c r="I432" s="1" t="str">
        <f t="shared" si="2"/>
        <v>Tucker</v>
      </c>
      <c r="J432" s="1" t="str">
        <f t="shared" si="3"/>
        <v>#N/A</v>
      </c>
      <c r="K432" s="1" t="str">
        <f>IFERROR(VLOOKUP($J432,Players!$D:$E,2,FALSE),VLOOKUP($G432,Players!A:E,5,FALSE))</f>
        <v>K</v>
      </c>
    </row>
    <row r="433" ht="15.75" customHeight="1">
      <c r="A433" s="1">
        <v>2019.0</v>
      </c>
      <c r="B433" s="1" t="s">
        <v>46</v>
      </c>
      <c r="C433" s="1" t="s">
        <v>13</v>
      </c>
      <c r="D433" s="8">
        <v>11.0</v>
      </c>
      <c r="E433" s="8">
        <v>12.0</v>
      </c>
      <c r="F433" s="8">
        <v>137.0</v>
      </c>
      <c r="G433" s="1" t="s">
        <v>502</v>
      </c>
      <c r="H433" s="1" t="str">
        <f t="shared" si="1"/>
        <v>#VALUE!</v>
      </c>
      <c r="I433" s="1" t="str">
        <f t="shared" si="2"/>
        <v>#VALUE!</v>
      </c>
      <c r="J433" s="1" t="str">
        <f t="shared" si="3"/>
        <v>#N/A</v>
      </c>
      <c r="K433" s="1" t="str">
        <f>IFERROR(VLOOKUP($J433,Players!$D:$E,2,FALSE),VLOOKUP($G433,Players!A:E,5,FALSE))</f>
        <v>DEF</v>
      </c>
    </row>
    <row r="434" ht="15.75" customHeight="1">
      <c r="A434" s="1">
        <v>2019.0</v>
      </c>
      <c r="B434" s="1" t="s">
        <v>46</v>
      </c>
      <c r="C434" s="1" t="s">
        <v>13</v>
      </c>
      <c r="D434" s="8">
        <v>11.0</v>
      </c>
      <c r="E434" s="8">
        <v>13.0</v>
      </c>
      <c r="F434" s="8">
        <v>152.0</v>
      </c>
      <c r="G434" s="1" t="s">
        <v>197</v>
      </c>
      <c r="H434" s="1" t="str">
        <f t="shared" si="1"/>
        <v>Adrian</v>
      </c>
      <c r="I434" s="1" t="str">
        <f t="shared" si="2"/>
        <v>Peterson</v>
      </c>
      <c r="J434" s="1" t="str">
        <f t="shared" si="3"/>
        <v>#N/A</v>
      </c>
      <c r="K434" s="1" t="str">
        <f>IFERROR(VLOOKUP($J434,Players!$D:$E,2,FALSE),VLOOKUP($G434,Players!A:E,5,FALSE))</f>
        <v>RB</v>
      </c>
    </row>
    <row r="435" ht="15.75" customHeight="1">
      <c r="A435" s="1">
        <v>2019.0</v>
      </c>
      <c r="B435" s="1" t="s">
        <v>46</v>
      </c>
      <c r="C435" s="1" t="s">
        <v>13</v>
      </c>
      <c r="D435" s="8">
        <v>11.0</v>
      </c>
      <c r="E435" s="8">
        <v>14.0</v>
      </c>
      <c r="F435" s="8">
        <v>161.0</v>
      </c>
      <c r="G435" s="1" t="s">
        <v>982</v>
      </c>
      <c r="H435" s="1" t="str">
        <f t="shared" si="1"/>
        <v>Keke</v>
      </c>
      <c r="I435" s="1" t="str">
        <f t="shared" si="2"/>
        <v>Coutee</v>
      </c>
      <c r="J435" s="1" t="str">
        <f t="shared" si="3"/>
        <v>#N/A</v>
      </c>
      <c r="K435" s="1" t="str">
        <f>IFERROR(VLOOKUP($J435,Players!$D:$E,2,FALSE),VLOOKUP($G435,Players!A:E,5,FALSE))</f>
        <v>WR</v>
      </c>
    </row>
    <row r="436" ht="15.75" customHeight="1">
      <c r="A436" s="1">
        <v>2019.0</v>
      </c>
      <c r="B436" s="1" t="s">
        <v>46</v>
      </c>
      <c r="C436" s="1" t="s">
        <v>13</v>
      </c>
      <c r="D436" s="8">
        <v>11.0</v>
      </c>
      <c r="E436" s="8">
        <v>15.0</v>
      </c>
      <c r="F436" s="8">
        <v>176.0</v>
      </c>
      <c r="G436" s="1" t="s">
        <v>985</v>
      </c>
      <c r="H436" s="1" t="str">
        <f t="shared" si="1"/>
        <v>Albert</v>
      </c>
      <c r="I436" s="1" t="str">
        <f t="shared" si="2"/>
        <v>Wilson</v>
      </c>
      <c r="J436" s="1" t="str">
        <f t="shared" si="3"/>
        <v>#N/A</v>
      </c>
      <c r="K436" s="1" t="str">
        <f>IFERROR(VLOOKUP($J436,Players!$D:$E,2,FALSE),VLOOKUP($G436,Players!A:E,5,FALSE))</f>
        <v>#N/A</v>
      </c>
    </row>
    <row r="437" ht="15.75" customHeight="1">
      <c r="A437" s="1">
        <v>2019.0</v>
      </c>
      <c r="B437" s="1" t="s">
        <v>50</v>
      </c>
      <c r="C437" s="1" t="s">
        <v>8</v>
      </c>
      <c r="D437" s="8">
        <v>10.0</v>
      </c>
      <c r="E437" s="8">
        <v>1.0</v>
      </c>
      <c r="F437" s="8">
        <v>9.0</v>
      </c>
      <c r="G437" s="1" t="s">
        <v>96</v>
      </c>
      <c r="H437" s="1" t="str">
        <f t="shared" si="1"/>
        <v>Julio</v>
      </c>
      <c r="I437" s="1" t="str">
        <f t="shared" si="2"/>
        <v>Jones</v>
      </c>
      <c r="J437" s="1" t="str">
        <f t="shared" si="3"/>
        <v>#N/A</v>
      </c>
      <c r="K437" s="1" t="str">
        <f>IFERROR(VLOOKUP($J437,Players!$D:$E,2,FALSE),VLOOKUP($G437,Players!A:E,5,FALSE))</f>
        <v>WR</v>
      </c>
    </row>
    <row r="438" ht="15.75" customHeight="1">
      <c r="A438" s="1">
        <v>2019.0</v>
      </c>
      <c r="B438" s="1" t="s">
        <v>50</v>
      </c>
      <c r="C438" s="1" t="s">
        <v>8</v>
      </c>
      <c r="D438" s="8">
        <v>10.0</v>
      </c>
      <c r="E438" s="8">
        <v>2.0</v>
      </c>
      <c r="F438" s="8">
        <v>16.0</v>
      </c>
      <c r="G438" s="1" t="s">
        <v>93</v>
      </c>
      <c r="H438" s="1" t="str">
        <f t="shared" si="1"/>
        <v>Dalvin</v>
      </c>
      <c r="I438" s="1" t="str">
        <f t="shared" si="2"/>
        <v>Cook</v>
      </c>
      <c r="J438" s="1" t="str">
        <f t="shared" si="3"/>
        <v>#N/A</v>
      </c>
      <c r="K438" s="1" t="str">
        <f>IFERROR(VLOOKUP($J438,Players!$D:$E,2,FALSE),VLOOKUP($G438,Players!A:E,5,FALSE))</f>
        <v>RB</v>
      </c>
    </row>
    <row r="439" ht="15.75" customHeight="1">
      <c r="A439" s="1">
        <v>2019.0</v>
      </c>
      <c r="B439" s="1" t="s">
        <v>50</v>
      </c>
      <c r="C439" s="1" t="s">
        <v>8</v>
      </c>
      <c r="D439" s="8">
        <v>10.0</v>
      </c>
      <c r="E439" s="8">
        <v>3.0</v>
      </c>
      <c r="F439" s="8">
        <v>33.0</v>
      </c>
      <c r="G439" s="1" t="s">
        <v>263</v>
      </c>
      <c r="H439" s="1" t="str">
        <f t="shared" si="1"/>
        <v>Amari</v>
      </c>
      <c r="I439" s="1" t="str">
        <f t="shared" si="2"/>
        <v>Cooper</v>
      </c>
      <c r="J439" s="1" t="str">
        <f t="shared" si="3"/>
        <v>#N/A</v>
      </c>
      <c r="K439" s="1" t="str">
        <f>IFERROR(VLOOKUP($J439,Players!$D:$E,2,FALSE),VLOOKUP($G439,Players!A:E,5,FALSE))</f>
        <v>WR</v>
      </c>
    </row>
    <row r="440" ht="15.75" customHeight="1">
      <c r="A440" s="1">
        <v>2019.0</v>
      </c>
      <c r="B440" s="1" t="s">
        <v>50</v>
      </c>
      <c r="C440" s="1" t="s">
        <v>8</v>
      </c>
      <c r="D440" s="8">
        <v>10.0</v>
      </c>
      <c r="E440" s="8">
        <v>4.0</v>
      </c>
      <c r="F440" s="8">
        <v>40.0</v>
      </c>
      <c r="G440" s="1" t="s">
        <v>491</v>
      </c>
      <c r="H440" s="1" t="str">
        <f t="shared" si="1"/>
        <v>Kerryon</v>
      </c>
      <c r="I440" s="1" t="str">
        <f t="shared" si="2"/>
        <v>Johnson</v>
      </c>
      <c r="J440" s="1" t="str">
        <f t="shared" si="3"/>
        <v>#N/A</v>
      </c>
      <c r="K440" s="1" t="str">
        <f>IFERROR(VLOOKUP($J440,Players!$D:$E,2,FALSE),VLOOKUP($G440,Players!A:E,5,FALSE))</f>
        <v>RB</v>
      </c>
    </row>
    <row r="441" ht="15.75" customHeight="1">
      <c r="A441" s="1">
        <v>2019.0</v>
      </c>
      <c r="B441" s="1" t="s">
        <v>50</v>
      </c>
      <c r="C441" s="1" t="s">
        <v>8</v>
      </c>
      <c r="D441" s="8">
        <v>10.0</v>
      </c>
      <c r="E441" s="8">
        <v>5.0</v>
      </c>
      <c r="F441" s="8">
        <v>57.0</v>
      </c>
      <c r="G441" s="1" t="s">
        <v>620</v>
      </c>
      <c r="H441" s="1" t="str">
        <f t="shared" si="1"/>
        <v>Phillip</v>
      </c>
      <c r="I441" s="1" t="str">
        <f t="shared" si="2"/>
        <v>Lindsay</v>
      </c>
      <c r="J441" s="1" t="str">
        <f t="shared" si="3"/>
        <v>#N/A</v>
      </c>
      <c r="K441" s="1" t="str">
        <f>IFERROR(VLOOKUP($J441,Players!$D:$E,2,FALSE),VLOOKUP($G441,Players!A:E,5,FALSE))</f>
        <v>RB</v>
      </c>
    </row>
    <row r="442" ht="15.75" customHeight="1">
      <c r="A442" s="1">
        <v>2019.0</v>
      </c>
      <c r="B442" s="1" t="s">
        <v>50</v>
      </c>
      <c r="C442" s="1" t="s">
        <v>8</v>
      </c>
      <c r="D442" s="8">
        <v>10.0</v>
      </c>
      <c r="E442" s="8">
        <v>6.0</v>
      </c>
      <c r="F442" s="8">
        <v>64.0</v>
      </c>
      <c r="G442" s="1" t="s">
        <v>481</v>
      </c>
      <c r="H442" s="1" t="str">
        <f t="shared" si="1"/>
        <v>Carson</v>
      </c>
      <c r="I442" s="1" t="str">
        <f t="shared" si="2"/>
        <v>Wentz</v>
      </c>
      <c r="J442" s="1" t="str">
        <f t="shared" si="3"/>
        <v>#N/A</v>
      </c>
      <c r="K442" s="1" t="str">
        <f>IFERROR(VLOOKUP($J442,Players!$D:$E,2,FALSE),VLOOKUP($G442,Players!A:E,5,FALSE))</f>
        <v>QB</v>
      </c>
    </row>
    <row r="443" ht="15.75" customHeight="1">
      <c r="A443" s="1">
        <v>2019.0</v>
      </c>
      <c r="B443" s="1" t="s">
        <v>50</v>
      </c>
      <c r="C443" s="1" t="s">
        <v>8</v>
      </c>
      <c r="D443" s="8">
        <v>10.0</v>
      </c>
      <c r="E443" s="8">
        <v>7.0</v>
      </c>
      <c r="F443" s="8">
        <v>81.0</v>
      </c>
      <c r="G443" s="1" t="s">
        <v>818</v>
      </c>
      <c r="H443" s="1" t="str">
        <f t="shared" si="1"/>
        <v>Christian</v>
      </c>
      <c r="I443" s="1" t="str">
        <f t="shared" si="2"/>
        <v>Kirk</v>
      </c>
      <c r="J443" s="1" t="str">
        <f t="shared" si="3"/>
        <v>#N/A</v>
      </c>
      <c r="K443" s="1" t="str">
        <f>IFERROR(VLOOKUP($J443,Players!$D:$E,2,FALSE),VLOOKUP($G443,Players!A:E,5,FALSE))</f>
        <v>WR</v>
      </c>
    </row>
    <row r="444" ht="15.75" customHeight="1">
      <c r="A444" s="1">
        <v>2019.0</v>
      </c>
      <c r="B444" s="1" t="s">
        <v>50</v>
      </c>
      <c r="C444" s="1" t="s">
        <v>8</v>
      </c>
      <c r="D444" s="8">
        <v>10.0</v>
      </c>
      <c r="E444" s="8">
        <v>8.0</v>
      </c>
      <c r="F444" s="8">
        <v>88.0</v>
      </c>
      <c r="G444" s="1" t="s">
        <v>1000</v>
      </c>
      <c r="H444" s="1" t="str">
        <f t="shared" si="1"/>
        <v>David</v>
      </c>
      <c r="I444" s="1" t="str">
        <f t="shared" si="2"/>
        <v>Njoku</v>
      </c>
      <c r="J444" s="1" t="str">
        <f t="shared" si="3"/>
        <v>#N/A</v>
      </c>
      <c r="K444" s="1" t="str">
        <f>IFERROR(VLOOKUP($J444,Players!$D:$E,2,FALSE),VLOOKUP($G444,Players!A:E,5,FALSE))</f>
        <v>TE</v>
      </c>
    </row>
    <row r="445" ht="15.75" customHeight="1">
      <c r="A445" s="1">
        <v>2019.0</v>
      </c>
      <c r="B445" s="1" t="s">
        <v>50</v>
      </c>
      <c r="C445" s="1" t="s">
        <v>8</v>
      </c>
      <c r="D445" s="8">
        <v>10.0</v>
      </c>
      <c r="E445" s="8">
        <v>9.0</v>
      </c>
      <c r="F445" s="8">
        <v>105.0</v>
      </c>
      <c r="G445" s="1" t="s">
        <v>984</v>
      </c>
      <c r="H445" s="1" t="str">
        <f t="shared" si="1"/>
        <v>Dante</v>
      </c>
      <c r="I445" s="1" t="str">
        <f t="shared" si="2"/>
        <v>Pettis</v>
      </c>
      <c r="J445" s="1" t="str">
        <f t="shared" si="3"/>
        <v>#N/A</v>
      </c>
      <c r="K445" s="1" t="str">
        <f>IFERROR(VLOOKUP($J445,Players!$D:$E,2,FALSE),VLOOKUP($G445,Players!A:E,5,FALSE))</f>
        <v>WR</v>
      </c>
    </row>
    <row r="446" ht="15.75" customHeight="1">
      <c r="A446" s="1">
        <v>2019.0</v>
      </c>
      <c r="B446" s="1" t="s">
        <v>50</v>
      </c>
      <c r="C446" s="1" t="s">
        <v>8</v>
      </c>
      <c r="D446" s="8">
        <v>10.0</v>
      </c>
      <c r="E446" s="8">
        <v>10.0</v>
      </c>
      <c r="F446" s="8">
        <v>112.0</v>
      </c>
      <c r="G446" s="1" t="s">
        <v>701</v>
      </c>
      <c r="H446" s="1" t="str">
        <f t="shared" si="1"/>
        <v>DeSean</v>
      </c>
      <c r="I446" s="1" t="str">
        <f t="shared" si="2"/>
        <v>Jackson</v>
      </c>
      <c r="J446" s="1" t="str">
        <f t="shared" si="3"/>
        <v>#N/A</v>
      </c>
      <c r="K446" s="1" t="str">
        <f>IFERROR(VLOOKUP($J446,Players!$D:$E,2,FALSE),VLOOKUP($G446,Players!A:E,5,FALSE))</f>
        <v>WR</v>
      </c>
    </row>
    <row r="447" ht="15.75" customHeight="1">
      <c r="A447" s="1">
        <v>2019.0</v>
      </c>
      <c r="B447" s="1" t="s">
        <v>50</v>
      </c>
      <c r="C447" s="1" t="s">
        <v>8</v>
      </c>
      <c r="D447" s="8">
        <v>10.0</v>
      </c>
      <c r="E447" s="8">
        <v>11.0</v>
      </c>
      <c r="F447" s="8">
        <v>129.0</v>
      </c>
      <c r="G447" s="1" t="s">
        <v>485</v>
      </c>
      <c r="H447" s="1" t="str">
        <f t="shared" si="1"/>
        <v>John</v>
      </c>
      <c r="I447" s="1" t="str">
        <f t="shared" si="2"/>
        <v>Brown</v>
      </c>
      <c r="J447" s="1" t="str">
        <f t="shared" si="3"/>
        <v>#N/A</v>
      </c>
      <c r="K447" s="1" t="str">
        <f>IFERROR(VLOOKUP($J447,Players!$D:$E,2,FALSE),VLOOKUP($G447,Players!A:E,5,FALSE))</f>
        <v>WR</v>
      </c>
    </row>
    <row r="448" ht="15.75" customHeight="1">
      <c r="A448" s="1">
        <v>2019.0</v>
      </c>
      <c r="B448" s="1" t="s">
        <v>50</v>
      </c>
      <c r="C448" s="1" t="s">
        <v>8</v>
      </c>
      <c r="D448" s="8">
        <v>10.0</v>
      </c>
      <c r="E448" s="8">
        <v>12.0</v>
      </c>
      <c r="F448" s="8">
        <v>136.0</v>
      </c>
      <c r="G448" s="1" t="s">
        <v>1007</v>
      </c>
      <c r="H448" s="1" t="str">
        <f t="shared" si="1"/>
        <v>Peyton</v>
      </c>
      <c r="I448" s="1" t="str">
        <f t="shared" si="2"/>
        <v>Barber</v>
      </c>
      <c r="J448" s="1" t="str">
        <f t="shared" si="3"/>
        <v>#N/A</v>
      </c>
      <c r="K448" s="1" t="str">
        <f>IFERROR(VLOOKUP($J448,Players!$D:$E,2,FALSE),VLOOKUP($G448,Players!A:E,5,FALSE))</f>
        <v>RB</v>
      </c>
    </row>
    <row r="449" ht="15.75" customHeight="1">
      <c r="A449" s="1">
        <v>2019.0</v>
      </c>
      <c r="B449" s="1" t="s">
        <v>50</v>
      </c>
      <c r="C449" s="1" t="s">
        <v>8</v>
      </c>
      <c r="D449" s="8">
        <v>10.0</v>
      </c>
      <c r="E449" s="8">
        <v>13.0</v>
      </c>
      <c r="F449" s="8">
        <v>153.0</v>
      </c>
      <c r="G449" s="1" t="s">
        <v>267</v>
      </c>
      <c r="H449" s="1" t="str">
        <f t="shared" si="1"/>
        <v>Tom</v>
      </c>
      <c r="I449" s="1" t="str">
        <f t="shared" si="2"/>
        <v>Brady</v>
      </c>
      <c r="J449" s="1" t="str">
        <f t="shared" si="3"/>
        <v>#N/A</v>
      </c>
      <c r="K449" s="1" t="str">
        <f>IFERROR(VLOOKUP($J449,Players!$D:$E,2,FALSE),VLOOKUP($G449,Players!A:E,5,FALSE))</f>
        <v>QB</v>
      </c>
    </row>
    <row r="450" ht="15.75" customHeight="1">
      <c r="A450" s="1">
        <v>2019.0</v>
      </c>
      <c r="B450" s="1" t="s">
        <v>50</v>
      </c>
      <c r="C450" s="1" t="s">
        <v>8</v>
      </c>
      <c r="D450" s="8">
        <v>10.0</v>
      </c>
      <c r="E450" s="8">
        <v>14.0</v>
      </c>
      <c r="F450" s="8">
        <v>160.0</v>
      </c>
      <c r="G450" s="1" t="s">
        <v>231</v>
      </c>
      <c r="H450" s="1" t="str">
        <f t="shared" si="1"/>
        <v>Los</v>
      </c>
      <c r="I450" s="1" t="str">
        <f t="shared" si="2"/>
        <v>Angeles</v>
      </c>
      <c r="J450" s="1" t="str">
        <f t="shared" si="3"/>
        <v>#N/A</v>
      </c>
      <c r="K450" s="1" t="str">
        <f>IFERROR(VLOOKUP($J450,Players!$D:$E,2,FALSE),VLOOKUP($G450,Players!A:E,5,FALSE))</f>
        <v>DEF</v>
      </c>
    </row>
    <row r="451" ht="15.75" customHeight="1">
      <c r="A451" s="1">
        <v>2019.0</v>
      </c>
      <c r="B451" s="1" t="s">
        <v>50</v>
      </c>
      <c r="C451" s="1" t="s">
        <v>8</v>
      </c>
      <c r="D451" s="8">
        <v>10.0</v>
      </c>
      <c r="E451" s="8">
        <v>15.0</v>
      </c>
      <c r="F451" s="8">
        <v>177.0</v>
      </c>
      <c r="G451" s="1" t="s">
        <v>188</v>
      </c>
      <c r="H451" s="1" t="str">
        <f t="shared" si="1"/>
        <v>Adam</v>
      </c>
      <c r="I451" s="1" t="str">
        <f t="shared" si="2"/>
        <v>Vinatieri</v>
      </c>
      <c r="J451" s="1" t="str">
        <f t="shared" si="3"/>
        <v>#N/A</v>
      </c>
      <c r="K451" s="1" t="str">
        <f>IFERROR(VLOOKUP($J451,Players!$D:$E,2,FALSE),VLOOKUP($G451,Players!A:E,5,FALSE))</f>
        <v>K</v>
      </c>
    </row>
    <row r="452" ht="15.75" customHeight="1">
      <c r="A452" s="1">
        <v>2019.0</v>
      </c>
      <c r="B452" s="1" t="s">
        <v>16</v>
      </c>
      <c r="C452" s="1" t="s">
        <v>15</v>
      </c>
      <c r="D452" s="8">
        <v>4.0</v>
      </c>
      <c r="E452" s="8">
        <v>1.0</v>
      </c>
      <c r="F452" s="8">
        <v>1.0</v>
      </c>
      <c r="G452" s="1" t="s">
        <v>108</v>
      </c>
      <c r="H452" s="1" t="str">
        <f t="shared" si="1"/>
        <v>Alvin</v>
      </c>
      <c r="I452" s="1" t="str">
        <f t="shared" si="2"/>
        <v>Kamara</v>
      </c>
      <c r="J452" s="1" t="str">
        <f t="shared" si="3"/>
        <v>#N/A</v>
      </c>
      <c r="K452" s="1" t="str">
        <f>IFERROR(VLOOKUP($J452,Players!$D:$E,2,FALSE),VLOOKUP($G452,Players!A:E,5,FALSE))</f>
        <v>RB</v>
      </c>
    </row>
    <row r="453" ht="15.75" customHeight="1">
      <c r="A453" s="1">
        <v>2019.0</v>
      </c>
      <c r="B453" s="1" t="s">
        <v>16</v>
      </c>
      <c r="C453" s="1" t="s">
        <v>15</v>
      </c>
      <c r="D453" s="8">
        <v>4.0</v>
      </c>
      <c r="E453" s="8">
        <v>2.0</v>
      </c>
      <c r="F453" s="8">
        <v>24.0</v>
      </c>
      <c r="G453" s="1" t="s">
        <v>112</v>
      </c>
      <c r="H453" s="1" t="str">
        <f t="shared" si="1"/>
        <v>Adam</v>
      </c>
      <c r="I453" s="1" t="str">
        <f t="shared" si="2"/>
        <v>Thielen</v>
      </c>
      <c r="J453" s="1" t="str">
        <f t="shared" si="3"/>
        <v>#N/A</v>
      </c>
      <c r="K453" s="1" t="str">
        <f>IFERROR(VLOOKUP($J453,Players!$D:$E,2,FALSE),VLOOKUP($G453,Players!A:E,5,FALSE))</f>
        <v>WR</v>
      </c>
    </row>
    <row r="454" ht="15.75" customHeight="1">
      <c r="A454" s="1">
        <v>2019.0</v>
      </c>
      <c r="B454" s="1" t="s">
        <v>16</v>
      </c>
      <c r="C454" s="1" t="s">
        <v>15</v>
      </c>
      <c r="D454" s="8">
        <v>4.0</v>
      </c>
      <c r="E454" s="8">
        <v>3.0</v>
      </c>
      <c r="F454" s="8">
        <v>25.0</v>
      </c>
      <c r="G454" s="1" t="s">
        <v>943</v>
      </c>
      <c r="H454" s="1" t="str">
        <f t="shared" si="1"/>
        <v>Damien</v>
      </c>
      <c r="I454" s="1" t="str">
        <f t="shared" si="2"/>
        <v>Williams</v>
      </c>
      <c r="J454" s="1" t="str">
        <f t="shared" si="3"/>
        <v>#N/A</v>
      </c>
      <c r="K454" s="1" t="str">
        <f>IFERROR(VLOOKUP($J454,Players!$D:$E,2,FALSE),VLOOKUP($G454,Players!A:E,5,FALSE))</f>
        <v>RB</v>
      </c>
    </row>
    <row r="455" ht="15.75" customHeight="1">
      <c r="A455" s="1">
        <v>2019.0</v>
      </c>
      <c r="B455" s="1" t="s">
        <v>16</v>
      </c>
      <c r="C455" s="1" t="s">
        <v>15</v>
      </c>
      <c r="D455" s="8">
        <v>4.0</v>
      </c>
      <c r="E455" s="8">
        <v>4.0</v>
      </c>
      <c r="F455" s="8">
        <v>48.0</v>
      </c>
      <c r="G455" s="1" t="s">
        <v>117</v>
      </c>
      <c r="H455" s="1" t="str">
        <f t="shared" si="1"/>
        <v>Jarvis</v>
      </c>
      <c r="I455" s="1" t="str">
        <f t="shared" si="2"/>
        <v>Landry</v>
      </c>
      <c r="J455" s="1" t="str">
        <f t="shared" si="3"/>
        <v>#N/A</v>
      </c>
      <c r="K455" s="1" t="str">
        <f>IFERROR(VLOOKUP($J455,Players!$D:$E,2,FALSE),VLOOKUP($G455,Players!A:E,5,FALSE))</f>
        <v>WR</v>
      </c>
    </row>
    <row r="456" ht="15.75" customHeight="1">
      <c r="A456" s="1">
        <v>2019.0</v>
      </c>
      <c r="B456" s="1" t="s">
        <v>16</v>
      </c>
      <c r="C456" s="1" t="s">
        <v>15</v>
      </c>
      <c r="D456" s="8">
        <v>4.0</v>
      </c>
      <c r="E456" s="8">
        <v>5.0</v>
      </c>
      <c r="F456" s="8">
        <v>49.0</v>
      </c>
      <c r="G456" s="1" t="s">
        <v>170</v>
      </c>
      <c r="H456" s="1" t="str">
        <f t="shared" si="1"/>
        <v>Calvin</v>
      </c>
      <c r="I456" s="1" t="str">
        <f t="shared" si="2"/>
        <v>Ridley</v>
      </c>
      <c r="J456" s="1" t="str">
        <f t="shared" si="3"/>
        <v>#N/A</v>
      </c>
      <c r="K456" s="1" t="str">
        <f>IFERROR(VLOOKUP($J456,Players!$D:$E,2,FALSE),VLOOKUP($G456,Players!A:E,5,FALSE))</f>
        <v>WR</v>
      </c>
    </row>
    <row r="457" ht="15.75" customHeight="1">
      <c r="A457" s="1">
        <v>2019.0</v>
      </c>
      <c r="B457" s="1" t="s">
        <v>16</v>
      </c>
      <c r="C457" s="1" t="s">
        <v>15</v>
      </c>
      <c r="D457" s="8">
        <v>4.0</v>
      </c>
      <c r="E457" s="8">
        <v>6.0</v>
      </c>
      <c r="F457" s="8">
        <v>72.0</v>
      </c>
      <c r="G457" s="1" t="s">
        <v>320</v>
      </c>
      <c r="H457" s="1" t="str">
        <f t="shared" si="1"/>
        <v>Mike</v>
      </c>
      <c r="I457" s="1" t="str">
        <f t="shared" si="2"/>
        <v>Williams</v>
      </c>
      <c r="J457" s="1" t="str">
        <f t="shared" si="3"/>
        <v>#N/A</v>
      </c>
      <c r="K457" s="1" t="str">
        <f>IFERROR(VLOOKUP($J457,Players!$D:$E,2,FALSE),VLOOKUP($G457,Players!A:E,5,FALSE))</f>
        <v>WR</v>
      </c>
    </row>
    <row r="458" ht="15.75" customHeight="1">
      <c r="A458" s="1">
        <v>2019.0</v>
      </c>
      <c r="B458" s="1" t="s">
        <v>16</v>
      </c>
      <c r="C458" s="1" t="s">
        <v>15</v>
      </c>
      <c r="D458" s="8">
        <v>4.0</v>
      </c>
      <c r="E458" s="8">
        <v>7.0</v>
      </c>
      <c r="F458" s="8">
        <v>73.0</v>
      </c>
      <c r="G458" s="1" t="s">
        <v>524</v>
      </c>
      <c r="H458" s="1" t="str">
        <f t="shared" si="1"/>
        <v>Matt</v>
      </c>
      <c r="I458" s="1" t="str">
        <f t="shared" si="2"/>
        <v>Ryan</v>
      </c>
      <c r="J458" s="1" t="str">
        <f t="shared" si="3"/>
        <v>#N/A</v>
      </c>
      <c r="K458" s="1" t="str">
        <f>IFERROR(VLOOKUP($J458,Players!$D:$E,2,FALSE),VLOOKUP($G458,Players!A:E,5,FALSE))</f>
        <v>QB</v>
      </c>
    </row>
    <row r="459" ht="15.75" customHeight="1">
      <c r="A459" s="1">
        <v>2019.0</v>
      </c>
      <c r="B459" s="1" t="s">
        <v>16</v>
      </c>
      <c r="C459" s="1" t="s">
        <v>15</v>
      </c>
      <c r="D459" s="8">
        <v>4.0</v>
      </c>
      <c r="E459" s="8">
        <v>8.0</v>
      </c>
      <c r="F459" s="8">
        <v>96.0</v>
      </c>
      <c r="G459" s="1" t="s">
        <v>488</v>
      </c>
      <c r="H459" s="1" t="str">
        <f t="shared" si="1"/>
        <v>Jamison</v>
      </c>
      <c r="I459" s="1" t="str">
        <f t="shared" si="2"/>
        <v>Crowder</v>
      </c>
      <c r="J459" s="1" t="str">
        <f t="shared" si="3"/>
        <v>#N/A</v>
      </c>
      <c r="K459" s="1" t="str">
        <f>IFERROR(VLOOKUP($J459,Players!$D:$E,2,FALSE),VLOOKUP($G459,Players!A:E,5,FALSE))</f>
        <v>WR</v>
      </c>
    </row>
    <row r="460" ht="15.75" customHeight="1">
      <c r="A460" s="1">
        <v>2019.0</v>
      </c>
      <c r="B460" s="1" t="s">
        <v>16</v>
      </c>
      <c r="C460" s="1" t="s">
        <v>15</v>
      </c>
      <c r="D460" s="8">
        <v>4.0</v>
      </c>
      <c r="E460" s="8">
        <v>9.0</v>
      </c>
      <c r="F460" s="8">
        <v>97.0</v>
      </c>
      <c r="G460" s="1" t="s">
        <v>1025</v>
      </c>
      <c r="H460" s="1" t="str">
        <f t="shared" si="1"/>
        <v>Royce</v>
      </c>
      <c r="I460" s="1" t="str">
        <f t="shared" si="2"/>
        <v>Freeman</v>
      </c>
      <c r="J460" s="1" t="str">
        <f t="shared" si="3"/>
        <v>#N/A</v>
      </c>
      <c r="K460" s="1" t="str">
        <f>IFERROR(VLOOKUP($J460,Players!$D:$E,2,FALSE),VLOOKUP($G460,Players!A:E,5,FALSE))</f>
        <v>RB</v>
      </c>
    </row>
    <row r="461" ht="15.75" customHeight="1">
      <c r="A461" s="1">
        <v>2019.0</v>
      </c>
      <c r="B461" s="1" t="s">
        <v>16</v>
      </c>
      <c r="C461" s="1" t="s">
        <v>15</v>
      </c>
      <c r="D461" s="8">
        <v>4.0</v>
      </c>
      <c r="E461" s="8">
        <v>10.0</v>
      </c>
      <c r="F461" s="8">
        <v>120.0</v>
      </c>
      <c r="G461" s="1" t="s">
        <v>1028</v>
      </c>
      <c r="H461" s="1" t="str">
        <f t="shared" si="1"/>
        <v>Greg</v>
      </c>
      <c r="I461" s="1" t="str">
        <f t="shared" si="2"/>
        <v>Olsen</v>
      </c>
      <c r="J461" s="1" t="str">
        <f t="shared" si="3"/>
        <v>#N/A</v>
      </c>
      <c r="K461" s="1" t="str">
        <f>IFERROR(VLOOKUP($J461,Players!$D:$E,2,FALSE),VLOOKUP($G461,Players!A:E,5,FALSE))</f>
        <v>TE</v>
      </c>
    </row>
    <row r="462" ht="15.75" customHeight="1">
      <c r="A462" s="1">
        <v>2019.0</v>
      </c>
      <c r="B462" s="1" t="s">
        <v>16</v>
      </c>
      <c r="C462" s="1" t="s">
        <v>15</v>
      </c>
      <c r="D462" s="8">
        <v>4.0</v>
      </c>
      <c r="E462" s="8">
        <v>11.0</v>
      </c>
      <c r="F462" s="8">
        <v>121.0</v>
      </c>
      <c r="G462" s="1" t="s">
        <v>1030</v>
      </c>
      <c r="H462" s="1" t="str">
        <f t="shared" si="1"/>
        <v>Jaylen</v>
      </c>
      <c r="I462" s="1" t="str">
        <f t="shared" si="2"/>
        <v>Samuels</v>
      </c>
      <c r="J462" s="1" t="str">
        <f t="shared" si="3"/>
        <v>#N/A</v>
      </c>
      <c r="K462" s="1" t="str">
        <f>IFERROR(VLOOKUP($J462,Players!$D:$E,2,FALSE),VLOOKUP($G462,Players!A:E,5,FALSE))</f>
        <v>RB</v>
      </c>
    </row>
    <row r="463" ht="15.75" customHeight="1">
      <c r="A463" s="1">
        <v>2019.0</v>
      </c>
      <c r="B463" s="1" t="s">
        <v>16</v>
      </c>
      <c r="C463" s="1" t="s">
        <v>15</v>
      </c>
      <c r="D463" s="8">
        <v>4.0</v>
      </c>
      <c r="E463" s="8">
        <v>12.0</v>
      </c>
      <c r="F463" s="8">
        <v>144.0</v>
      </c>
      <c r="G463" s="1" t="s">
        <v>105</v>
      </c>
      <c r="H463" s="1" t="str">
        <f t="shared" si="1"/>
        <v>#VALUE!</v>
      </c>
      <c r="I463" s="1" t="str">
        <f t="shared" si="2"/>
        <v>#VALUE!</v>
      </c>
      <c r="J463" s="1" t="str">
        <f t="shared" si="3"/>
        <v>#N/A</v>
      </c>
      <c r="K463" s="1" t="str">
        <f>IFERROR(VLOOKUP($J463,Players!$D:$E,2,FALSE),VLOOKUP($G463,Players!A:E,5,FALSE))</f>
        <v>DEF</v>
      </c>
    </row>
    <row r="464" ht="15.75" customHeight="1">
      <c r="A464" s="1">
        <v>2019.0</v>
      </c>
      <c r="B464" s="1" t="s">
        <v>16</v>
      </c>
      <c r="C464" s="1" t="s">
        <v>15</v>
      </c>
      <c r="D464" s="8">
        <v>4.0</v>
      </c>
      <c r="E464" s="8">
        <v>13.0</v>
      </c>
      <c r="F464" s="8">
        <v>145.0</v>
      </c>
      <c r="G464" s="1" t="s">
        <v>323</v>
      </c>
      <c r="H464" s="1" t="str">
        <f t="shared" si="1"/>
        <v>Harrison</v>
      </c>
      <c r="I464" s="1" t="str">
        <f t="shared" si="2"/>
        <v>Butker</v>
      </c>
      <c r="J464" s="1" t="str">
        <f t="shared" si="3"/>
        <v>#N/A</v>
      </c>
      <c r="K464" s="1" t="str">
        <f>IFERROR(VLOOKUP($J464,Players!$D:$E,2,FALSE),VLOOKUP($G464,Players!A:E,5,FALSE))</f>
        <v>K</v>
      </c>
    </row>
    <row r="465" ht="15.75" customHeight="1">
      <c r="A465" s="1">
        <v>2019.0</v>
      </c>
      <c r="B465" s="1" t="s">
        <v>16</v>
      </c>
      <c r="C465" s="1" t="s">
        <v>15</v>
      </c>
      <c r="D465" s="8">
        <v>4.0</v>
      </c>
      <c r="E465" s="8">
        <v>14.0</v>
      </c>
      <c r="F465" s="8">
        <v>168.0</v>
      </c>
      <c r="G465" s="1" t="s">
        <v>113</v>
      </c>
      <c r="H465" s="1" t="str">
        <f t="shared" si="1"/>
        <v>Kareem</v>
      </c>
      <c r="I465" s="1" t="str">
        <f t="shared" si="2"/>
        <v>Hunt</v>
      </c>
      <c r="J465" s="1" t="str">
        <f t="shared" si="3"/>
        <v>#N/A</v>
      </c>
      <c r="K465" s="1" t="str">
        <f>IFERROR(VLOOKUP($J465,Players!$D:$E,2,FALSE),VLOOKUP($G465,Players!A:E,5,FALSE))</f>
        <v>RB</v>
      </c>
    </row>
    <row r="466" ht="15.75" customHeight="1">
      <c r="A466" s="1">
        <v>2019.0</v>
      </c>
      <c r="B466" s="1" t="s">
        <v>16</v>
      </c>
      <c r="C466" s="1" t="s">
        <v>15</v>
      </c>
      <c r="D466" s="8">
        <v>4.0</v>
      </c>
      <c r="E466" s="8">
        <v>15.0</v>
      </c>
      <c r="F466" s="8">
        <v>169.0</v>
      </c>
      <c r="G466" s="1" t="s">
        <v>1035</v>
      </c>
      <c r="H466" s="1" t="str">
        <f t="shared" si="1"/>
        <v>Mitch</v>
      </c>
      <c r="I466" s="1" t="str">
        <f t="shared" si="2"/>
        <v>Trubisky</v>
      </c>
      <c r="J466" s="1" t="str">
        <f t="shared" si="3"/>
        <v>#N/A</v>
      </c>
      <c r="K466" s="1" t="str">
        <f>IFERROR(VLOOKUP($J466,Players!$D:$E,2,FALSE),VLOOKUP($G466,Players!A:E,5,FALSE))</f>
        <v>#N/A</v>
      </c>
    </row>
    <row r="467" ht="15.75" customHeight="1">
      <c r="A467" s="1">
        <v>2019.0</v>
      </c>
      <c r="B467" s="1" t="s">
        <v>58</v>
      </c>
      <c r="C467" s="1" t="s">
        <v>23</v>
      </c>
      <c r="D467" s="8">
        <v>7.0</v>
      </c>
      <c r="E467" s="8">
        <v>1.0</v>
      </c>
      <c r="F467" s="8">
        <v>12.0</v>
      </c>
      <c r="G467" s="1" t="s">
        <v>760</v>
      </c>
      <c r="H467" s="1" t="str">
        <f t="shared" si="1"/>
        <v>Todd</v>
      </c>
      <c r="I467" s="1" t="str">
        <f t="shared" si="2"/>
        <v>Gurley II</v>
      </c>
      <c r="J467" s="1" t="str">
        <f t="shared" si="3"/>
        <v>#N/A</v>
      </c>
      <c r="K467" s="1" t="str">
        <f>IFERROR(VLOOKUP($J467,Players!$D:$E,2,FALSE),VLOOKUP($G467,Players!A:E,5,FALSE))</f>
        <v>#N/A</v>
      </c>
    </row>
    <row r="468" ht="15.75" customHeight="1">
      <c r="A468" s="1">
        <v>2019.0</v>
      </c>
      <c r="B468" s="1" t="s">
        <v>58</v>
      </c>
      <c r="C468" s="1" t="s">
        <v>23</v>
      </c>
      <c r="D468" s="8">
        <v>7.0</v>
      </c>
      <c r="E468" s="8">
        <v>2.0</v>
      </c>
      <c r="F468" s="8">
        <v>13.0</v>
      </c>
      <c r="G468" s="1" t="s">
        <v>139</v>
      </c>
      <c r="H468" s="1" t="str">
        <f t="shared" si="1"/>
        <v>Travis</v>
      </c>
      <c r="I468" s="1" t="str">
        <f t="shared" si="2"/>
        <v>Kelce</v>
      </c>
      <c r="J468" s="1" t="str">
        <f t="shared" si="3"/>
        <v>#N/A</v>
      </c>
      <c r="K468" s="1" t="str">
        <f>IFERROR(VLOOKUP($J468,Players!$D:$E,2,FALSE),VLOOKUP($G468,Players!A:E,5,FALSE))</f>
        <v>TE</v>
      </c>
    </row>
    <row r="469" ht="15.75" customHeight="1">
      <c r="A469" s="1">
        <v>2019.0</v>
      </c>
      <c r="B469" s="1" t="s">
        <v>58</v>
      </c>
      <c r="C469" s="1" t="s">
        <v>23</v>
      </c>
      <c r="D469" s="8">
        <v>7.0</v>
      </c>
      <c r="E469" s="8">
        <v>3.0</v>
      </c>
      <c r="F469" s="8">
        <v>36.0</v>
      </c>
      <c r="G469" s="1" t="s">
        <v>452</v>
      </c>
      <c r="H469" s="1" t="str">
        <f t="shared" si="1"/>
        <v>James</v>
      </c>
      <c r="I469" s="1" t="str">
        <f t="shared" si="2"/>
        <v>White</v>
      </c>
      <c r="J469" s="1" t="str">
        <f t="shared" si="3"/>
        <v>#N/A</v>
      </c>
      <c r="K469" s="1" t="str">
        <f>IFERROR(VLOOKUP($J469,Players!$D:$E,2,FALSE),VLOOKUP($G469,Players!A:E,5,FALSE))</f>
        <v>RB</v>
      </c>
    </row>
    <row r="470" ht="15.75" customHeight="1">
      <c r="A470" s="1">
        <v>2019.0</v>
      </c>
      <c r="B470" s="1" t="s">
        <v>58</v>
      </c>
      <c r="C470" s="1" t="s">
        <v>23</v>
      </c>
      <c r="D470" s="8">
        <v>7.0</v>
      </c>
      <c r="E470" s="8">
        <v>4.0</v>
      </c>
      <c r="F470" s="8">
        <v>37.0</v>
      </c>
      <c r="G470" s="1" t="s">
        <v>142</v>
      </c>
      <c r="H470" s="1" t="str">
        <f t="shared" si="1"/>
        <v>Tyler</v>
      </c>
      <c r="I470" s="1" t="str">
        <f t="shared" si="2"/>
        <v>Lockett</v>
      </c>
      <c r="J470" s="1" t="str">
        <f t="shared" si="3"/>
        <v>#N/A</v>
      </c>
      <c r="K470" s="1" t="str">
        <f>IFERROR(VLOOKUP($J470,Players!$D:$E,2,FALSE),VLOOKUP($G470,Players!A:E,5,FALSE))</f>
        <v>WR</v>
      </c>
    </row>
    <row r="471" ht="15.75" customHeight="1">
      <c r="A471" s="1">
        <v>2019.0</v>
      </c>
      <c r="B471" s="1" t="s">
        <v>58</v>
      </c>
      <c r="C471" s="1" t="s">
        <v>23</v>
      </c>
      <c r="D471" s="8">
        <v>7.0</v>
      </c>
      <c r="E471" s="8">
        <v>5.0</v>
      </c>
      <c r="F471" s="8">
        <v>60.0</v>
      </c>
      <c r="G471" s="1" t="s">
        <v>256</v>
      </c>
      <c r="H471" s="1" t="str">
        <f t="shared" si="1"/>
        <v>Austin</v>
      </c>
      <c r="I471" s="1" t="str">
        <f t="shared" si="2"/>
        <v>Ekeler</v>
      </c>
      <c r="J471" s="1" t="str">
        <f t="shared" si="3"/>
        <v>#N/A</v>
      </c>
      <c r="K471" s="1" t="str">
        <f>IFERROR(VLOOKUP($J471,Players!$D:$E,2,FALSE),VLOOKUP($G471,Players!A:E,5,FALSE))</f>
        <v>RB</v>
      </c>
    </row>
    <row r="472" ht="15.75" customHeight="1">
      <c r="A472" s="1">
        <v>2019.0</v>
      </c>
      <c r="B472" s="1" t="s">
        <v>58</v>
      </c>
      <c r="C472" s="1" t="s">
        <v>23</v>
      </c>
      <c r="D472" s="8">
        <v>7.0</v>
      </c>
      <c r="E472" s="8">
        <v>6.0</v>
      </c>
      <c r="F472" s="8">
        <v>61.0</v>
      </c>
      <c r="G472" s="1" t="s">
        <v>1045</v>
      </c>
      <c r="H472" s="1" t="str">
        <f t="shared" si="1"/>
        <v>Dede</v>
      </c>
      <c r="I472" s="1" t="str">
        <f t="shared" si="2"/>
        <v>Westbrook</v>
      </c>
      <c r="J472" s="1" t="str">
        <f t="shared" si="3"/>
        <v>#N/A</v>
      </c>
      <c r="K472" s="1" t="str">
        <f>IFERROR(VLOOKUP($J472,Players!$D:$E,2,FALSE),VLOOKUP($G472,Players!A:E,5,FALSE))</f>
        <v>WR</v>
      </c>
    </row>
    <row r="473" ht="15.75" customHeight="1">
      <c r="A473" s="1">
        <v>2019.0</v>
      </c>
      <c r="B473" s="1" t="s">
        <v>58</v>
      </c>
      <c r="C473" s="1" t="s">
        <v>23</v>
      </c>
      <c r="D473" s="8">
        <v>7.0</v>
      </c>
      <c r="E473" s="8">
        <v>7.0</v>
      </c>
      <c r="F473" s="8">
        <v>84.0</v>
      </c>
      <c r="G473" s="1" t="s">
        <v>328</v>
      </c>
      <c r="H473" s="1" t="str">
        <f t="shared" si="1"/>
        <v>Sterling</v>
      </c>
      <c r="I473" s="1" t="str">
        <f t="shared" si="2"/>
        <v>Shepard</v>
      </c>
      <c r="J473" s="1" t="str">
        <f t="shared" si="3"/>
        <v>#N/A</v>
      </c>
      <c r="K473" s="1" t="str">
        <f>IFERROR(VLOOKUP($J473,Players!$D:$E,2,FALSE),VLOOKUP($G473,Players!A:E,5,FALSE))</f>
        <v>WR</v>
      </c>
    </row>
    <row r="474" ht="15.75" customHeight="1">
      <c r="A474" s="1">
        <v>2019.0</v>
      </c>
      <c r="B474" s="1" t="s">
        <v>58</v>
      </c>
      <c r="C474" s="1" t="s">
        <v>23</v>
      </c>
      <c r="D474" s="8">
        <v>7.0</v>
      </c>
      <c r="E474" s="8">
        <v>8.0</v>
      </c>
      <c r="F474" s="8">
        <v>85.0</v>
      </c>
      <c r="G474" s="1" t="s">
        <v>434</v>
      </c>
      <c r="H474" s="1" t="str">
        <f t="shared" si="1"/>
        <v>Baker</v>
      </c>
      <c r="I474" s="1" t="str">
        <f t="shared" si="2"/>
        <v>Mayfield</v>
      </c>
      <c r="J474" s="1" t="str">
        <f t="shared" si="3"/>
        <v>#N/A</v>
      </c>
      <c r="K474" s="1" t="str">
        <f>IFERROR(VLOOKUP($J474,Players!$D:$E,2,FALSE),VLOOKUP($G474,Players!A:E,5,FALSE))</f>
        <v>QB</v>
      </c>
    </row>
    <row r="475" ht="15.75" customHeight="1">
      <c r="A475" s="1">
        <v>2019.0</v>
      </c>
      <c r="B475" s="1" t="s">
        <v>58</v>
      </c>
      <c r="C475" s="1" t="s">
        <v>23</v>
      </c>
      <c r="D475" s="8">
        <v>7.0</v>
      </c>
      <c r="E475" s="8">
        <v>9.0</v>
      </c>
      <c r="F475" s="8">
        <v>108.0</v>
      </c>
      <c r="G475" s="1" t="s">
        <v>265</v>
      </c>
      <c r="H475" s="1" t="str">
        <f t="shared" si="1"/>
        <v>Darrell</v>
      </c>
      <c r="I475" s="1" t="str">
        <f t="shared" si="2"/>
        <v>Henderson Jr</v>
      </c>
      <c r="J475" s="1" t="str">
        <f t="shared" si="3"/>
        <v>#N/A</v>
      </c>
      <c r="K475" s="1" t="str">
        <f>IFERROR(VLOOKUP($J475,Players!$D:$E,2,FALSE),VLOOKUP($G475,Players!A:E,5,FALSE))</f>
        <v>#N/A</v>
      </c>
    </row>
    <row r="476" ht="15.75" customHeight="1">
      <c r="A476" s="1">
        <v>2019.0</v>
      </c>
      <c r="B476" s="1" t="s">
        <v>58</v>
      </c>
      <c r="C476" s="1" t="s">
        <v>23</v>
      </c>
      <c r="D476" s="8">
        <v>7.0</v>
      </c>
      <c r="E476" s="8">
        <v>10.0</v>
      </c>
      <c r="F476" s="8">
        <v>109.0</v>
      </c>
      <c r="G476" s="1" t="s">
        <v>91</v>
      </c>
      <c r="H476" s="1" t="str">
        <f t="shared" si="1"/>
        <v>Tyrell</v>
      </c>
      <c r="I476" s="1" t="str">
        <f t="shared" si="2"/>
        <v>Williams</v>
      </c>
      <c r="J476" s="1" t="str">
        <f t="shared" si="3"/>
        <v>#N/A</v>
      </c>
      <c r="K476" s="1" t="str">
        <f>IFERROR(VLOOKUP($J476,Players!$D:$E,2,FALSE),VLOOKUP($G476,Players!A:E,5,FALSE))</f>
        <v>WR</v>
      </c>
    </row>
    <row r="477" ht="15.75" customHeight="1">
      <c r="A477" s="1">
        <v>2019.0</v>
      </c>
      <c r="B477" s="1" t="s">
        <v>58</v>
      </c>
      <c r="C477" s="1" t="s">
        <v>23</v>
      </c>
      <c r="D477" s="8">
        <v>7.0</v>
      </c>
      <c r="E477" s="8">
        <v>11.0</v>
      </c>
      <c r="F477" s="8">
        <v>132.0</v>
      </c>
      <c r="G477" s="1" t="s">
        <v>182</v>
      </c>
      <c r="H477" s="1" t="str">
        <f t="shared" si="1"/>
        <v>Adam</v>
      </c>
      <c r="I477" s="1" t="str">
        <f t="shared" si="2"/>
        <v>Humphries</v>
      </c>
      <c r="J477" s="1" t="str">
        <f t="shared" si="3"/>
        <v>#N/A</v>
      </c>
      <c r="K477" s="1" t="str">
        <f>IFERROR(VLOOKUP($J477,Players!$D:$E,2,FALSE),VLOOKUP($G477,Players!A:E,5,FALSE))</f>
        <v>WR</v>
      </c>
    </row>
    <row r="478" ht="15.75" customHeight="1">
      <c r="A478" s="1">
        <v>2019.0</v>
      </c>
      <c r="B478" s="1" t="s">
        <v>58</v>
      </c>
      <c r="C478" s="1" t="s">
        <v>23</v>
      </c>
      <c r="D478" s="8">
        <v>7.0</v>
      </c>
      <c r="E478" s="8">
        <v>12.0</v>
      </c>
      <c r="F478" s="8">
        <v>133.0</v>
      </c>
      <c r="G478" s="1" t="s">
        <v>670</v>
      </c>
      <c r="H478" s="1" t="str">
        <f t="shared" si="1"/>
        <v>Chris</v>
      </c>
      <c r="I478" s="1" t="str">
        <f t="shared" si="2"/>
        <v>Thompson</v>
      </c>
      <c r="J478" s="1" t="str">
        <f t="shared" si="3"/>
        <v>#N/A</v>
      </c>
      <c r="K478" s="1" t="str">
        <f>IFERROR(VLOOKUP($J478,Players!$D:$E,2,FALSE),VLOOKUP($G478,Players!A:E,5,FALSE))</f>
        <v>WR</v>
      </c>
    </row>
    <row r="479" ht="15.75" customHeight="1">
      <c r="A479" s="1">
        <v>2019.0</v>
      </c>
      <c r="B479" s="1" t="s">
        <v>58</v>
      </c>
      <c r="C479" s="1" t="s">
        <v>23</v>
      </c>
      <c r="D479" s="8">
        <v>7.0</v>
      </c>
      <c r="E479" s="8">
        <v>13.0</v>
      </c>
      <c r="F479" s="8">
        <v>156.0</v>
      </c>
      <c r="G479" s="1" t="s">
        <v>178</v>
      </c>
      <c r="H479" s="1" t="str">
        <f t="shared" si="1"/>
        <v>Kyler</v>
      </c>
      <c r="I479" s="1" t="str">
        <f t="shared" si="2"/>
        <v>Murray</v>
      </c>
      <c r="J479" s="1" t="str">
        <f t="shared" si="3"/>
        <v>#N/A</v>
      </c>
      <c r="K479" s="1" t="str">
        <f>IFERROR(VLOOKUP($J479,Players!$D:$E,2,FALSE),VLOOKUP($G479,Players!A:E,5,FALSE))</f>
        <v>QB</v>
      </c>
    </row>
    <row r="480" ht="15.75" customHeight="1">
      <c r="A480" s="1">
        <v>2019.0</v>
      </c>
      <c r="B480" s="1" t="s">
        <v>58</v>
      </c>
      <c r="C480" s="1" t="s">
        <v>23</v>
      </c>
      <c r="D480" s="8">
        <v>7.0</v>
      </c>
      <c r="E480" s="8">
        <v>14.0</v>
      </c>
      <c r="F480" s="8">
        <v>157.0</v>
      </c>
      <c r="G480" s="1" t="s">
        <v>575</v>
      </c>
      <c r="H480" s="1" t="str">
        <f t="shared" si="1"/>
        <v>Robbie</v>
      </c>
      <c r="I480" s="1" t="str">
        <f t="shared" si="2"/>
        <v>Gould</v>
      </c>
      <c r="J480" s="1" t="str">
        <f t="shared" si="3"/>
        <v>#N/A</v>
      </c>
      <c r="K480" s="1" t="str">
        <f>IFERROR(VLOOKUP($J480,Players!$D:$E,2,FALSE),VLOOKUP($G480,Players!A:E,5,FALSE))</f>
        <v>K</v>
      </c>
    </row>
    <row r="481" ht="15.75" customHeight="1">
      <c r="A481" s="1">
        <v>2019.0</v>
      </c>
      <c r="B481" s="1" t="s">
        <v>58</v>
      </c>
      <c r="C481" s="1" t="s">
        <v>23</v>
      </c>
      <c r="D481" s="8">
        <v>7.0</v>
      </c>
      <c r="E481" s="8">
        <v>15.0</v>
      </c>
      <c r="F481" s="8">
        <v>180.0</v>
      </c>
      <c r="G481" s="1" t="s">
        <v>282</v>
      </c>
      <c r="H481" s="1" t="str">
        <f t="shared" si="1"/>
        <v>San</v>
      </c>
      <c r="I481" s="1" t="str">
        <f t="shared" si="2"/>
        <v>Francisco</v>
      </c>
      <c r="J481" s="1" t="str">
        <f t="shared" si="3"/>
        <v>#N/A</v>
      </c>
      <c r="K481" s="1" t="str">
        <f>IFERROR(VLOOKUP($J481,Players!$D:$E,2,FALSE),VLOOKUP($G481,Players!A:E,5,FALSE))</f>
        <v>DEF</v>
      </c>
    </row>
    <row r="482" ht="15.75" customHeight="1">
      <c r="A482" s="1">
        <v>2019.0</v>
      </c>
      <c r="B482" s="1" t="s">
        <v>41</v>
      </c>
      <c r="C482" s="1" t="s">
        <v>26</v>
      </c>
      <c r="D482" s="8">
        <v>8.0</v>
      </c>
      <c r="E482" s="8">
        <v>1.0</v>
      </c>
      <c r="F482" s="8">
        <v>4.0</v>
      </c>
      <c r="G482" s="1" t="s">
        <v>298</v>
      </c>
      <c r="H482" s="1" t="str">
        <f t="shared" si="1"/>
        <v>DeAndre</v>
      </c>
      <c r="I482" s="1" t="str">
        <f t="shared" si="2"/>
        <v>Hopkins</v>
      </c>
      <c r="J482" s="1" t="str">
        <f t="shared" si="3"/>
        <v>#N/A</v>
      </c>
      <c r="K482" s="1" t="str">
        <f>IFERROR(VLOOKUP($J482,Players!$D:$E,2,FALSE),VLOOKUP($G482,Players!A:E,5,FALSE))</f>
        <v>WR</v>
      </c>
    </row>
    <row r="483" ht="15.75" customHeight="1">
      <c r="A483" s="1">
        <v>2019.0</v>
      </c>
      <c r="B483" s="1" t="s">
        <v>41</v>
      </c>
      <c r="C483" s="1" t="s">
        <v>26</v>
      </c>
      <c r="D483" s="8">
        <v>8.0</v>
      </c>
      <c r="E483" s="8">
        <v>2.0</v>
      </c>
      <c r="F483" s="8">
        <v>21.0</v>
      </c>
      <c r="G483" s="1" t="s">
        <v>391</v>
      </c>
      <c r="H483" s="1" t="str">
        <f t="shared" si="1"/>
        <v>Mike</v>
      </c>
      <c r="I483" s="1" t="str">
        <f t="shared" si="2"/>
        <v>Evans</v>
      </c>
      <c r="J483" s="1" t="str">
        <f t="shared" si="3"/>
        <v>#N/A</v>
      </c>
      <c r="K483" s="1" t="str">
        <f>IFERROR(VLOOKUP($J483,Players!$D:$E,2,FALSE),VLOOKUP($G483,Players!A:E,5,FALSE))</f>
        <v>WR</v>
      </c>
    </row>
    <row r="484" ht="15.75" customHeight="1">
      <c r="A484" s="1">
        <v>2019.0</v>
      </c>
      <c r="B484" s="1" t="s">
        <v>41</v>
      </c>
      <c r="C484" s="1" t="s">
        <v>26</v>
      </c>
      <c r="D484" s="8">
        <v>8.0</v>
      </c>
      <c r="E484" s="8">
        <v>3.0</v>
      </c>
      <c r="F484" s="8">
        <v>28.0</v>
      </c>
      <c r="G484" s="1" t="s">
        <v>347</v>
      </c>
      <c r="H484" s="1" t="str">
        <f t="shared" si="1"/>
        <v>Chris</v>
      </c>
      <c r="I484" s="1" t="str">
        <f t="shared" si="2"/>
        <v>Carson</v>
      </c>
      <c r="J484" s="1" t="str">
        <f t="shared" si="3"/>
        <v>#N/A</v>
      </c>
      <c r="K484" s="1" t="str">
        <f>IFERROR(VLOOKUP($J484,Players!$D:$E,2,FALSE),VLOOKUP($G484,Players!A:E,5,FALSE))</f>
        <v>RB</v>
      </c>
    </row>
    <row r="485" ht="15.75" customHeight="1">
      <c r="A485" s="1">
        <v>2019.0</v>
      </c>
      <c r="B485" s="1" t="s">
        <v>41</v>
      </c>
      <c r="C485" s="1" t="s">
        <v>26</v>
      </c>
      <c r="D485" s="8">
        <v>8.0</v>
      </c>
      <c r="E485" s="8">
        <v>4.0</v>
      </c>
      <c r="F485" s="8">
        <v>45.0</v>
      </c>
      <c r="G485" s="1" t="s">
        <v>168</v>
      </c>
      <c r="H485" s="1" t="str">
        <f t="shared" si="1"/>
        <v>Derrick</v>
      </c>
      <c r="I485" s="1" t="str">
        <f t="shared" si="2"/>
        <v>Henry</v>
      </c>
      <c r="J485" s="1" t="str">
        <f t="shared" si="3"/>
        <v>#N/A</v>
      </c>
      <c r="K485" s="1" t="str">
        <f>IFERROR(VLOOKUP($J485,Players!$D:$E,2,FALSE),VLOOKUP($G485,Players!A:E,5,FALSE))</f>
        <v>RB</v>
      </c>
    </row>
    <row r="486" ht="15.75" customHeight="1">
      <c r="A486" s="1">
        <v>2019.0</v>
      </c>
      <c r="B486" s="1" t="s">
        <v>41</v>
      </c>
      <c r="C486" s="1" t="s">
        <v>26</v>
      </c>
      <c r="D486" s="8">
        <v>8.0</v>
      </c>
      <c r="E486" s="8">
        <v>5.0</v>
      </c>
      <c r="F486" s="8">
        <v>52.0</v>
      </c>
      <c r="G486" s="1" t="s">
        <v>176</v>
      </c>
      <c r="H486" s="1" t="str">
        <f t="shared" si="1"/>
        <v>Aaron</v>
      </c>
      <c r="I486" s="1" t="str">
        <f t="shared" si="2"/>
        <v>Rodgers</v>
      </c>
      <c r="J486" s="1" t="str">
        <f t="shared" si="3"/>
        <v>#N/A</v>
      </c>
      <c r="K486" s="1" t="str">
        <f>IFERROR(VLOOKUP($J486,Players!$D:$E,2,FALSE),VLOOKUP($G486,Players!A:E,5,FALSE))</f>
        <v>QB</v>
      </c>
    </row>
    <row r="487" ht="15.75" customHeight="1">
      <c r="A487" s="1">
        <v>2019.0</v>
      </c>
      <c r="B487" s="1" t="s">
        <v>41</v>
      </c>
      <c r="C487" s="1" t="s">
        <v>26</v>
      </c>
      <c r="D487" s="8">
        <v>8.0</v>
      </c>
      <c r="E487" s="8">
        <v>6.0</v>
      </c>
      <c r="F487" s="8">
        <v>69.0</v>
      </c>
      <c r="G487" s="1" t="s">
        <v>694</v>
      </c>
      <c r="H487" s="1" t="str">
        <f t="shared" si="1"/>
        <v>Jared</v>
      </c>
      <c r="I487" s="1" t="str">
        <f t="shared" si="2"/>
        <v>Cook</v>
      </c>
      <c r="J487" s="1" t="str">
        <f t="shared" si="3"/>
        <v>#N/A</v>
      </c>
      <c r="K487" s="1" t="str">
        <f>IFERROR(VLOOKUP($J487,Players!$D:$E,2,FALSE),VLOOKUP($G487,Players!A:E,5,FALSE))</f>
        <v>TE</v>
      </c>
    </row>
    <row r="488" ht="15.75" customHeight="1">
      <c r="A488" s="1">
        <v>2019.0</v>
      </c>
      <c r="B488" s="1" t="s">
        <v>41</v>
      </c>
      <c r="C488" s="1" t="s">
        <v>26</v>
      </c>
      <c r="D488" s="8">
        <v>8.0</v>
      </c>
      <c r="E488" s="8">
        <v>7.0</v>
      </c>
      <c r="F488" s="8">
        <v>76.0</v>
      </c>
      <c r="G488" s="1" t="s">
        <v>152</v>
      </c>
      <c r="H488" s="1" t="str">
        <f t="shared" si="1"/>
        <v>AJ</v>
      </c>
      <c r="I488" s="1" t="str">
        <f t="shared" si="2"/>
        <v>Green</v>
      </c>
      <c r="J488" s="1" t="str">
        <f t="shared" si="3"/>
        <v>#N/A</v>
      </c>
      <c r="K488" s="1" t="str">
        <f>IFERROR(VLOOKUP($J488,Players!$D:$E,2,FALSE),VLOOKUP($G488,Players!A:E,5,FALSE))</f>
        <v>WR</v>
      </c>
    </row>
    <row r="489" ht="15.75" customHeight="1">
      <c r="A489" s="1">
        <v>2019.0</v>
      </c>
      <c r="B489" s="1" t="s">
        <v>41</v>
      </c>
      <c r="C489" s="1" t="s">
        <v>26</v>
      </c>
      <c r="D489" s="8">
        <v>8.0</v>
      </c>
      <c r="E489" s="8">
        <v>8.0</v>
      </c>
      <c r="F489" s="8">
        <v>93.0</v>
      </c>
      <c r="G489" s="1" t="s">
        <v>362</v>
      </c>
      <c r="H489" s="1" t="str">
        <f t="shared" si="1"/>
        <v>Kenyan</v>
      </c>
      <c r="I489" s="1" t="str">
        <f t="shared" si="2"/>
        <v>Drake</v>
      </c>
      <c r="J489" s="1" t="str">
        <f t="shared" si="3"/>
        <v>#N/A</v>
      </c>
      <c r="K489" s="1" t="str">
        <f>IFERROR(VLOOKUP($J489,Players!$D:$E,2,FALSE),VLOOKUP($G489,Players!A:E,5,FALSE))</f>
        <v>RB</v>
      </c>
    </row>
    <row r="490" ht="15.75" customHeight="1">
      <c r="A490" s="1">
        <v>2019.0</v>
      </c>
      <c r="B490" s="1" t="s">
        <v>41</v>
      </c>
      <c r="C490" s="1" t="s">
        <v>26</v>
      </c>
      <c r="D490" s="8">
        <v>8.0</v>
      </c>
      <c r="E490" s="8">
        <v>9.0</v>
      </c>
      <c r="F490" s="8">
        <v>100.0</v>
      </c>
      <c r="G490" s="1" t="s">
        <v>1074</v>
      </c>
      <c r="H490" s="1" t="str">
        <f t="shared" si="1"/>
        <v>Marquez</v>
      </c>
      <c r="I490" s="1" t="str">
        <f t="shared" si="2"/>
        <v>Valdes-Scantling</v>
      </c>
      <c r="J490" s="1" t="str">
        <f t="shared" si="3"/>
        <v>#N/A</v>
      </c>
      <c r="K490" s="1" t="str">
        <f>IFERROR(VLOOKUP($J490,Players!$D:$E,2,FALSE),VLOOKUP($G490,Players!A:E,5,FALSE))</f>
        <v>WR</v>
      </c>
    </row>
    <row r="491" ht="15.75" customHeight="1">
      <c r="A491" s="1">
        <v>2019.0</v>
      </c>
      <c r="B491" s="1" t="s">
        <v>41</v>
      </c>
      <c r="C491" s="1" t="s">
        <v>26</v>
      </c>
      <c r="D491" s="8">
        <v>8.0</v>
      </c>
      <c r="E491" s="8">
        <v>10.0</v>
      </c>
      <c r="F491" s="8">
        <v>117.0</v>
      </c>
      <c r="G491" s="1" t="s">
        <v>1076</v>
      </c>
      <c r="H491" s="1" t="str">
        <f t="shared" si="1"/>
        <v>#VALUE!</v>
      </c>
      <c r="I491" s="1" t="str">
        <f t="shared" si="2"/>
        <v>#VALUE!</v>
      </c>
      <c r="J491" s="1" t="str">
        <f t="shared" si="3"/>
        <v>#N/A</v>
      </c>
      <c r="K491" s="1" t="str">
        <f>IFERROR(VLOOKUP($J491,Players!$D:$E,2,FALSE),VLOOKUP($G491,Players!A:E,5,FALSE))</f>
        <v>DEF</v>
      </c>
    </row>
    <row r="492" ht="15.75" customHeight="1">
      <c r="A492" s="1">
        <v>2019.0</v>
      </c>
      <c r="B492" s="1" t="s">
        <v>41</v>
      </c>
      <c r="C492" s="1" t="s">
        <v>26</v>
      </c>
      <c r="D492" s="8">
        <v>8.0</v>
      </c>
      <c r="E492" s="8">
        <v>11.0</v>
      </c>
      <c r="F492" s="8">
        <v>124.0</v>
      </c>
      <c r="G492" s="1" t="s">
        <v>438</v>
      </c>
      <c r="H492" s="1" t="str">
        <f t="shared" si="1"/>
        <v>Dallas</v>
      </c>
      <c r="I492" s="1" t="str">
        <f t="shared" si="2"/>
        <v>Goedert</v>
      </c>
      <c r="J492" s="1" t="str">
        <f t="shared" si="3"/>
        <v>#N/A</v>
      </c>
      <c r="K492" s="1" t="str">
        <f>IFERROR(VLOOKUP($J492,Players!$D:$E,2,FALSE),VLOOKUP($G492,Players!A:E,5,FALSE))</f>
        <v>TE</v>
      </c>
    </row>
    <row r="493" ht="15.75" customHeight="1">
      <c r="A493" s="1">
        <v>2019.0</v>
      </c>
      <c r="B493" s="1" t="s">
        <v>41</v>
      </c>
      <c r="C493" s="1" t="s">
        <v>26</v>
      </c>
      <c r="D493" s="8">
        <v>8.0</v>
      </c>
      <c r="E493" s="8">
        <v>12.0</v>
      </c>
      <c r="F493" s="8">
        <v>141.0</v>
      </c>
      <c r="G493" s="1" t="s">
        <v>665</v>
      </c>
      <c r="H493" s="1" t="str">
        <f t="shared" si="1"/>
        <v>Wil</v>
      </c>
      <c r="I493" s="1" t="str">
        <f t="shared" si="2"/>
        <v>Lutz</v>
      </c>
      <c r="J493" s="1" t="str">
        <f t="shared" si="3"/>
        <v>#N/A</v>
      </c>
      <c r="K493" s="1" t="str">
        <f>IFERROR(VLOOKUP($J493,Players!$D:$E,2,FALSE),VLOOKUP($G493,Players!A:E,5,FALSE))</f>
        <v>K</v>
      </c>
    </row>
    <row r="494" ht="15.75" customHeight="1">
      <c r="A494" s="1">
        <v>2019.0</v>
      </c>
      <c r="B494" s="1" t="s">
        <v>41</v>
      </c>
      <c r="C494" s="1" t="s">
        <v>26</v>
      </c>
      <c r="D494" s="8">
        <v>8.0</v>
      </c>
      <c r="E494" s="8">
        <v>13.0</v>
      </c>
      <c r="F494" s="8">
        <v>148.0</v>
      </c>
      <c r="G494" s="1" t="s">
        <v>1082</v>
      </c>
      <c r="H494" s="1" t="str">
        <f t="shared" si="1"/>
        <v>Derek</v>
      </c>
      <c r="I494" s="1" t="str">
        <f t="shared" si="2"/>
        <v>Carr</v>
      </c>
      <c r="J494" s="1" t="str">
        <f t="shared" si="3"/>
        <v>#N/A</v>
      </c>
      <c r="K494" s="1" t="str">
        <f>IFERROR(VLOOKUP($J494,Players!$D:$E,2,FALSE),VLOOKUP($G494,Players!A:E,5,FALSE))</f>
        <v>QB</v>
      </c>
    </row>
    <row r="495" ht="15.75" customHeight="1">
      <c r="A495" s="1">
        <v>2019.0</v>
      </c>
      <c r="B495" s="1" t="s">
        <v>41</v>
      </c>
      <c r="C495" s="1" t="s">
        <v>26</v>
      </c>
      <c r="D495" s="8">
        <v>8.0</v>
      </c>
      <c r="E495" s="8">
        <v>14.0</v>
      </c>
      <c r="F495" s="8">
        <v>165.0</v>
      </c>
      <c r="G495" s="1" t="s">
        <v>127</v>
      </c>
      <c r="H495" s="1" t="str">
        <f t="shared" si="1"/>
        <v>Damien</v>
      </c>
      <c r="I495" s="1" t="str">
        <f t="shared" si="2"/>
        <v>Harris</v>
      </c>
      <c r="J495" s="1" t="str">
        <f t="shared" si="3"/>
        <v>#N/A</v>
      </c>
      <c r="K495" s="1" t="str">
        <f>IFERROR(VLOOKUP($J495,Players!$D:$E,2,FALSE),VLOOKUP($G495,Players!A:E,5,FALSE))</f>
        <v>RB</v>
      </c>
    </row>
    <row r="496" ht="15.75" customHeight="1">
      <c r="A496" s="1">
        <v>2019.0</v>
      </c>
      <c r="B496" s="1" t="s">
        <v>41</v>
      </c>
      <c r="C496" s="1" t="s">
        <v>26</v>
      </c>
      <c r="D496" s="8">
        <v>8.0</v>
      </c>
      <c r="E496" s="8">
        <v>15.0</v>
      </c>
      <c r="F496" s="8">
        <v>172.0</v>
      </c>
      <c r="G496" s="1" t="s">
        <v>1086</v>
      </c>
      <c r="H496" s="1" t="str">
        <f t="shared" si="1"/>
        <v>Demaryius</v>
      </c>
      <c r="I496" s="1" t="str">
        <f t="shared" si="2"/>
        <v>Thomas</v>
      </c>
      <c r="J496" s="1" t="str">
        <f t="shared" si="3"/>
        <v>#N/A</v>
      </c>
      <c r="K496" s="1" t="str">
        <f>IFERROR(VLOOKUP($J496,Players!$D:$E,2,FALSE),VLOOKUP($G496,Players!A:E,5,FALSE))</f>
        <v>#N/A</v>
      </c>
    </row>
    <row r="497" ht="15.75" customHeight="1">
      <c r="A497" s="1">
        <v>2019.0</v>
      </c>
      <c r="B497" s="1" t="s">
        <v>24</v>
      </c>
      <c r="C497" s="1" t="s">
        <v>12</v>
      </c>
      <c r="D497" s="8">
        <v>6.0</v>
      </c>
      <c r="E497" s="8">
        <v>1.0</v>
      </c>
      <c r="F497" s="8">
        <v>10.0</v>
      </c>
      <c r="G497" s="1" t="s">
        <v>425</v>
      </c>
      <c r="H497" s="1" t="str">
        <f t="shared" si="1"/>
        <v>Nick</v>
      </c>
      <c r="I497" s="1" t="str">
        <f t="shared" si="2"/>
        <v>Chubb</v>
      </c>
      <c r="J497" s="1" t="str">
        <f t="shared" si="3"/>
        <v>#N/A</v>
      </c>
      <c r="K497" s="1" t="str">
        <f>IFERROR(VLOOKUP($J497,Players!$D:$E,2,FALSE),VLOOKUP($G497,Players!A:E,5,FALSE))</f>
        <v>RB</v>
      </c>
    </row>
    <row r="498" ht="15.75" customHeight="1">
      <c r="A498" s="1">
        <v>2019.0</v>
      </c>
      <c r="B498" s="1" t="s">
        <v>24</v>
      </c>
      <c r="C498" s="1" t="s">
        <v>12</v>
      </c>
      <c r="D498" s="8">
        <v>6.0</v>
      </c>
      <c r="E498" s="8">
        <v>2.0</v>
      </c>
      <c r="F498" s="8">
        <v>15.0</v>
      </c>
      <c r="G498" s="1" t="s">
        <v>435</v>
      </c>
      <c r="H498" s="1" t="str">
        <f t="shared" si="1"/>
        <v>JuJu</v>
      </c>
      <c r="I498" s="1" t="str">
        <f t="shared" si="2"/>
        <v>Smith-Schuster</v>
      </c>
      <c r="J498" s="1" t="str">
        <f t="shared" si="3"/>
        <v>#N/A</v>
      </c>
      <c r="K498" s="1" t="str">
        <f>IFERROR(VLOOKUP($J498,Players!$D:$E,2,FALSE),VLOOKUP($G498,Players!A:E,5,FALSE))</f>
        <v>WR</v>
      </c>
    </row>
    <row r="499" ht="15.75" customHeight="1">
      <c r="A499" s="1">
        <v>2019.0</v>
      </c>
      <c r="B499" s="1" t="s">
        <v>24</v>
      </c>
      <c r="C499" s="1" t="s">
        <v>12</v>
      </c>
      <c r="D499" s="8">
        <v>6.0</v>
      </c>
      <c r="E499" s="8">
        <v>3.0</v>
      </c>
      <c r="F499" s="8">
        <v>34.0</v>
      </c>
      <c r="G499" s="1" t="s">
        <v>422</v>
      </c>
      <c r="H499" s="1" t="str">
        <f t="shared" si="1"/>
        <v>Stefon</v>
      </c>
      <c r="I499" s="1" t="str">
        <f t="shared" si="2"/>
        <v>Diggs</v>
      </c>
      <c r="J499" s="1" t="str">
        <f t="shared" si="3"/>
        <v>#N/A</v>
      </c>
      <c r="K499" s="1" t="str">
        <f>IFERROR(VLOOKUP($J499,Players!$D:$E,2,FALSE),VLOOKUP($G499,Players!A:E,5,FALSE))</f>
        <v>WR</v>
      </c>
    </row>
    <row r="500" ht="15.75" customHeight="1">
      <c r="A500" s="1">
        <v>2019.0</v>
      </c>
      <c r="B500" s="1" t="s">
        <v>24</v>
      </c>
      <c r="C500" s="1" t="s">
        <v>12</v>
      </c>
      <c r="D500" s="8">
        <v>6.0</v>
      </c>
      <c r="E500" s="8">
        <v>4.0</v>
      </c>
      <c r="F500" s="8">
        <v>39.0</v>
      </c>
      <c r="G500" s="1" t="s">
        <v>147</v>
      </c>
      <c r="H500" s="1" t="str">
        <f t="shared" si="1"/>
        <v>Brandin</v>
      </c>
      <c r="I500" s="1" t="str">
        <f t="shared" si="2"/>
        <v>Cooks</v>
      </c>
      <c r="J500" s="1" t="str">
        <f t="shared" si="3"/>
        <v>#N/A</v>
      </c>
      <c r="K500" s="1" t="str">
        <f>IFERROR(VLOOKUP($J500,Players!$D:$E,2,FALSE),VLOOKUP($G500,Players!A:E,5,FALSE))</f>
        <v>WR</v>
      </c>
    </row>
    <row r="501" ht="15.75" customHeight="1">
      <c r="A501" s="1">
        <v>2019.0</v>
      </c>
      <c r="B501" s="1" t="s">
        <v>24</v>
      </c>
      <c r="C501" s="1" t="s">
        <v>12</v>
      </c>
      <c r="D501" s="8">
        <v>6.0</v>
      </c>
      <c r="E501" s="8">
        <v>5.0</v>
      </c>
      <c r="F501" s="8">
        <v>58.0</v>
      </c>
      <c r="G501" s="1" t="s">
        <v>625</v>
      </c>
      <c r="H501" s="1" t="str">
        <f t="shared" si="1"/>
        <v>Marlon</v>
      </c>
      <c r="I501" s="1" t="str">
        <f t="shared" si="2"/>
        <v>Mack</v>
      </c>
      <c r="J501" s="1" t="str">
        <f t="shared" si="3"/>
        <v>#N/A</v>
      </c>
      <c r="K501" s="1" t="str">
        <f>IFERROR(VLOOKUP($J501,Players!$D:$E,2,FALSE),VLOOKUP($G501,Players!A:E,5,FALSE))</f>
        <v>RB</v>
      </c>
    </row>
    <row r="502" ht="15.75" customHeight="1">
      <c r="A502" s="1">
        <v>2019.0</v>
      </c>
      <c r="B502" s="1" t="s">
        <v>24</v>
      </c>
      <c r="C502" s="1" t="s">
        <v>12</v>
      </c>
      <c r="D502" s="8">
        <v>6.0</v>
      </c>
      <c r="E502" s="8">
        <v>6.0</v>
      </c>
      <c r="F502" s="8">
        <v>63.0</v>
      </c>
      <c r="G502" s="1" t="s">
        <v>203</v>
      </c>
      <c r="H502" s="1" t="str">
        <f t="shared" si="1"/>
        <v>Evan</v>
      </c>
      <c r="I502" s="1" t="str">
        <f t="shared" si="2"/>
        <v>Engram</v>
      </c>
      <c r="J502" s="1" t="str">
        <f t="shared" si="3"/>
        <v>#N/A</v>
      </c>
      <c r="K502" s="1" t="str">
        <f>IFERROR(VLOOKUP($J502,Players!$D:$E,2,FALSE),VLOOKUP($G502,Players!A:E,5,FALSE))</f>
        <v>TE</v>
      </c>
    </row>
    <row r="503" ht="15.75" customHeight="1">
      <c r="A503" s="1">
        <v>2019.0</v>
      </c>
      <c r="B503" s="1" t="s">
        <v>24</v>
      </c>
      <c r="C503" s="1" t="s">
        <v>12</v>
      </c>
      <c r="D503" s="8">
        <v>6.0</v>
      </c>
      <c r="E503" s="8">
        <v>7.0</v>
      </c>
      <c r="F503" s="8">
        <v>82.0</v>
      </c>
      <c r="G503" s="1" t="s">
        <v>749</v>
      </c>
      <c r="H503" s="1" t="str">
        <f t="shared" si="1"/>
        <v>Latavius</v>
      </c>
      <c r="I503" s="1" t="str">
        <f t="shared" si="2"/>
        <v>Murray</v>
      </c>
      <c r="J503" s="1" t="str">
        <f t="shared" si="3"/>
        <v>#N/A</v>
      </c>
      <c r="K503" s="1" t="str">
        <f>IFERROR(VLOOKUP($J503,Players!$D:$E,2,FALSE),VLOOKUP($G503,Players!A:E,5,FALSE))</f>
        <v>RB</v>
      </c>
    </row>
    <row r="504" ht="15.75" customHeight="1">
      <c r="A504" s="1">
        <v>2019.0</v>
      </c>
      <c r="B504" s="1" t="s">
        <v>24</v>
      </c>
      <c r="C504" s="1" t="s">
        <v>12</v>
      </c>
      <c r="D504" s="8">
        <v>6.0</v>
      </c>
      <c r="E504" s="8">
        <v>8.0</v>
      </c>
      <c r="F504" s="8">
        <v>87.0</v>
      </c>
      <c r="G504" s="1" t="s">
        <v>494</v>
      </c>
      <c r="H504" s="1" t="str">
        <f t="shared" si="1"/>
        <v>Matt</v>
      </c>
      <c r="I504" s="1" t="str">
        <f t="shared" si="2"/>
        <v>Breida</v>
      </c>
      <c r="J504" s="1" t="str">
        <f t="shared" si="3"/>
        <v>#N/A</v>
      </c>
      <c r="K504" s="1" t="str">
        <f>IFERROR(VLOOKUP($J504,Players!$D:$E,2,FALSE),VLOOKUP($G504,Players!A:E,5,FALSE))</f>
        <v>RB</v>
      </c>
    </row>
    <row r="505" ht="15.75" customHeight="1">
      <c r="A505" s="1">
        <v>2019.0</v>
      </c>
      <c r="B505" s="1" t="s">
        <v>24</v>
      </c>
      <c r="C505" s="1" t="s">
        <v>12</v>
      </c>
      <c r="D505" s="8">
        <v>6.0</v>
      </c>
      <c r="E505" s="8">
        <v>9.0</v>
      </c>
      <c r="F505" s="8">
        <v>106.0</v>
      </c>
      <c r="G505" s="1" t="s">
        <v>1103</v>
      </c>
      <c r="H505" s="1" t="str">
        <f t="shared" si="1"/>
        <v>Geronimo</v>
      </c>
      <c r="I505" s="1" t="str">
        <f t="shared" si="2"/>
        <v>Allison</v>
      </c>
      <c r="J505" s="1" t="str">
        <f t="shared" si="3"/>
        <v>#N/A</v>
      </c>
      <c r="K505" s="1" t="str">
        <f>IFERROR(VLOOKUP($J505,Players!$D:$E,2,FALSE),VLOOKUP($G505,Players!A:E,5,FALSE))</f>
        <v>WR</v>
      </c>
    </row>
    <row r="506" ht="15.75" customHeight="1">
      <c r="A506" s="1">
        <v>2019.0</v>
      </c>
      <c r="B506" s="1" t="s">
        <v>24</v>
      </c>
      <c r="C506" s="1" t="s">
        <v>12</v>
      </c>
      <c r="D506" s="8">
        <v>6.0</v>
      </c>
      <c r="E506" s="8">
        <v>10.0</v>
      </c>
      <c r="F506" s="8">
        <v>111.0</v>
      </c>
      <c r="G506" s="1" t="s">
        <v>1105</v>
      </c>
      <c r="H506" s="1" t="str">
        <f t="shared" si="1"/>
        <v>Jameis</v>
      </c>
      <c r="I506" s="1" t="str">
        <f t="shared" si="2"/>
        <v>Winston</v>
      </c>
      <c r="J506" s="1" t="str">
        <f t="shared" si="3"/>
        <v>#N/A</v>
      </c>
      <c r="K506" s="1" t="str">
        <f>IFERROR(VLOOKUP($J506,Players!$D:$E,2,FALSE),VLOOKUP($G506,Players!A:E,5,FALSE))</f>
        <v>QB</v>
      </c>
    </row>
    <row r="507" ht="15.75" customHeight="1">
      <c r="A507" s="1">
        <v>2019.0</v>
      </c>
      <c r="B507" s="1" t="s">
        <v>24</v>
      </c>
      <c r="C507" s="1" t="s">
        <v>12</v>
      </c>
      <c r="D507" s="8">
        <v>6.0</v>
      </c>
      <c r="E507" s="8">
        <v>11.0</v>
      </c>
      <c r="F507" s="8">
        <v>130.0</v>
      </c>
      <c r="G507" s="1" t="s">
        <v>332</v>
      </c>
      <c r="H507" s="1" t="str">
        <f t="shared" si="1"/>
        <v>Anthony</v>
      </c>
      <c r="I507" s="1" t="str">
        <f t="shared" si="2"/>
        <v>Miller</v>
      </c>
      <c r="J507" s="1" t="str">
        <f t="shared" si="3"/>
        <v>#N/A</v>
      </c>
      <c r="K507" s="1" t="str">
        <f>IFERROR(VLOOKUP($J507,Players!$D:$E,2,FALSE),VLOOKUP($G507,Players!A:E,5,FALSE))</f>
        <v>WR</v>
      </c>
    </row>
    <row r="508" ht="15.75" customHeight="1">
      <c r="A508" s="1">
        <v>2019.0</v>
      </c>
      <c r="B508" s="1" t="s">
        <v>24</v>
      </c>
      <c r="C508" s="1" t="s">
        <v>12</v>
      </c>
      <c r="D508" s="8">
        <v>6.0</v>
      </c>
      <c r="E508" s="8">
        <v>12.0</v>
      </c>
      <c r="F508" s="8">
        <v>135.0</v>
      </c>
      <c r="G508" s="1" t="s">
        <v>1110</v>
      </c>
      <c r="H508" s="1" t="str">
        <f t="shared" si="1"/>
        <v>Justin</v>
      </c>
      <c r="I508" s="1" t="str">
        <f t="shared" si="2"/>
        <v>Jackson</v>
      </c>
      <c r="J508" s="1" t="str">
        <f t="shared" si="3"/>
        <v>#N/A</v>
      </c>
      <c r="K508" s="1" t="str">
        <f>IFERROR(VLOOKUP($J508,Players!$D:$E,2,FALSE),VLOOKUP($G508,Players!A:E,5,FALSE))</f>
        <v>RB</v>
      </c>
    </row>
    <row r="509" ht="15.75" customHeight="1">
      <c r="A509" s="1">
        <v>2019.0</v>
      </c>
      <c r="B509" s="1" t="s">
        <v>24</v>
      </c>
      <c r="C509" s="1" t="s">
        <v>12</v>
      </c>
      <c r="D509" s="8">
        <v>6.0</v>
      </c>
      <c r="E509" s="8">
        <v>13.0</v>
      </c>
      <c r="F509" s="8">
        <v>154.0</v>
      </c>
      <c r="G509" s="1" t="s">
        <v>1026</v>
      </c>
      <c r="H509" s="1" t="str">
        <f t="shared" si="1"/>
        <v>Darwin</v>
      </c>
      <c r="I509" s="1" t="str">
        <f t="shared" si="2"/>
        <v>Thompson</v>
      </c>
      <c r="J509" s="1" t="str">
        <f t="shared" si="3"/>
        <v>#N/A</v>
      </c>
      <c r="K509" s="1" t="str">
        <f>IFERROR(VLOOKUP($J509,Players!$D:$E,2,FALSE),VLOOKUP($G509,Players!A:E,5,FALSE))</f>
        <v>RB</v>
      </c>
    </row>
    <row r="510" ht="15.75" customHeight="1">
      <c r="A510" s="1">
        <v>2019.0</v>
      </c>
      <c r="B510" s="1" t="s">
        <v>24</v>
      </c>
      <c r="C510" s="1" t="s">
        <v>12</v>
      </c>
      <c r="D510" s="8">
        <v>6.0</v>
      </c>
      <c r="E510" s="8">
        <v>14.0</v>
      </c>
      <c r="F510" s="8">
        <v>159.0</v>
      </c>
      <c r="G510" s="1" t="s">
        <v>756</v>
      </c>
      <c r="H510" s="1" t="str">
        <f t="shared" si="1"/>
        <v>#VALUE!</v>
      </c>
      <c r="I510" s="1" t="str">
        <f t="shared" si="2"/>
        <v>#VALUE!</v>
      </c>
      <c r="J510" s="1" t="str">
        <f t="shared" si="3"/>
        <v>#N/A</v>
      </c>
      <c r="K510" s="1" t="str">
        <f>IFERROR(VLOOKUP($J510,Players!$D:$E,2,FALSE),VLOOKUP($G510,Players!A:E,5,FALSE))</f>
        <v>DEF</v>
      </c>
    </row>
    <row r="511" ht="15.75" customHeight="1">
      <c r="A511" s="1">
        <v>2019.0</v>
      </c>
      <c r="B511" s="1" t="s">
        <v>24</v>
      </c>
      <c r="C511" s="1" t="s">
        <v>12</v>
      </c>
      <c r="D511" s="8">
        <v>6.0</v>
      </c>
      <c r="E511" s="8">
        <v>15.0</v>
      </c>
      <c r="F511" s="8">
        <v>178.0</v>
      </c>
      <c r="G511" s="1" t="s">
        <v>580</v>
      </c>
      <c r="H511" s="1" t="str">
        <f t="shared" si="1"/>
        <v>Brett</v>
      </c>
      <c r="I511" s="1" t="str">
        <f t="shared" si="2"/>
        <v>Maher</v>
      </c>
      <c r="J511" s="1" t="str">
        <f t="shared" si="3"/>
        <v>#N/A</v>
      </c>
      <c r="K511" s="1" t="str">
        <f>IFERROR(VLOOKUP($J511,Players!$D:$E,2,FALSE),VLOOKUP($G511,Players!A:E,5,FALSE))</f>
        <v>K</v>
      </c>
    </row>
    <row r="512" ht="15.75" customHeight="1">
      <c r="A512" s="1">
        <v>2019.0</v>
      </c>
      <c r="B512" s="1" t="s">
        <v>36</v>
      </c>
      <c r="C512" s="1" t="s">
        <v>17</v>
      </c>
      <c r="D512" s="8">
        <v>9.0</v>
      </c>
      <c r="E512" s="8">
        <v>1.0</v>
      </c>
      <c r="F512" s="8">
        <v>2.0</v>
      </c>
      <c r="G512" s="1" t="s">
        <v>342</v>
      </c>
      <c r="H512" s="1" t="str">
        <f t="shared" si="1"/>
        <v>Saquon</v>
      </c>
      <c r="I512" s="1" t="str">
        <f t="shared" si="2"/>
        <v>Barkley</v>
      </c>
      <c r="J512" s="1" t="str">
        <f t="shared" si="3"/>
        <v>#N/A</v>
      </c>
      <c r="K512" s="1" t="str">
        <f>IFERROR(VLOOKUP($J512,Players!$D:$E,2,FALSE),VLOOKUP($G512,Players!A:E,5,FALSE))</f>
        <v>RB</v>
      </c>
    </row>
    <row r="513" ht="15.75" customHeight="1">
      <c r="A513" s="1">
        <v>2019.0</v>
      </c>
      <c r="B513" s="1" t="s">
        <v>36</v>
      </c>
      <c r="C513" s="1" t="s">
        <v>17</v>
      </c>
      <c r="D513" s="8">
        <v>9.0</v>
      </c>
      <c r="E513" s="8">
        <v>2.0</v>
      </c>
      <c r="F513" s="8">
        <v>23.0</v>
      </c>
      <c r="G513" s="1" t="s">
        <v>94</v>
      </c>
      <c r="H513" s="1" t="str">
        <f t="shared" si="1"/>
        <v>Joe</v>
      </c>
      <c r="I513" s="1" t="str">
        <f t="shared" si="2"/>
        <v>Mixon</v>
      </c>
      <c r="J513" s="1" t="str">
        <f t="shared" si="3"/>
        <v>#N/A</v>
      </c>
      <c r="K513" s="1" t="str">
        <f>IFERROR(VLOOKUP($J513,Players!$D:$E,2,FALSE),VLOOKUP($G513,Players!A:E,5,FALSE))</f>
        <v>RB</v>
      </c>
    </row>
    <row r="514" ht="15.75" customHeight="1">
      <c r="A514" s="1">
        <v>2019.0</v>
      </c>
      <c r="B514" s="1" t="s">
        <v>36</v>
      </c>
      <c r="C514" s="1" t="s">
        <v>17</v>
      </c>
      <c r="D514" s="8">
        <v>9.0</v>
      </c>
      <c r="E514" s="8">
        <v>3.0</v>
      </c>
      <c r="F514" s="8">
        <v>26.0</v>
      </c>
      <c r="G514" s="1" t="s">
        <v>819</v>
      </c>
      <c r="H514" s="1" t="str">
        <f t="shared" si="1"/>
        <v>Zach</v>
      </c>
      <c r="I514" s="1" t="str">
        <f t="shared" si="2"/>
        <v>Ertz</v>
      </c>
      <c r="J514" s="1" t="str">
        <f t="shared" si="3"/>
        <v>#N/A</v>
      </c>
      <c r="K514" s="1" t="str">
        <f>IFERROR(VLOOKUP($J514,Players!$D:$E,2,FALSE),VLOOKUP($G514,Players!A:E,5,FALSE))</f>
        <v>TE</v>
      </c>
    </row>
    <row r="515" ht="15.75" customHeight="1">
      <c r="A515" s="1">
        <v>2019.0</v>
      </c>
      <c r="B515" s="1" t="s">
        <v>36</v>
      </c>
      <c r="C515" s="1" t="s">
        <v>17</v>
      </c>
      <c r="D515" s="8">
        <v>9.0</v>
      </c>
      <c r="E515" s="8">
        <v>4.0</v>
      </c>
      <c r="F515" s="8">
        <v>47.0</v>
      </c>
      <c r="G515" s="1" t="s">
        <v>822</v>
      </c>
      <c r="H515" s="1" t="str">
        <f t="shared" si="1"/>
        <v>TY</v>
      </c>
      <c r="I515" s="1" t="str">
        <f t="shared" si="2"/>
        <v>Hilton</v>
      </c>
      <c r="J515" s="1" t="str">
        <f t="shared" si="3"/>
        <v>#N/A</v>
      </c>
      <c r="K515" s="1" t="str">
        <f>IFERROR(VLOOKUP($J515,Players!$D:$E,2,FALSE),VLOOKUP($G515,Players!A:E,5,FALSE))</f>
        <v>WR</v>
      </c>
    </row>
    <row r="516" ht="15.75" customHeight="1">
      <c r="A516" s="1">
        <v>2019.0</v>
      </c>
      <c r="B516" s="1" t="s">
        <v>36</v>
      </c>
      <c r="C516" s="1" t="s">
        <v>17</v>
      </c>
      <c r="D516" s="8">
        <v>9.0</v>
      </c>
      <c r="E516" s="8">
        <v>5.0</v>
      </c>
      <c r="F516" s="8">
        <v>50.0</v>
      </c>
      <c r="G516" s="1" t="s">
        <v>730</v>
      </c>
      <c r="H516" s="1" t="str">
        <f t="shared" si="1"/>
        <v>Deshaun</v>
      </c>
      <c r="I516" s="1" t="str">
        <f t="shared" si="2"/>
        <v>Watson</v>
      </c>
      <c r="J516" s="1" t="str">
        <f t="shared" si="3"/>
        <v>#N/A</v>
      </c>
      <c r="K516" s="1" t="str">
        <f>IFERROR(VLOOKUP($J516,Players!$D:$E,2,FALSE),VLOOKUP($G516,Players!A:E,5,FALSE))</f>
        <v>QB</v>
      </c>
    </row>
    <row r="517" ht="15.75" customHeight="1">
      <c r="A517" s="1">
        <v>2019.0</v>
      </c>
      <c r="B517" s="1" t="s">
        <v>36</v>
      </c>
      <c r="C517" s="1" t="s">
        <v>17</v>
      </c>
      <c r="D517" s="8">
        <v>9.0</v>
      </c>
      <c r="E517" s="8">
        <v>6.0</v>
      </c>
      <c r="F517" s="8">
        <v>71.0</v>
      </c>
      <c r="G517" s="1" t="s">
        <v>99</v>
      </c>
      <c r="H517" s="1" t="str">
        <f t="shared" si="1"/>
        <v>Robbie</v>
      </c>
      <c r="I517" s="1" t="str">
        <f t="shared" si="2"/>
        <v>Anderson</v>
      </c>
      <c r="J517" s="1" t="str">
        <f t="shared" si="3"/>
        <v>#N/A</v>
      </c>
      <c r="K517" s="1" t="str">
        <f>IFERROR(VLOOKUP($J517,Players!$D:$E,2,FALSE),VLOOKUP($G517,Players!A:E,5,FALSE))</f>
        <v>WR</v>
      </c>
    </row>
    <row r="518" ht="15.75" customHeight="1">
      <c r="A518" s="1">
        <v>2019.0</v>
      </c>
      <c r="B518" s="1" t="s">
        <v>36</v>
      </c>
      <c r="C518" s="1" t="s">
        <v>17</v>
      </c>
      <c r="D518" s="8">
        <v>9.0</v>
      </c>
      <c r="E518" s="8">
        <v>7.0</v>
      </c>
      <c r="F518" s="8">
        <v>74.0</v>
      </c>
      <c r="G518" s="1" t="s">
        <v>95</v>
      </c>
      <c r="H518" s="1" t="str">
        <f t="shared" si="1"/>
        <v>Allen</v>
      </c>
      <c r="I518" s="1" t="str">
        <f t="shared" si="2"/>
        <v>Robinson II</v>
      </c>
      <c r="J518" s="1" t="str">
        <f t="shared" si="3"/>
        <v>#N/A</v>
      </c>
      <c r="K518" s="1" t="str">
        <f>IFERROR(VLOOKUP($J518,Players!$D:$E,2,FALSE),VLOOKUP($G518,Players!A:E,5,FALSE))</f>
        <v>#N/A</v>
      </c>
    </row>
    <row r="519" ht="15.75" customHeight="1">
      <c r="A519" s="1">
        <v>2019.0</v>
      </c>
      <c r="B519" s="1" t="s">
        <v>36</v>
      </c>
      <c r="C519" s="1" t="s">
        <v>17</v>
      </c>
      <c r="D519" s="8">
        <v>9.0</v>
      </c>
      <c r="E519" s="8">
        <v>8.0</v>
      </c>
      <c r="F519" s="8">
        <v>95.0</v>
      </c>
      <c r="G519" s="1" t="s">
        <v>751</v>
      </c>
      <c r="H519" s="1" t="str">
        <f t="shared" si="1"/>
        <v>LeSean</v>
      </c>
      <c r="I519" s="1" t="str">
        <f t="shared" si="2"/>
        <v>McCoy</v>
      </c>
      <c r="J519" s="1" t="str">
        <f t="shared" si="3"/>
        <v>#N/A</v>
      </c>
      <c r="K519" s="1" t="str">
        <f>IFERROR(VLOOKUP($J519,Players!$D:$E,2,FALSE),VLOOKUP($G519,Players!A:E,5,FALSE))</f>
        <v>RB</v>
      </c>
    </row>
    <row r="520" ht="15.75" customHeight="1">
      <c r="A520" s="1">
        <v>2019.0</v>
      </c>
      <c r="B520" s="1" t="s">
        <v>36</v>
      </c>
      <c r="C520" s="1" t="s">
        <v>17</v>
      </c>
      <c r="D520" s="8">
        <v>9.0</v>
      </c>
      <c r="E520" s="8">
        <v>9.0</v>
      </c>
      <c r="F520" s="8">
        <v>98.0</v>
      </c>
      <c r="G520" s="1" t="s">
        <v>835</v>
      </c>
      <c r="H520" s="1" t="str">
        <f t="shared" si="1"/>
        <v>Sammy</v>
      </c>
      <c r="I520" s="1" t="str">
        <f t="shared" si="2"/>
        <v>Watkins</v>
      </c>
      <c r="J520" s="1" t="str">
        <f t="shared" si="3"/>
        <v>#N/A</v>
      </c>
      <c r="K520" s="1" t="str">
        <f>IFERROR(VLOOKUP($J520,Players!$D:$E,2,FALSE),VLOOKUP($G520,Players!A:E,5,FALSE))</f>
        <v>WR</v>
      </c>
    </row>
    <row r="521" ht="15.75" customHeight="1">
      <c r="A521" s="1">
        <v>2019.0</v>
      </c>
      <c r="B521" s="1" t="s">
        <v>36</v>
      </c>
      <c r="C521" s="1" t="s">
        <v>17</v>
      </c>
      <c r="D521" s="8">
        <v>9.0</v>
      </c>
      <c r="E521" s="8">
        <v>10.0</v>
      </c>
      <c r="F521" s="8">
        <v>119.0</v>
      </c>
      <c r="G521" s="1" t="s">
        <v>231</v>
      </c>
      <c r="H521" s="1" t="str">
        <f t="shared" si="1"/>
        <v>Los</v>
      </c>
      <c r="I521" s="1" t="str">
        <f t="shared" si="2"/>
        <v>Angeles</v>
      </c>
      <c r="J521" s="1" t="str">
        <f t="shared" si="3"/>
        <v>#N/A</v>
      </c>
      <c r="K521" s="1" t="str">
        <f>IFERROR(VLOOKUP($J521,Players!$D:$E,2,FALSE),VLOOKUP($G521,Players!A:E,5,FALSE))</f>
        <v>DEF</v>
      </c>
    </row>
    <row r="522" ht="15.75" customHeight="1">
      <c r="A522" s="1">
        <v>2019.0</v>
      </c>
      <c r="B522" s="1" t="s">
        <v>36</v>
      </c>
      <c r="C522" s="1" t="s">
        <v>17</v>
      </c>
      <c r="D522" s="8">
        <v>9.0</v>
      </c>
      <c r="E522" s="8">
        <v>11.0</v>
      </c>
      <c r="F522" s="8">
        <v>122.0</v>
      </c>
      <c r="G522" s="1" t="s">
        <v>1131</v>
      </c>
      <c r="H522" s="1" t="str">
        <f t="shared" si="1"/>
        <v>Kenny</v>
      </c>
      <c r="I522" s="1" t="str">
        <f t="shared" si="2"/>
        <v>Stills</v>
      </c>
      <c r="J522" s="1" t="str">
        <f t="shared" si="3"/>
        <v>#N/A</v>
      </c>
      <c r="K522" s="1" t="str">
        <f>IFERROR(VLOOKUP($J522,Players!$D:$E,2,FALSE),VLOOKUP($G522,Players!A:E,5,FALSE))</f>
        <v>WR</v>
      </c>
    </row>
    <row r="523" ht="15.75" customHeight="1">
      <c r="A523" s="1">
        <v>2019.0</v>
      </c>
      <c r="B523" s="1" t="s">
        <v>36</v>
      </c>
      <c r="C523" s="1" t="s">
        <v>17</v>
      </c>
      <c r="D523" s="8">
        <v>9.0</v>
      </c>
      <c r="E523" s="8">
        <v>12.0</v>
      </c>
      <c r="F523" s="8">
        <v>143.0</v>
      </c>
      <c r="G523" s="1" t="s">
        <v>1135</v>
      </c>
      <c r="H523" s="1" t="str">
        <f t="shared" si="1"/>
        <v>Dion</v>
      </c>
      <c r="I523" s="1" t="str">
        <f t="shared" si="2"/>
        <v>Lewis</v>
      </c>
      <c r="J523" s="1" t="str">
        <f t="shared" si="3"/>
        <v>#N/A</v>
      </c>
      <c r="K523" s="1" t="str">
        <f>IFERROR(VLOOKUP($J523,Players!$D:$E,2,FALSE),VLOOKUP($G523,Players!A:E,5,FALSE))</f>
        <v>RB</v>
      </c>
    </row>
    <row r="524" ht="15.75" customHeight="1">
      <c r="A524" s="1">
        <v>2019.0</v>
      </c>
      <c r="B524" s="1" t="s">
        <v>36</v>
      </c>
      <c r="C524" s="1" t="s">
        <v>17</v>
      </c>
      <c r="D524" s="8">
        <v>9.0</v>
      </c>
      <c r="E524" s="8">
        <v>13.0</v>
      </c>
      <c r="F524" s="8">
        <v>146.0</v>
      </c>
      <c r="G524" s="1" t="s">
        <v>1137</v>
      </c>
      <c r="H524" s="1" t="str">
        <f t="shared" si="1"/>
        <v>Giovani</v>
      </c>
      <c r="I524" s="1" t="str">
        <f t="shared" si="2"/>
        <v>Bernard</v>
      </c>
      <c r="J524" s="1" t="str">
        <f t="shared" si="3"/>
        <v>#N/A</v>
      </c>
      <c r="K524" s="1" t="str">
        <f>IFERROR(VLOOKUP($J524,Players!$D:$E,2,FALSE),VLOOKUP($G524,Players!A:E,5,FALSE))</f>
        <v>RB</v>
      </c>
    </row>
    <row r="525" ht="15.75" customHeight="1">
      <c r="A525" s="1">
        <v>2019.0</v>
      </c>
      <c r="B525" s="1" t="s">
        <v>36</v>
      </c>
      <c r="C525" s="1" t="s">
        <v>17</v>
      </c>
      <c r="D525" s="8">
        <v>9.0</v>
      </c>
      <c r="E525" s="8">
        <v>14.0</v>
      </c>
      <c r="F525" s="8">
        <v>167.0</v>
      </c>
      <c r="G525" s="1" t="s">
        <v>478</v>
      </c>
      <c r="H525" s="1" t="str">
        <f t="shared" si="1"/>
        <v>DeVante</v>
      </c>
      <c r="I525" s="1" t="str">
        <f t="shared" si="2"/>
        <v>Parker</v>
      </c>
      <c r="J525" s="1" t="str">
        <f t="shared" si="3"/>
        <v>#N/A</v>
      </c>
      <c r="K525" s="1" t="str">
        <f>IFERROR(VLOOKUP($J525,Players!$D:$E,2,FALSE),VLOOKUP($G525,Players!A:E,5,FALSE))</f>
        <v>WR</v>
      </c>
    </row>
    <row r="526" ht="15.75" customHeight="1">
      <c r="A526" s="1">
        <v>2019.0</v>
      </c>
      <c r="B526" s="1" t="s">
        <v>36</v>
      </c>
      <c r="C526" s="1" t="s">
        <v>17</v>
      </c>
      <c r="D526" s="8">
        <v>9.0</v>
      </c>
      <c r="E526" s="8">
        <v>15.0</v>
      </c>
      <c r="F526" s="8">
        <v>170.0</v>
      </c>
      <c r="G526" s="1" t="s">
        <v>1140</v>
      </c>
      <c r="H526" s="1" t="str">
        <f t="shared" si="1"/>
        <v>Mason</v>
      </c>
      <c r="I526" s="1" t="str">
        <f t="shared" si="2"/>
        <v>Crosby</v>
      </c>
      <c r="J526" s="1" t="str">
        <f t="shared" si="3"/>
        <v>#N/A</v>
      </c>
      <c r="K526" s="1" t="str">
        <f>IFERROR(VLOOKUP($J526,Players!$D:$E,2,FALSE),VLOOKUP($G526,Players!A:E,5,FALSE))</f>
        <v>K</v>
      </c>
    </row>
    <row r="527" ht="15.75" customHeight="1">
      <c r="A527" s="1">
        <v>2019.0</v>
      </c>
      <c r="B527" s="1" t="s">
        <v>51</v>
      </c>
      <c r="C527" s="1" t="s">
        <v>10</v>
      </c>
      <c r="D527" s="8">
        <v>1.0</v>
      </c>
      <c r="E527" s="8">
        <v>1.0</v>
      </c>
      <c r="F527" s="8">
        <v>5.0</v>
      </c>
      <c r="G527" s="1" t="s">
        <v>123</v>
      </c>
      <c r="H527" s="1" t="str">
        <f t="shared" si="1"/>
        <v>Ezekiel</v>
      </c>
      <c r="I527" s="1" t="str">
        <f t="shared" si="2"/>
        <v>Elliott</v>
      </c>
      <c r="J527" s="1" t="str">
        <f t="shared" si="3"/>
        <v>#N/A</v>
      </c>
      <c r="K527" s="1" t="str">
        <f>IFERROR(VLOOKUP($J527,Players!$D:$E,2,FALSE),VLOOKUP($G527,Players!A:E,5,FALSE))</f>
        <v>RB</v>
      </c>
    </row>
    <row r="528" ht="15.75" customHeight="1">
      <c r="A528" s="1">
        <v>2019.0</v>
      </c>
      <c r="B528" s="1" t="s">
        <v>51</v>
      </c>
      <c r="C528" s="1" t="s">
        <v>10</v>
      </c>
      <c r="D528" s="8">
        <v>1.0</v>
      </c>
      <c r="E528" s="8">
        <v>2.0</v>
      </c>
      <c r="F528" s="8">
        <v>20.0</v>
      </c>
      <c r="G528" s="1" t="s">
        <v>229</v>
      </c>
      <c r="H528" s="1" t="str">
        <f t="shared" si="1"/>
        <v>Antonio</v>
      </c>
      <c r="I528" s="1" t="str">
        <f t="shared" si="2"/>
        <v>Brown</v>
      </c>
      <c r="J528" s="1" t="str">
        <f t="shared" si="3"/>
        <v>#N/A</v>
      </c>
      <c r="K528" s="1" t="str">
        <f>IFERROR(VLOOKUP($J528,Players!$D:$E,2,FALSE),VLOOKUP($G528,Players!A:E,5,FALSE))</f>
        <v>WR</v>
      </c>
    </row>
    <row r="529" ht="15.75" customHeight="1">
      <c r="A529" s="1">
        <v>2019.0</v>
      </c>
      <c r="B529" s="1" t="s">
        <v>51</v>
      </c>
      <c r="C529" s="1" t="s">
        <v>10</v>
      </c>
      <c r="D529" s="8">
        <v>1.0</v>
      </c>
      <c r="E529" s="8">
        <v>3.0</v>
      </c>
      <c r="F529" s="8">
        <v>29.0</v>
      </c>
      <c r="G529" s="1" t="s">
        <v>167</v>
      </c>
      <c r="H529" s="1" t="str">
        <f t="shared" si="1"/>
        <v>Aaron</v>
      </c>
      <c r="I529" s="1" t="str">
        <f t="shared" si="2"/>
        <v>Jones</v>
      </c>
      <c r="J529" s="1" t="str">
        <f t="shared" si="3"/>
        <v>#N/A</v>
      </c>
      <c r="K529" s="1" t="str">
        <f>IFERROR(VLOOKUP($J529,Players!$D:$E,2,FALSE),VLOOKUP($G529,Players!A:E,5,FALSE))</f>
        <v>RB</v>
      </c>
    </row>
    <row r="530" ht="15.75" customHeight="1">
      <c r="A530" s="1">
        <v>2019.0</v>
      </c>
      <c r="B530" s="1" t="s">
        <v>51</v>
      </c>
      <c r="C530" s="1" t="s">
        <v>10</v>
      </c>
      <c r="D530" s="8">
        <v>1.0</v>
      </c>
      <c r="E530" s="8">
        <v>4.0</v>
      </c>
      <c r="F530" s="8">
        <v>44.0</v>
      </c>
      <c r="G530" s="1" t="s">
        <v>430</v>
      </c>
      <c r="H530" s="1" t="str">
        <f t="shared" si="1"/>
        <v>Cooper</v>
      </c>
      <c r="I530" s="1" t="str">
        <f t="shared" si="2"/>
        <v>Kupp</v>
      </c>
      <c r="J530" s="1" t="str">
        <f t="shared" si="3"/>
        <v>#N/A</v>
      </c>
      <c r="K530" s="1" t="str">
        <f>IFERROR(VLOOKUP($J530,Players!$D:$E,2,FALSE),VLOOKUP($G530,Players!A:E,5,FALSE))</f>
        <v>WR</v>
      </c>
    </row>
    <row r="531" ht="15.75" customHeight="1">
      <c r="A531" s="1">
        <v>2019.0</v>
      </c>
      <c r="B531" s="1" t="s">
        <v>51</v>
      </c>
      <c r="C531" s="1" t="s">
        <v>10</v>
      </c>
      <c r="D531" s="8">
        <v>1.0</v>
      </c>
      <c r="E531" s="8">
        <v>5.0</v>
      </c>
      <c r="F531" s="8">
        <v>53.0</v>
      </c>
      <c r="G531" s="1" t="s">
        <v>260</v>
      </c>
      <c r="H531" s="1" t="str">
        <f t="shared" si="1"/>
        <v>Alshon</v>
      </c>
      <c r="I531" s="1" t="str">
        <f t="shared" si="2"/>
        <v>Jeffery</v>
      </c>
      <c r="J531" s="1" t="str">
        <f t="shared" si="3"/>
        <v>#N/A</v>
      </c>
      <c r="K531" s="1" t="str">
        <f>IFERROR(VLOOKUP($J531,Players!$D:$E,2,FALSE),VLOOKUP($G531,Players!A:E,5,FALSE))</f>
        <v>WR</v>
      </c>
    </row>
    <row r="532" ht="15.75" customHeight="1">
      <c r="A532" s="1">
        <v>2019.0</v>
      </c>
      <c r="B532" s="1" t="s">
        <v>51</v>
      </c>
      <c r="C532" s="1" t="s">
        <v>10</v>
      </c>
      <c r="D532" s="8">
        <v>1.0</v>
      </c>
      <c r="E532" s="8">
        <v>6.0</v>
      </c>
      <c r="F532" s="8">
        <v>68.0</v>
      </c>
      <c r="G532" s="1" t="s">
        <v>724</v>
      </c>
      <c r="H532" s="1" t="str">
        <f t="shared" si="1"/>
        <v>Mark</v>
      </c>
      <c r="I532" s="1" t="str">
        <f t="shared" si="2"/>
        <v>Ingram II</v>
      </c>
      <c r="J532" s="1" t="str">
        <f t="shared" si="3"/>
        <v>#N/A</v>
      </c>
      <c r="K532" s="1" t="str">
        <f>IFERROR(VLOOKUP($J532,Players!$D:$E,2,FALSE),VLOOKUP($G532,Players!A:E,5,FALSE))</f>
        <v>#N/A</v>
      </c>
    </row>
    <row r="533" ht="15.75" customHeight="1">
      <c r="A533" s="1">
        <v>2019.0</v>
      </c>
      <c r="B533" s="1" t="s">
        <v>51</v>
      </c>
      <c r="C533" s="1" t="s">
        <v>10</v>
      </c>
      <c r="D533" s="8">
        <v>1.0</v>
      </c>
      <c r="E533" s="8">
        <v>7.0</v>
      </c>
      <c r="F533" s="8">
        <v>77.0</v>
      </c>
      <c r="G533" s="1" t="s">
        <v>1151</v>
      </c>
      <c r="H533" s="1" t="str">
        <f t="shared" si="1"/>
        <v>Vance</v>
      </c>
      <c r="I533" s="1" t="str">
        <f t="shared" si="2"/>
        <v>McDonald</v>
      </c>
      <c r="J533" s="1" t="str">
        <f t="shared" si="3"/>
        <v>#N/A</v>
      </c>
      <c r="K533" s="1" t="str">
        <f>IFERROR(VLOOKUP($J533,Players!$D:$E,2,FALSE),VLOOKUP($G533,Players!A:E,5,FALSE))</f>
        <v>TE</v>
      </c>
    </row>
    <row r="534" ht="15.75" customHeight="1">
      <c r="A534" s="1">
        <v>2019.0</v>
      </c>
      <c r="B534" s="1" t="s">
        <v>51</v>
      </c>
      <c r="C534" s="1" t="s">
        <v>10</v>
      </c>
      <c r="D534" s="8">
        <v>1.0</v>
      </c>
      <c r="E534" s="8">
        <v>8.0</v>
      </c>
      <c r="F534" s="8">
        <v>92.0</v>
      </c>
      <c r="G534" s="1" t="s">
        <v>1154</v>
      </c>
      <c r="H534" s="1" t="str">
        <f t="shared" si="1"/>
        <v>Justice</v>
      </c>
      <c r="I534" s="1" t="str">
        <f t="shared" si="2"/>
        <v>Hill</v>
      </c>
      <c r="J534" s="1" t="str">
        <f t="shared" si="3"/>
        <v>#N/A</v>
      </c>
      <c r="K534" s="1" t="str">
        <f>IFERROR(VLOOKUP($J534,Players!$D:$E,2,FALSE),VLOOKUP($G534,Players!A:E,5,FALSE))</f>
        <v>RB</v>
      </c>
    </row>
    <row r="535" ht="15.75" customHeight="1">
      <c r="A535" s="1">
        <v>2019.0</v>
      </c>
      <c r="B535" s="1" t="s">
        <v>51</v>
      </c>
      <c r="C535" s="1" t="s">
        <v>10</v>
      </c>
      <c r="D535" s="8">
        <v>1.0</v>
      </c>
      <c r="E535" s="8">
        <v>9.0</v>
      </c>
      <c r="F535" s="8">
        <v>101.0</v>
      </c>
      <c r="G535" s="1" t="s">
        <v>225</v>
      </c>
      <c r="H535" s="1" t="str">
        <f t="shared" si="1"/>
        <v>Lamar</v>
      </c>
      <c r="I535" s="1" t="str">
        <f t="shared" si="2"/>
        <v>Jackson</v>
      </c>
      <c r="J535" s="1" t="str">
        <f t="shared" si="3"/>
        <v>#N/A</v>
      </c>
      <c r="K535" s="1" t="str">
        <f>IFERROR(VLOOKUP($J535,Players!$D:$E,2,FALSE),VLOOKUP($G535,Players!A:E,5,FALSE))</f>
        <v>QB</v>
      </c>
    </row>
    <row r="536" ht="15.75" customHeight="1">
      <c r="A536" s="1">
        <v>2019.0</v>
      </c>
      <c r="B536" s="1" t="s">
        <v>51</v>
      </c>
      <c r="C536" s="1" t="s">
        <v>10</v>
      </c>
      <c r="D536" s="8">
        <v>1.0</v>
      </c>
      <c r="E536" s="8">
        <v>10.0</v>
      </c>
      <c r="F536" s="8">
        <v>116.0</v>
      </c>
      <c r="G536" s="1" t="s">
        <v>88</v>
      </c>
      <c r="H536" s="1" t="str">
        <f t="shared" si="1"/>
        <v>Tony</v>
      </c>
      <c r="I536" s="1" t="str">
        <f t="shared" si="2"/>
        <v>Pollard</v>
      </c>
      <c r="J536" s="1" t="str">
        <f t="shared" si="3"/>
        <v>#N/A</v>
      </c>
      <c r="K536" s="1" t="str">
        <f>IFERROR(VLOOKUP($J536,Players!$D:$E,2,FALSE),VLOOKUP($G536,Players!A:E,5,FALSE))</f>
        <v>RB</v>
      </c>
    </row>
    <row r="537" ht="15.75" customHeight="1">
      <c r="A537" s="1">
        <v>2019.0</v>
      </c>
      <c r="B537" s="1" t="s">
        <v>51</v>
      </c>
      <c r="C537" s="1" t="s">
        <v>10</v>
      </c>
      <c r="D537" s="8">
        <v>1.0</v>
      </c>
      <c r="E537" s="8">
        <v>11.0</v>
      </c>
      <c r="F537" s="8">
        <v>125.0</v>
      </c>
      <c r="G537" s="1" t="s">
        <v>144</v>
      </c>
      <c r="H537" s="1" t="str">
        <f t="shared" si="1"/>
        <v>Russell</v>
      </c>
      <c r="I537" s="1" t="str">
        <f t="shared" si="2"/>
        <v>Wilson</v>
      </c>
      <c r="J537" s="1" t="str">
        <f t="shared" si="3"/>
        <v>#N/A</v>
      </c>
      <c r="K537" s="1" t="str">
        <f>IFERROR(VLOOKUP($J537,Players!$D:$E,2,FALSE),VLOOKUP($G537,Players!A:E,5,FALSE))</f>
        <v>QB</v>
      </c>
    </row>
    <row r="538" ht="15.75" customHeight="1">
      <c r="A538" s="1">
        <v>2019.0</v>
      </c>
      <c r="B538" s="1" t="s">
        <v>51</v>
      </c>
      <c r="C538" s="1" t="s">
        <v>10</v>
      </c>
      <c r="D538" s="8">
        <v>1.0</v>
      </c>
      <c r="E538" s="8">
        <v>12.0</v>
      </c>
      <c r="F538" s="8">
        <v>140.0</v>
      </c>
      <c r="G538" s="1" t="s">
        <v>87</v>
      </c>
      <c r="H538" s="1" t="str">
        <f t="shared" si="1"/>
        <v>#VALUE!</v>
      </c>
      <c r="I538" s="1" t="str">
        <f t="shared" si="2"/>
        <v>#VALUE!</v>
      </c>
      <c r="J538" s="1" t="str">
        <f t="shared" si="3"/>
        <v>#N/A</v>
      </c>
      <c r="K538" s="1" t="str">
        <f>IFERROR(VLOOKUP($J538,Players!$D:$E,2,FALSE),VLOOKUP($G538,Players!A:E,5,FALSE))</f>
        <v>DEF</v>
      </c>
    </row>
    <row r="539" ht="15.75" customHeight="1">
      <c r="A539" s="1">
        <v>2019.0</v>
      </c>
      <c r="B539" s="1" t="s">
        <v>51</v>
      </c>
      <c r="C539" s="1" t="s">
        <v>10</v>
      </c>
      <c r="D539" s="8">
        <v>1.0</v>
      </c>
      <c r="E539" s="8">
        <v>13.0</v>
      </c>
      <c r="F539" s="8">
        <v>149.0</v>
      </c>
      <c r="G539" s="1" t="s">
        <v>1163</v>
      </c>
      <c r="H539" s="1" t="str">
        <f t="shared" si="1"/>
        <v>James</v>
      </c>
      <c r="I539" s="1" t="str">
        <f t="shared" si="2"/>
        <v>Washington</v>
      </c>
      <c r="J539" s="1" t="str">
        <f t="shared" si="3"/>
        <v>#N/A</v>
      </c>
      <c r="K539" s="1" t="str">
        <f>IFERROR(VLOOKUP($J539,Players!$D:$E,2,FALSE),VLOOKUP($G539,Players!A:E,5,FALSE))</f>
        <v>WR</v>
      </c>
    </row>
    <row r="540" ht="15.75" customHeight="1">
      <c r="A540" s="1">
        <v>2019.0</v>
      </c>
      <c r="B540" s="1" t="s">
        <v>51</v>
      </c>
      <c r="C540" s="1" t="s">
        <v>10</v>
      </c>
      <c r="D540" s="8">
        <v>1.0</v>
      </c>
      <c r="E540" s="8">
        <v>14.0</v>
      </c>
      <c r="F540" s="8">
        <v>164.0</v>
      </c>
      <c r="G540" s="1" t="s">
        <v>369</v>
      </c>
      <c r="H540" s="1" t="str">
        <f t="shared" si="1"/>
        <v>New</v>
      </c>
      <c r="I540" s="1" t="str">
        <f t="shared" si="2"/>
        <v>England</v>
      </c>
      <c r="J540" s="1" t="str">
        <f t="shared" si="3"/>
        <v>#N/A</v>
      </c>
      <c r="K540" s="1" t="str">
        <f>IFERROR(VLOOKUP($J540,Players!$D:$E,2,FALSE),VLOOKUP($G540,Players!A:E,5,FALSE))</f>
        <v>DEF</v>
      </c>
    </row>
    <row r="541" ht="15.75" customHeight="1">
      <c r="A541" s="1">
        <v>2019.0</v>
      </c>
      <c r="B541" s="1" t="s">
        <v>51</v>
      </c>
      <c r="C541" s="1" t="s">
        <v>10</v>
      </c>
      <c r="D541" s="8">
        <v>1.0</v>
      </c>
      <c r="E541" s="8">
        <v>15.0</v>
      </c>
      <c r="F541" s="8">
        <v>173.0</v>
      </c>
      <c r="G541" s="1" t="s">
        <v>1166</v>
      </c>
      <c r="H541" s="1" t="str">
        <f t="shared" si="1"/>
        <v>Matt</v>
      </c>
      <c r="I541" s="1" t="str">
        <f t="shared" si="2"/>
        <v>Bryant</v>
      </c>
      <c r="J541" s="1" t="str">
        <f t="shared" si="3"/>
        <v>#N/A</v>
      </c>
      <c r="K541" s="1" t="str">
        <f>IFERROR(VLOOKUP($J541,Players!$D:$E,2,FALSE),VLOOKUP($G541,Players!A:E,5,FALSE))</f>
        <v>K</v>
      </c>
    </row>
    <row r="542" ht="15.75" customHeight="1">
      <c r="A542" s="1">
        <v>2018.0</v>
      </c>
      <c r="B542" s="1" t="s">
        <v>14</v>
      </c>
      <c r="C542" s="1" t="s">
        <v>12</v>
      </c>
      <c r="D542" s="8">
        <v>11.0</v>
      </c>
      <c r="E542" s="8">
        <v>1.0</v>
      </c>
      <c r="F542" s="8">
        <v>12.0</v>
      </c>
      <c r="G542" s="1" t="s">
        <v>181</v>
      </c>
      <c r="H542" s="1" t="str">
        <f t="shared" si="1"/>
        <v>Odell</v>
      </c>
      <c r="I542" s="1" t="str">
        <f t="shared" si="2"/>
        <v>Beckham Jr</v>
      </c>
      <c r="J542" s="1" t="str">
        <f t="shared" si="3"/>
        <v>#N/A</v>
      </c>
      <c r="K542" s="1" t="str">
        <f>IFERROR(VLOOKUP($J542,Players!$D:$E,2,FALSE),VLOOKUP($G542,Players!A:E,5,FALSE))</f>
        <v>#N/A</v>
      </c>
    </row>
    <row r="543" ht="15.75" customHeight="1">
      <c r="A543" s="1">
        <v>2018.0</v>
      </c>
      <c r="B543" s="1" t="s">
        <v>14</v>
      </c>
      <c r="C543" s="1" t="s">
        <v>12</v>
      </c>
      <c r="D543" s="8">
        <v>11.0</v>
      </c>
      <c r="E543" s="8">
        <v>2.0</v>
      </c>
      <c r="F543" s="8">
        <v>13.0</v>
      </c>
      <c r="G543" s="1" t="s">
        <v>96</v>
      </c>
      <c r="H543" s="1" t="str">
        <f t="shared" si="1"/>
        <v>Julio</v>
      </c>
      <c r="I543" s="1" t="str">
        <f t="shared" si="2"/>
        <v>Jones</v>
      </c>
      <c r="J543" s="1" t="str">
        <f t="shared" si="3"/>
        <v>#N/A</v>
      </c>
      <c r="K543" s="1" t="str">
        <f>IFERROR(VLOOKUP($J543,Players!$D:$E,2,FALSE),VLOOKUP($G543,Players!A:E,5,FALSE))</f>
        <v>WR</v>
      </c>
    </row>
    <row r="544" ht="15.75" customHeight="1">
      <c r="A544" s="1">
        <v>2018.0</v>
      </c>
      <c r="B544" s="1" t="s">
        <v>14</v>
      </c>
      <c r="C544" s="1" t="s">
        <v>12</v>
      </c>
      <c r="D544" s="8">
        <v>11.0</v>
      </c>
      <c r="E544" s="8">
        <v>3.0</v>
      </c>
      <c r="F544" s="8">
        <v>36.0</v>
      </c>
      <c r="G544" s="1" t="s">
        <v>228</v>
      </c>
      <c r="H544" s="1" t="str">
        <f t="shared" si="1"/>
        <v>Alex</v>
      </c>
      <c r="I544" s="1" t="str">
        <f t="shared" si="2"/>
        <v>Collins</v>
      </c>
      <c r="J544" s="1" t="str">
        <f t="shared" si="3"/>
        <v>#N/A</v>
      </c>
      <c r="K544" s="1" t="str">
        <f>IFERROR(VLOOKUP($J544,Players!$D:$E,2,FALSE),VLOOKUP($G544,Players!A:E,5,FALSE))</f>
        <v>RB</v>
      </c>
    </row>
    <row r="545" ht="15.75" customHeight="1">
      <c r="A545" s="1">
        <v>2018.0</v>
      </c>
      <c r="B545" s="1" t="s">
        <v>14</v>
      </c>
      <c r="C545" s="1" t="s">
        <v>12</v>
      </c>
      <c r="D545" s="8">
        <v>11.0</v>
      </c>
      <c r="E545" s="8">
        <v>4.0</v>
      </c>
      <c r="F545" s="8">
        <v>37.0</v>
      </c>
      <c r="G545" s="1" t="s">
        <v>1025</v>
      </c>
      <c r="H545" s="1" t="str">
        <f t="shared" si="1"/>
        <v>Royce</v>
      </c>
      <c r="I545" s="1" t="str">
        <f t="shared" si="2"/>
        <v>Freeman</v>
      </c>
      <c r="J545" s="1" t="str">
        <f t="shared" si="3"/>
        <v>#N/A</v>
      </c>
      <c r="K545" s="1" t="str">
        <f>IFERROR(VLOOKUP($J545,Players!$D:$E,2,FALSE),VLOOKUP($G545,Players!A:E,5,FALSE))</f>
        <v>RB</v>
      </c>
    </row>
    <row r="546" ht="15.75" customHeight="1">
      <c r="A546" s="1">
        <v>2018.0</v>
      </c>
      <c r="B546" s="1" t="s">
        <v>14</v>
      </c>
      <c r="C546" s="1" t="s">
        <v>12</v>
      </c>
      <c r="D546" s="8">
        <v>11.0</v>
      </c>
      <c r="E546" s="8">
        <v>5.0</v>
      </c>
      <c r="F546" s="8">
        <v>60.0</v>
      </c>
      <c r="G546" s="1" t="s">
        <v>680</v>
      </c>
      <c r="H546" s="1" t="str">
        <f t="shared" si="1"/>
        <v>Cam</v>
      </c>
      <c r="I546" s="1" t="str">
        <f t="shared" si="2"/>
        <v>Newton</v>
      </c>
      <c r="J546" s="1" t="str">
        <f t="shared" si="3"/>
        <v>#N/A</v>
      </c>
      <c r="K546" s="1" t="str">
        <f>IFERROR(VLOOKUP($J546,Players!$D:$E,2,FALSE),VLOOKUP($G546,Players!A:E,5,FALSE))</f>
        <v>QB</v>
      </c>
    </row>
    <row r="547" ht="15.75" customHeight="1">
      <c r="A547" s="1">
        <v>2018.0</v>
      </c>
      <c r="B547" s="1" t="s">
        <v>14</v>
      </c>
      <c r="C547" s="1" t="s">
        <v>12</v>
      </c>
      <c r="D547" s="8">
        <v>11.0</v>
      </c>
      <c r="E547" s="8">
        <v>6.0</v>
      </c>
      <c r="F547" s="8">
        <v>61.0</v>
      </c>
      <c r="G547" s="1" t="s">
        <v>940</v>
      </c>
      <c r="H547" s="1" t="str">
        <f t="shared" si="1"/>
        <v>Delanie</v>
      </c>
      <c r="I547" s="1" t="str">
        <f t="shared" si="2"/>
        <v>Walker</v>
      </c>
      <c r="J547" s="1" t="str">
        <f t="shared" si="3"/>
        <v>#N/A</v>
      </c>
      <c r="K547" s="1" t="str">
        <f>IFERROR(VLOOKUP($J547,Players!$D:$E,2,FALSE),VLOOKUP($G547,Players!A:E,5,FALSE))</f>
        <v>TE</v>
      </c>
    </row>
    <row r="548" ht="15.75" customHeight="1">
      <c r="A548" s="1">
        <v>2018.0</v>
      </c>
      <c r="B548" s="1" t="s">
        <v>14</v>
      </c>
      <c r="C548" s="1" t="s">
        <v>12</v>
      </c>
      <c r="D548" s="8">
        <v>11.0</v>
      </c>
      <c r="E548" s="8">
        <v>7.0</v>
      </c>
      <c r="F548" s="8">
        <v>84.0</v>
      </c>
      <c r="G548" s="1" t="s">
        <v>488</v>
      </c>
      <c r="H548" s="1" t="str">
        <f t="shared" si="1"/>
        <v>Jamison</v>
      </c>
      <c r="I548" s="1" t="str">
        <f t="shared" si="2"/>
        <v>Crowder</v>
      </c>
      <c r="J548" s="1" t="str">
        <f t="shared" si="3"/>
        <v>#N/A</v>
      </c>
      <c r="K548" s="1" t="str">
        <f>IFERROR(VLOOKUP($J548,Players!$D:$E,2,FALSE),VLOOKUP($G548,Players!A:E,5,FALSE))</f>
        <v>WR</v>
      </c>
    </row>
    <row r="549" ht="15.75" customHeight="1">
      <c r="A549" s="1">
        <v>2018.0</v>
      </c>
      <c r="B549" s="1" t="s">
        <v>14</v>
      </c>
      <c r="C549" s="1" t="s">
        <v>12</v>
      </c>
      <c r="D549" s="8">
        <v>11.0</v>
      </c>
      <c r="E549" s="8">
        <v>8.0</v>
      </c>
      <c r="F549" s="8">
        <v>85.0</v>
      </c>
      <c r="G549" s="1" t="s">
        <v>209</v>
      </c>
      <c r="H549" s="1" t="str">
        <f t="shared" si="1"/>
        <v>Carlos</v>
      </c>
      <c r="I549" s="1" t="str">
        <f t="shared" si="2"/>
        <v>Hyde</v>
      </c>
      <c r="J549" s="1" t="str">
        <f t="shared" si="3"/>
        <v>#N/A</v>
      </c>
      <c r="K549" s="1" t="str">
        <f>IFERROR(VLOOKUP($J549,Players!$D:$E,2,FALSE),VLOOKUP($G549,Players!A:E,5,FALSE))</f>
        <v>RB</v>
      </c>
    </row>
    <row r="550" ht="15.75" customHeight="1">
      <c r="A550" s="1">
        <v>2018.0</v>
      </c>
      <c r="B550" s="1" t="s">
        <v>14</v>
      </c>
      <c r="C550" s="1" t="s">
        <v>12</v>
      </c>
      <c r="D550" s="8">
        <v>11.0</v>
      </c>
      <c r="E550" s="8">
        <v>9.0</v>
      </c>
      <c r="F550" s="8">
        <v>108.0</v>
      </c>
      <c r="G550" s="1" t="s">
        <v>452</v>
      </c>
      <c r="H550" s="1" t="str">
        <f t="shared" si="1"/>
        <v>James</v>
      </c>
      <c r="I550" s="1" t="str">
        <f t="shared" si="2"/>
        <v>White</v>
      </c>
      <c r="J550" s="1" t="str">
        <f t="shared" si="3"/>
        <v>#N/A</v>
      </c>
      <c r="K550" s="1" t="str">
        <f>IFERROR(VLOOKUP($J550,Players!$D:$E,2,FALSE),VLOOKUP($G550,Players!A:E,5,FALSE))</f>
        <v>RB</v>
      </c>
    </row>
    <row r="551" ht="15.75" customHeight="1">
      <c r="A551" s="1">
        <v>2018.0</v>
      </c>
      <c r="B551" s="1" t="s">
        <v>14</v>
      </c>
      <c r="C551" s="1" t="s">
        <v>12</v>
      </c>
      <c r="D551" s="8">
        <v>11.0</v>
      </c>
      <c r="E551" s="8">
        <v>10.0</v>
      </c>
      <c r="F551" s="8">
        <v>109.0</v>
      </c>
      <c r="G551" s="1" t="s">
        <v>791</v>
      </c>
      <c r="H551" s="1" t="str">
        <f t="shared" si="1"/>
        <v>Tarik</v>
      </c>
      <c r="I551" s="1" t="str">
        <f t="shared" si="2"/>
        <v>Cohen</v>
      </c>
      <c r="J551" s="1" t="str">
        <f t="shared" si="3"/>
        <v>#N/A</v>
      </c>
      <c r="K551" s="1" t="str">
        <f>IFERROR(VLOOKUP($J551,Players!$D:$E,2,FALSE),VLOOKUP($G551,Players!A:E,5,FALSE))</f>
        <v>RB</v>
      </c>
    </row>
    <row r="552" ht="15.75" customHeight="1">
      <c r="A552" s="1">
        <v>2018.0</v>
      </c>
      <c r="B552" s="1" t="s">
        <v>14</v>
      </c>
      <c r="C552" s="1" t="s">
        <v>12</v>
      </c>
      <c r="D552" s="8">
        <v>11.0</v>
      </c>
      <c r="E552" s="8">
        <v>11.0</v>
      </c>
      <c r="F552" s="8">
        <v>132.0</v>
      </c>
      <c r="G552" s="1" t="s">
        <v>498</v>
      </c>
      <c r="H552" s="1" t="str">
        <f t="shared" si="1"/>
        <v>Duke</v>
      </c>
      <c r="I552" s="1" t="str">
        <f t="shared" si="2"/>
        <v>Johnson</v>
      </c>
      <c r="J552" s="1" t="str">
        <f t="shared" si="3"/>
        <v>#N/A</v>
      </c>
      <c r="K552" s="1" t="str">
        <f>IFERROR(VLOOKUP($J552,Players!$D:$E,2,FALSE),VLOOKUP($G552,Players!A:E,5,FALSE))</f>
        <v>RB</v>
      </c>
    </row>
    <row r="553" ht="15.75" customHeight="1">
      <c r="A553" s="1">
        <v>2018.0</v>
      </c>
      <c r="B553" s="1" t="s">
        <v>14</v>
      </c>
      <c r="C553" s="1" t="s">
        <v>12</v>
      </c>
      <c r="D553" s="8">
        <v>11.0</v>
      </c>
      <c r="E553" s="8">
        <v>12.0</v>
      </c>
      <c r="F553" s="8">
        <v>133.0</v>
      </c>
      <c r="G553" s="1" t="s">
        <v>932</v>
      </c>
      <c r="H553" s="1" t="str">
        <f t="shared" si="1"/>
        <v>OJ</v>
      </c>
      <c r="I553" s="1" t="str">
        <f t="shared" si="2"/>
        <v>Howard</v>
      </c>
      <c r="J553" s="1" t="str">
        <f t="shared" si="3"/>
        <v>#N/A</v>
      </c>
      <c r="K553" s="1" t="str">
        <f>IFERROR(VLOOKUP($J553,Players!$D:$E,2,FALSE),VLOOKUP($G553,Players!A:E,5,FALSE))</f>
        <v>TE</v>
      </c>
    </row>
    <row r="554" ht="15.75" customHeight="1">
      <c r="A554" s="1">
        <v>2018.0</v>
      </c>
      <c r="B554" s="1" t="s">
        <v>14</v>
      </c>
      <c r="C554" s="1" t="s">
        <v>12</v>
      </c>
      <c r="D554" s="8">
        <v>11.0</v>
      </c>
      <c r="E554" s="8">
        <v>13.0</v>
      </c>
      <c r="F554" s="8">
        <v>156.0</v>
      </c>
      <c r="G554" s="1" t="s">
        <v>766</v>
      </c>
      <c r="H554" s="1" t="str">
        <f t="shared" si="1"/>
        <v>#VALUE!</v>
      </c>
      <c r="I554" s="1" t="str">
        <f t="shared" si="2"/>
        <v>#VALUE!</v>
      </c>
      <c r="J554" s="1" t="str">
        <f t="shared" si="3"/>
        <v>#N/A</v>
      </c>
      <c r="K554" s="1" t="str">
        <f>IFERROR(VLOOKUP($J554,Players!$D:$E,2,FALSE),VLOOKUP($G554,Players!A:E,5,FALSE))</f>
        <v>DEF</v>
      </c>
    </row>
    <row r="555" ht="15.75" customHeight="1">
      <c r="A555" s="1">
        <v>2018.0</v>
      </c>
      <c r="B555" s="1" t="s">
        <v>14</v>
      </c>
      <c r="C555" s="1" t="s">
        <v>12</v>
      </c>
      <c r="D555" s="8">
        <v>11.0</v>
      </c>
      <c r="E555" s="8">
        <v>14.0</v>
      </c>
      <c r="F555" s="8">
        <v>157.0</v>
      </c>
      <c r="G555" s="1" t="s">
        <v>1196</v>
      </c>
      <c r="H555" s="1" t="str">
        <f t="shared" si="1"/>
        <v>Matt</v>
      </c>
      <c r="I555" s="1" t="str">
        <f t="shared" si="2"/>
        <v>Bryant</v>
      </c>
      <c r="J555" s="1" t="str">
        <f t="shared" si="3"/>
        <v>#N/A</v>
      </c>
      <c r="K555" s="1" t="str">
        <f>IFERROR(VLOOKUP($J555,Players!$D:$E,2,FALSE),VLOOKUP($G555,Players!A:E,5,FALSE))</f>
        <v>K</v>
      </c>
    </row>
    <row r="556" ht="15.75" customHeight="1">
      <c r="A556" s="1">
        <v>2018.0</v>
      </c>
      <c r="B556" s="1" t="s">
        <v>14</v>
      </c>
      <c r="C556" s="1" t="s">
        <v>12</v>
      </c>
      <c r="D556" s="8">
        <v>11.0</v>
      </c>
      <c r="E556" s="8">
        <v>15.0</v>
      </c>
      <c r="F556" s="8">
        <v>180.0</v>
      </c>
      <c r="G556" s="1" t="s">
        <v>173</v>
      </c>
      <c r="H556" s="1" t="str">
        <f t="shared" si="1"/>
        <v>Chris</v>
      </c>
      <c r="I556" s="1" t="str">
        <f t="shared" si="2"/>
        <v>Godwin</v>
      </c>
      <c r="J556" s="1" t="str">
        <f t="shared" si="3"/>
        <v>#N/A</v>
      </c>
      <c r="K556" s="1" t="str">
        <f>IFERROR(VLOOKUP($J556,Players!$D:$E,2,FALSE),VLOOKUP($G556,Players!A:E,5,FALSE))</f>
        <v>WR</v>
      </c>
    </row>
    <row r="557" ht="15.75" customHeight="1">
      <c r="A557" s="1">
        <v>2018.0</v>
      </c>
      <c r="B557" s="1" t="s">
        <v>32</v>
      </c>
      <c r="C557" s="1" t="s">
        <v>25</v>
      </c>
      <c r="D557" s="8">
        <v>6.0</v>
      </c>
      <c r="E557" s="8">
        <v>1.0</v>
      </c>
      <c r="F557" s="8">
        <v>8.0</v>
      </c>
      <c r="G557" s="1" t="s">
        <v>298</v>
      </c>
      <c r="H557" s="1" t="str">
        <f t="shared" si="1"/>
        <v>DeAndre</v>
      </c>
      <c r="I557" s="1" t="str">
        <f t="shared" si="2"/>
        <v>Hopkins</v>
      </c>
      <c r="J557" s="1" t="str">
        <f t="shared" si="3"/>
        <v>#N/A</v>
      </c>
      <c r="K557" s="1" t="str">
        <f>IFERROR(VLOOKUP($J557,Players!$D:$E,2,FALSE),VLOOKUP($G557,Players!A:E,5,FALSE))</f>
        <v>WR</v>
      </c>
    </row>
    <row r="558" ht="15.75" customHeight="1">
      <c r="A558" s="1">
        <v>2018.0</v>
      </c>
      <c r="B558" s="1" t="s">
        <v>32</v>
      </c>
      <c r="C558" s="1" t="s">
        <v>25</v>
      </c>
      <c r="D558" s="8">
        <v>6.0</v>
      </c>
      <c r="E558" s="8">
        <v>2.0</v>
      </c>
      <c r="F558" s="8">
        <v>17.0</v>
      </c>
      <c r="G558" s="1" t="s">
        <v>80</v>
      </c>
      <c r="H558" s="1" t="str">
        <f t="shared" si="1"/>
        <v>Keenan</v>
      </c>
      <c r="I558" s="1" t="str">
        <f t="shared" si="2"/>
        <v>Allen</v>
      </c>
      <c r="J558" s="1" t="str">
        <f t="shared" si="3"/>
        <v>#N/A</v>
      </c>
      <c r="K558" s="1" t="str">
        <f>IFERROR(VLOOKUP($J558,Players!$D:$E,2,FALSE),VLOOKUP($G558,Players!A:E,5,FALSE))</f>
        <v>WR</v>
      </c>
    </row>
    <row r="559" ht="15.75" customHeight="1">
      <c r="A559" s="1">
        <v>2018.0</v>
      </c>
      <c r="B559" s="1" t="s">
        <v>32</v>
      </c>
      <c r="C559" s="1" t="s">
        <v>25</v>
      </c>
      <c r="D559" s="8">
        <v>6.0</v>
      </c>
      <c r="E559" s="8">
        <v>3.0</v>
      </c>
      <c r="F559" s="8">
        <v>32.0</v>
      </c>
      <c r="G559" s="1" t="s">
        <v>751</v>
      </c>
      <c r="H559" s="1" t="str">
        <f t="shared" si="1"/>
        <v>LeSean</v>
      </c>
      <c r="I559" s="1" t="str">
        <f t="shared" si="2"/>
        <v>McCoy</v>
      </c>
      <c r="J559" s="1" t="str">
        <f t="shared" si="3"/>
        <v>#N/A</v>
      </c>
      <c r="K559" s="1" t="str">
        <f>IFERROR(VLOOKUP($J559,Players!$D:$E,2,FALSE),VLOOKUP($G559,Players!A:E,5,FALSE))</f>
        <v>RB</v>
      </c>
    </row>
    <row r="560" ht="15.75" customHeight="1">
      <c r="A560" s="1">
        <v>2018.0</v>
      </c>
      <c r="B560" s="1" t="s">
        <v>32</v>
      </c>
      <c r="C560" s="1" t="s">
        <v>25</v>
      </c>
      <c r="D560" s="8">
        <v>6.0</v>
      </c>
      <c r="E560" s="8">
        <v>4.0</v>
      </c>
      <c r="F560" s="8">
        <v>41.0</v>
      </c>
      <c r="G560" s="1" t="s">
        <v>1028</v>
      </c>
      <c r="H560" s="1" t="str">
        <f t="shared" si="1"/>
        <v>Greg</v>
      </c>
      <c r="I560" s="1" t="str">
        <f t="shared" si="2"/>
        <v>Olsen</v>
      </c>
      <c r="J560" s="1" t="str">
        <f t="shared" si="3"/>
        <v>#N/A</v>
      </c>
      <c r="K560" s="1" t="str">
        <f>IFERROR(VLOOKUP($J560,Players!$D:$E,2,FALSE),VLOOKUP($G560,Players!A:E,5,FALSE))</f>
        <v>TE</v>
      </c>
    </row>
    <row r="561" ht="15.75" customHeight="1">
      <c r="A561" s="1">
        <v>2018.0</v>
      </c>
      <c r="B561" s="1" t="s">
        <v>32</v>
      </c>
      <c r="C561" s="1" t="s">
        <v>25</v>
      </c>
      <c r="D561" s="8">
        <v>6.0</v>
      </c>
      <c r="E561" s="8">
        <v>5.0</v>
      </c>
      <c r="F561" s="8">
        <v>56.0</v>
      </c>
      <c r="G561" s="1" t="s">
        <v>144</v>
      </c>
      <c r="H561" s="1" t="str">
        <f t="shared" si="1"/>
        <v>Russell</v>
      </c>
      <c r="I561" s="1" t="str">
        <f t="shared" si="2"/>
        <v>Wilson</v>
      </c>
      <c r="J561" s="1" t="str">
        <f t="shared" si="3"/>
        <v>#N/A</v>
      </c>
      <c r="K561" s="1" t="str">
        <f>IFERROR(VLOOKUP($J561,Players!$D:$E,2,FALSE),VLOOKUP($G561,Players!A:E,5,FALSE))</f>
        <v>QB</v>
      </c>
    </row>
    <row r="562" ht="15.75" customHeight="1">
      <c r="A562" s="1">
        <v>2018.0</v>
      </c>
      <c r="B562" s="1" t="s">
        <v>32</v>
      </c>
      <c r="C562" s="1" t="s">
        <v>25</v>
      </c>
      <c r="D562" s="8">
        <v>6.0</v>
      </c>
      <c r="E562" s="8">
        <v>6.0</v>
      </c>
      <c r="F562" s="8">
        <v>65.0</v>
      </c>
      <c r="G562" s="1" t="s">
        <v>618</v>
      </c>
      <c r="H562" s="1" t="str">
        <f t="shared" si="1"/>
        <v>Julian</v>
      </c>
      <c r="I562" s="1" t="str">
        <f t="shared" si="2"/>
        <v>Edelman</v>
      </c>
      <c r="J562" s="1" t="str">
        <f t="shared" si="3"/>
        <v>#N/A</v>
      </c>
      <c r="K562" s="1" t="str">
        <f>IFERROR(VLOOKUP($J562,Players!$D:$E,2,FALSE),VLOOKUP($G562,Players!A:E,5,FALSE))</f>
        <v>WR</v>
      </c>
    </row>
    <row r="563" ht="15.75" customHeight="1">
      <c r="A563" s="1">
        <v>2018.0</v>
      </c>
      <c r="B563" s="1" t="s">
        <v>32</v>
      </c>
      <c r="C563" s="1" t="s">
        <v>25</v>
      </c>
      <c r="D563" s="8">
        <v>6.0</v>
      </c>
      <c r="E563" s="8">
        <v>7.0</v>
      </c>
      <c r="F563" s="8">
        <v>80.0</v>
      </c>
      <c r="G563" s="1" t="s">
        <v>160</v>
      </c>
      <c r="H563" s="1" t="str">
        <f t="shared" si="1"/>
        <v>Tevin</v>
      </c>
      <c r="I563" s="1" t="str">
        <f t="shared" si="2"/>
        <v>Coleman</v>
      </c>
      <c r="J563" s="1" t="str">
        <f t="shared" si="3"/>
        <v>#N/A</v>
      </c>
      <c r="K563" s="1" t="str">
        <f>IFERROR(VLOOKUP($J563,Players!$D:$E,2,FALSE),VLOOKUP($G563,Players!A:E,5,FALSE))</f>
        <v>RB</v>
      </c>
    </row>
    <row r="564" ht="15.75" customHeight="1">
      <c r="A564" s="1">
        <v>2018.0</v>
      </c>
      <c r="B564" s="1" t="s">
        <v>32</v>
      </c>
      <c r="C564" s="1" t="s">
        <v>25</v>
      </c>
      <c r="D564" s="8">
        <v>6.0</v>
      </c>
      <c r="E564" s="8">
        <v>8.0</v>
      </c>
      <c r="F564" s="8">
        <v>89.0</v>
      </c>
      <c r="G564" s="1" t="s">
        <v>670</v>
      </c>
      <c r="H564" s="1" t="str">
        <f t="shared" si="1"/>
        <v>Chris</v>
      </c>
      <c r="I564" s="1" t="str">
        <f t="shared" si="2"/>
        <v>Thompson</v>
      </c>
      <c r="J564" s="1" t="str">
        <f t="shared" si="3"/>
        <v>#N/A</v>
      </c>
      <c r="K564" s="1" t="str">
        <f>IFERROR(VLOOKUP($J564,Players!$D:$E,2,FALSE),VLOOKUP($G564,Players!A:E,5,FALSE))</f>
        <v>WR</v>
      </c>
    </row>
    <row r="565" ht="15.75" customHeight="1">
      <c r="A565" s="1">
        <v>2018.0</v>
      </c>
      <c r="B565" s="1" t="s">
        <v>32</v>
      </c>
      <c r="C565" s="1" t="s">
        <v>25</v>
      </c>
      <c r="D565" s="8">
        <v>6.0</v>
      </c>
      <c r="E565" s="8">
        <v>9.0</v>
      </c>
      <c r="F565" s="8">
        <v>104.0</v>
      </c>
      <c r="G565" s="1" t="s">
        <v>231</v>
      </c>
      <c r="H565" s="1" t="str">
        <f t="shared" si="1"/>
        <v>Los</v>
      </c>
      <c r="I565" s="1" t="str">
        <f t="shared" si="2"/>
        <v>Angeles</v>
      </c>
      <c r="J565" s="1" t="str">
        <f t="shared" si="3"/>
        <v>#N/A</v>
      </c>
      <c r="K565" s="1" t="str">
        <f>IFERROR(VLOOKUP($J565,Players!$D:$E,2,FALSE),VLOOKUP($G565,Players!A:E,5,FALSE))</f>
        <v>DEF</v>
      </c>
    </row>
    <row r="566" ht="15.75" customHeight="1">
      <c r="A566" s="1">
        <v>2018.0</v>
      </c>
      <c r="B566" s="1" t="s">
        <v>32</v>
      </c>
      <c r="C566" s="1" t="s">
        <v>25</v>
      </c>
      <c r="D566" s="8">
        <v>6.0</v>
      </c>
      <c r="E566" s="8">
        <v>10.0</v>
      </c>
      <c r="F566" s="8">
        <v>113.0</v>
      </c>
      <c r="G566" s="1" t="s">
        <v>335</v>
      </c>
      <c r="H566" s="1" t="str">
        <f t="shared" si="1"/>
        <v>Randall</v>
      </c>
      <c r="I566" s="1" t="str">
        <f t="shared" si="2"/>
        <v>Cobb</v>
      </c>
      <c r="J566" s="1" t="str">
        <f t="shared" si="3"/>
        <v>#N/A</v>
      </c>
      <c r="K566" s="1" t="str">
        <f>IFERROR(VLOOKUP($J566,Players!$D:$E,2,FALSE),VLOOKUP($G566,Players!A:E,5,FALSE))</f>
        <v>WR</v>
      </c>
    </row>
    <row r="567" ht="15.75" customHeight="1">
      <c r="A567" s="1">
        <v>2018.0</v>
      </c>
      <c r="B567" s="1" t="s">
        <v>32</v>
      </c>
      <c r="C567" s="1" t="s">
        <v>25</v>
      </c>
      <c r="D567" s="8">
        <v>6.0</v>
      </c>
      <c r="E567" s="8">
        <v>11.0</v>
      </c>
      <c r="F567" s="8">
        <v>128.0</v>
      </c>
      <c r="G567" s="1" t="s">
        <v>288</v>
      </c>
      <c r="H567" s="1" t="str">
        <f t="shared" si="1"/>
        <v>Greg</v>
      </c>
      <c r="I567" s="1" t="str">
        <f t="shared" si="2"/>
        <v>Zuerlein</v>
      </c>
      <c r="J567" s="1" t="str">
        <f t="shared" si="3"/>
        <v>#N/A</v>
      </c>
      <c r="K567" s="1" t="str">
        <f>IFERROR(VLOOKUP($J567,Players!$D:$E,2,FALSE),VLOOKUP($G567,Players!A:E,5,FALSE))</f>
        <v>K</v>
      </c>
    </row>
    <row r="568" ht="15.75" customHeight="1">
      <c r="A568" s="1">
        <v>2018.0</v>
      </c>
      <c r="B568" s="1" t="s">
        <v>32</v>
      </c>
      <c r="C568" s="1" t="s">
        <v>25</v>
      </c>
      <c r="D568" s="8">
        <v>6.0</v>
      </c>
      <c r="E568" s="8">
        <v>12.0</v>
      </c>
      <c r="F568" s="8">
        <v>137.0</v>
      </c>
      <c r="G568" s="1" t="s">
        <v>103</v>
      </c>
      <c r="H568" s="1" t="str">
        <f t="shared" si="1"/>
        <v>Cole</v>
      </c>
      <c r="I568" s="1" t="str">
        <f t="shared" si="2"/>
        <v>Beasley</v>
      </c>
      <c r="J568" s="1" t="str">
        <f t="shared" si="3"/>
        <v>#N/A</v>
      </c>
      <c r="K568" s="1" t="str">
        <f>IFERROR(VLOOKUP($J568,Players!$D:$E,2,FALSE),VLOOKUP($G568,Players!A:E,5,FALSE))</f>
        <v>WR</v>
      </c>
    </row>
    <row r="569" ht="15.75" customHeight="1">
      <c r="A569" s="1">
        <v>2018.0</v>
      </c>
      <c r="B569" s="1" t="s">
        <v>32</v>
      </c>
      <c r="C569" s="1" t="s">
        <v>25</v>
      </c>
      <c r="D569" s="8">
        <v>6.0</v>
      </c>
      <c r="E569" s="8">
        <v>13.0</v>
      </c>
      <c r="F569" s="8">
        <v>152.0</v>
      </c>
      <c r="G569" s="1" t="s">
        <v>749</v>
      </c>
      <c r="H569" s="1" t="str">
        <f t="shared" si="1"/>
        <v>Latavius</v>
      </c>
      <c r="I569" s="1" t="str">
        <f t="shared" si="2"/>
        <v>Murray</v>
      </c>
      <c r="J569" s="1" t="str">
        <f t="shared" si="3"/>
        <v>#N/A</v>
      </c>
      <c r="K569" s="1" t="str">
        <f>IFERROR(VLOOKUP($J569,Players!$D:$E,2,FALSE),VLOOKUP($G569,Players!A:E,5,FALSE))</f>
        <v>RB</v>
      </c>
    </row>
    <row r="570" ht="15.75" customHeight="1">
      <c r="A570" s="1">
        <v>2018.0</v>
      </c>
      <c r="B570" s="1" t="s">
        <v>32</v>
      </c>
      <c r="C570" s="1" t="s">
        <v>25</v>
      </c>
      <c r="D570" s="8">
        <v>6.0</v>
      </c>
      <c r="E570" s="8">
        <v>14.0</v>
      </c>
      <c r="F570" s="8">
        <v>161.0</v>
      </c>
      <c r="G570" s="1" t="s">
        <v>142</v>
      </c>
      <c r="H570" s="1" t="str">
        <f t="shared" si="1"/>
        <v>Tyler</v>
      </c>
      <c r="I570" s="1" t="str">
        <f t="shared" si="2"/>
        <v>Lockett</v>
      </c>
      <c r="J570" s="1" t="str">
        <f t="shared" si="3"/>
        <v>#N/A</v>
      </c>
      <c r="K570" s="1" t="str">
        <f>IFERROR(VLOOKUP($J570,Players!$D:$E,2,FALSE),VLOOKUP($G570,Players!A:E,5,FALSE))</f>
        <v>WR</v>
      </c>
    </row>
    <row r="571" ht="15.75" customHeight="1">
      <c r="A571" s="1">
        <v>2018.0</v>
      </c>
      <c r="B571" s="1" t="s">
        <v>32</v>
      </c>
      <c r="C571" s="1" t="s">
        <v>25</v>
      </c>
      <c r="D571" s="8">
        <v>6.0</v>
      </c>
      <c r="E571" s="8">
        <v>15.0</v>
      </c>
      <c r="F571" s="8">
        <v>176.0</v>
      </c>
      <c r="G571" s="1" t="s">
        <v>1234</v>
      </c>
      <c r="H571" s="1" t="str">
        <f t="shared" si="1"/>
        <v>Anthony</v>
      </c>
      <c r="I571" s="1" t="str">
        <f t="shared" si="2"/>
        <v>Miller</v>
      </c>
      <c r="J571" s="1" t="str">
        <f t="shared" si="3"/>
        <v>#N/A</v>
      </c>
      <c r="K571" s="1" t="str">
        <f>IFERROR(VLOOKUP($J571,Players!$D:$E,2,FALSE),VLOOKUP($G571,Players!A:E,5,FALSE))</f>
        <v>#N/A</v>
      </c>
    </row>
    <row r="572" ht="15.75" customHeight="1">
      <c r="A572" s="1">
        <v>2018.0</v>
      </c>
      <c r="B572" s="1" t="s">
        <v>47</v>
      </c>
      <c r="C572" s="1" t="s">
        <v>22</v>
      </c>
      <c r="D572" s="8">
        <v>1.0</v>
      </c>
      <c r="E572" s="8">
        <v>1.0</v>
      </c>
      <c r="F572" s="8">
        <v>10.0</v>
      </c>
      <c r="G572" s="1" t="s">
        <v>360</v>
      </c>
      <c r="H572" s="1" t="str">
        <f t="shared" si="1"/>
        <v>Melvin</v>
      </c>
      <c r="I572" s="1" t="str">
        <f t="shared" si="2"/>
        <v>Gordon III</v>
      </c>
      <c r="J572" s="1" t="str">
        <f t="shared" si="3"/>
        <v>#N/A</v>
      </c>
      <c r="K572" s="1" t="str">
        <f>IFERROR(VLOOKUP($J572,Players!$D:$E,2,FALSE),VLOOKUP($G572,Players!A:E,5,FALSE))</f>
        <v>#N/A</v>
      </c>
    </row>
    <row r="573" ht="15.75" customHeight="1">
      <c r="A573" s="1">
        <v>2018.0</v>
      </c>
      <c r="B573" s="1" t="s">
        <v>47</v>
      </c>
      <c r="C573" s="1" t="s">
        <v>22</v>
      </c>
      <c r="D573" s="8">
        <v>1.0</v>
      </c>
      <c r="E573" s="8">
        <v>2.0</v>
      </c>
      <c r="F573" s="8">
        <v>15.0</v>
      </c>
      <c r="G573" s="1" t="s">
        <v>213</v>
      </c>
      <c r="H573" s="1" t="str">
        <f t="shared" si="1"/>
        <v>Davante</v>
      </c>
      <c r="I573" s="1" t="str">
        <f t="shared" si="2"/>
        <v>Adams</v>
      </c>
      <c r="J573" s="1" t="str">
        <f t="shared" si="3"/>
        <v>#N/A</v>
      </c>
      <c r="K573" s="1" t="str">
        <f>IFERROR(VLOOKUP($J573,Players!$D:$E,2,FALSE),VLOOKUP($G573,Players!A:E,5,FALSE))</f>
        <v>WR</v>
      </c>
    </row>
    <row r="574" ht="15.75" customHeight="1">
      <c r="A574" s="1">
        <v>2018.0</v>
      </c>
      <c r="B574" s="1" t="s">
        <v>47</v>
      </c>
      <c r="C574" s="1" t="s">
        <v>22</v>
      </c>
      <c r="D574" s="8">
        <v>1.0</v>
      </c>
      <c r="E574" s="8">
        <v>3.0</v>
      </c>
      <c r="F574" s="8">
        <v>34.0</v>
      </c>
      <c r="G574" s="1" t="s">
        <v>362</v>
      </c>
      <c r="H574" s="1" t="str">
        <f t="shared" si="1"/>
        <v>Kenyan</v>
      </c>
      <c r="I574" s="1" t="str">
        <f t="shared" si="2"/>
        <v>Drake</v>
      </c>
      <c r="J574" s="1" t="str">
        <f t="shared" si="3"/>
        <v>#N/A</v>
      </c>
      <c r="K574" s="1" t="str">
        <f>IFERROR(VLOOKUP($J574,Players!$D:$E,2,FALSE),VLOOKUP($G574,Players!A:E,5,FALSE))</f>
        <v>RB</v>
      </c>
    </row>
    <row r="575" ht="15.75" customHeight="1">
      <c r="A575" s="1">
        <v>2018.0</v>
      </c>
      <c r="B575" s="1" t="s">
        <v>47</v>
      </c>
      <c r="C575" s="1" t="s">
        <v>22</v>
      </c>
      <c r="D575" s="8">
        <v>1.0</v>
      </c>
      <c r="E575" s="8">
        <v>4.0</v>
      </c>
      <c r="F575" s="8">
        <v>39.0</v>
      </c>
      <c r="G575" s="1" t="s">
        <v>435</v>
      </c>
      <c r="H575" s="1" t="str">
        <f t="shared" si="1"/>
        <v>JuJu</v>
      </c>
      <c r="I575" s="1" t="str">
        <f t="shared" si="2"/>
        <v>Smith-Schuster</v>
      </c>
      <c r="J575" s="1" t="str">
        <f t="shared" si="3"/>
        <v>#N/A</v>
      </c>
      <c r="K575" s="1" t="str">
        <f>IFERROR(VLOOKUP($J575,Players!$D:$E,2,FALSE),VLOOKUP($G575,Players!A:E,5,FALSE))</f>
        <v>WR</v>
      </c>
    </row>
    <row r="576" ht="15.75" customHeight="1">
      <c r="A576" s="1">
        <v>2018.0</v>
      </c>
      <c r="B576" s="1" t="s">
        <v>47</v>
      </c>
      <c r="C576" s="1" t="s">
        <v>22</v>
      </c>
      <c r="D576" s="8">
        <v>1.0</v>
      </c>
      <c r="E576" s="8">
        <v>5.0</v>
      </c>
      <c r="F576" s="8">
        <v>58.0</v>
      </c>
      <c r="G576" s="1" t="s">
        <v>168</v>
      </c>
      <c r="H576" s="1" t="str">
        <f t="shared" si="1"/>
        <v>Derrick</v>
      </c>
      <c r="I576" s="1" t="str">
        <f t="shared" si="2"/>
        <v>Henry</v>
      </c>
      <c r="J576" s="1" t="str">
        <f t="shared" si="3"/>
        <v>#N/A</v>
      </c>
      <c r="K576" s="1" t="str">
        <f>IFERROR(VLOOKUP($J576,Players!$D:$E,2,FALSE),VLOOKUP($G576,Players!A:E,5,FALSE))</f>
        <v>RB</v>
      </c>
    </row>
    <row r="577" ht="15.75" customHeight="1">
      <c r="A577" s="1">
        <v>2018.0</v>
      </c>
      <c r="B577" s="1" t="s">
        <v>47</v>
      </c>
      <c r="C577" s="1" t="s">
        <v>22</v>
      </c>
      <c r="D577" s="8">
        <v>1.0</v>
      </c>
      <c r="E577" s="8">
        <v>6.0</v>
      </c>
      <c r="F577" s="8">
        <v>63.0</v>
      </c>
      <c r="G577" s="1" t="s">
        <v>854</v>
      </c>
      <c r="H577" s="1" t="str">
        <f t="shared" si="1"/>
        <v>Trey</v>
      </c>
      <c r="I577" s="1" t="str">
        <f t="shared" si="2"/>
        <v>Burton</v>
      </c>
      <c r="J577" s="1" t="str">
        <f t="shared" si="3"/>
        <v>#N/A</v>
      </c>
      <c r="K577" s="1" t="str">
        <f>IFERROR(VLOOKUP($J577,Players!$D:$E,2,FALSE),VLOOKUP($G577,Players!A:E,5,FALSE))</f>
        <v>TE</v>
      </c>
    </row>
    <row r="578" ht="15.75" customHeight="1">
      <c r="A578" s="1">
        <v>2018.0</v>
      </c>
      <c r="B578" s="1" t="s">
        <v>47</v>
      </c>
      <c r="C578" s="1" t="s">
        <v>22</v>
      </c>
      <c r="D578" s="8">
        <v>1.0</v>
      </c>
      <c r="E578" s="8">
        <v>7.0</v>
      </c>
      <c r="F578" s="8">
        <v>82.0</v>
      </c>
      <c r="G578" s="1" t="s">
        <v>485</v>
      </c>
      <c r="H578" s="1" t="str">
        <f t="shared" si="1"/>
        <v>John</v>
      </c>
      <c r="I578" s="1" t="str">
        <f t="shared" si="2"/>
        <v>Brown</v>
      </c>
      <c r="J578" s="1" t="str">
        <f t="shared" si="3"/>
        <v>#N/A</v>
      </c>
      <c r="K578" s="1" t="str">
        <f>IFERROR(VLOOKUP($J578,Players!$D:$E,2,FALSE),VLOOKUP($G578,Players!A:E,5,FALSE))</f>
        <v>WR</v>
      </c>
    </row>
    <row r="579" ht="15.75" customHeight="1">
      <c r="A579" s="1">
        <v>2018.0</v>
      </c>
      <c r="B579" s="1" t="s">
        <v>47</v>
      </c>
      <c r="C579" s="1" t="s">
        <v>22</v>
      </c>
      <c r="D579" s="8">
        <v>1.0</v>
      </c>
      <c r="E579" s="8">
        <v>8.0</v>
      </c>
      <c r="F579" s="8">
        <v>87.0</v>
      </c>
      <c r="G579" s="1" t="s">
        <v>1076</v>
      </c>
      <c r="H579" s="1" t="str">
        <f t="shared" si="1"/>
        <v>#VALUE!</v>
      </c>
      <c r="I579" s="1" t="str">
        <f t="shared" si="2"/>
        <v>#VALUE!</v>
      </c>
      <c r="J579" s="1" t="str">
        <f t="shared" si="3"/>
        <v>#N/A</v>
      </c>
      <c r="K579" s="1" t="str">
        <f>IFERROR(VLOOKUP($J579,Players!$D:$E,2,FALSE),VLOOKUP($G579,Players!A:E,5,FALSE))</f>
        <v>DEF</v>
      </c>
    </row>
    <row r="580" ht="15.75" customHeight="1">
      <c r="A580" s="1">
        <v>2018.0</v>
      </c>
      <c r="B580" s="1" t="s">
        <v>47</v>
      </c>
      <c r="C580" s="1" t="s">
        <v>22</v>
      </c>
      <c r="D580" s="8">
        <v>1.0</v>
      </c>
      <c r="E580" s="8">
        <v>9.0</v>
      </c>
      <c r="F580" s="8">
        <v>106.0</v>
      </c>
      <c r="G580" s="1" t="s">
        <v>524</v>
      </c>
      <c r="H580" s="1" t="str">
        <f t="shared" si="1"/>
        <v>Matt</v>
      </c>
      <c r="I580" s="1" t="str">
        <f t="shared" si="2"/>
        <v>Ryan</v>
      </c>
      <c r="J580" s="1" t="str">
        <f t="shared" si="3"/>
        <v>#N/A</v>
      </c>
      <c r="K580" s="1" t="str">
        <f>IFERROR(VLOOKUP($J580,Players!$D:$E,2,FALSE),VLOOKUP($G580,Players!A:E,5,FALSE))</f>
        <v>QB</v>
      </c>
    </row>
    <row r="581" ht="15.75" customHeight="1">
      <c r="A581" s="1">
        <v>2018.0</v>
      </c>
      <c r="B581" s="1" t="s">
        <v>47</v>
      </c>
      <c r="C581" s="1" t="s">
        <v>22</v>
      </c>
      <c r="D581" s="8">
        <v>1.0</v>
      </c>
      <c r="E581" s="8">
        <v>10.0</v>
      </c>
      <c r="F581" s="8">
        <v>111.0</v>
      </c>
      <c r="G581" s="1" t="s">
        <v>85</v>
      </c>
      <c r="H581" s="1" t="str">
        <f t="shared" si="1"/>
        <v>James</v>
      </c>
      <c r="I581" s="1" t="str">
        <f t="shared" si="2"/>
        <v>Conner</v>
      </c>
      <c r="J581" s="1" t="str">
        <f t="shared" si="3"/>
        <v>#N/A</v>
      </c>
      <c r="K581" s="1" t="str">
        <f>IFERROR(VLOOKUP($J581,Players!$D:$E,2,FALSE),VLOOKUP($G581,Players!A:E,5,FALSE))</f>
        <v>RB</v>
      </c>
    </row>
    <row r="582" ht="15.75" customHeight="1">
      <c r="A582" s="1">
        <v>2018.0</v>
      </c>
      <c r="B582" s="1" t="s">
        <v>47</v>
      </c>
      <c r="C582" s="1" t="s">
        <v>22</v>
      </c>
      <c r="D582" s="8">
        <v>1.0</v>
      </c>
      <c r="E582" s="8">
        <v>11.0</v>
      </c>
      <c r="F582" s="8">
        <v>130.0</v>
      </c>
      <c r="G582" s="1" t="s">
        <v>864</v>
      </c>
      <c r="H582" s="1" t="str">
        <f t="shared" si="1"/>
        <v>Mohamed</v>
      </c>
      <c r="I582" s="1" t="str">
        <f t="shared" si="2"/>
        <v>Sanu Sr</v>
      </c>
      <c r="J582" s="1" t="str">
        <f t="shared" si="3"/>
        <v>#N/A</v>
      </c>
      <c r="K582" s="1" t="str">
        <f>IFERROR(VLOOKUP($J582,Players!$D:$E,2,FALSE),VLOOKUP($G582,Players!A:E,5,FALSE))</f>
        <v>#N/A</v>
      </c>
    </row>
    <row r="583" ht="15.75" customHeight="1">
      <c r="A583" s="1">
        <v>2018.0</v>
      </c>
      <c r="B583" s="1" t="s">
        <v>47</v>
      </c>
      <c r="C583" s="1" t="s">
        <v>22</v>
      </c>
      <c r="D583" s="8">
        <v>1.0</v>
      </c>
      <c r="E583" s="8">
        <v>12.0</v>
      </c>
      <c r="F583" s="8">
        <v>135.0</v>
      </c>
      <c r="G583" s="1" t="s">
        <v>969</v>
      </c>
      <c r="H583" s="1" t="str">
        <f t="shared" si="1"/>
        <v>Jared</v>
      </c>
      <c r="I583" s="1" t="str">
        <f t="shared" si="2"/>
        <v>Goff</v>
      </c>
      <c r="J583" s="1" t="str">
        <f t="shared" si="3"/>
        <v>#N/A</v>
      </c>
      <c r="K583" s="1" t="str">
        <f>IFERROR(VLOOKUP($J583,Players!$D:$E,2,FALSE),VLOOKUP($G583,Players!A:E,5,FALSE))</f>
        <v>QB</v>
      </c>
    </row>
    <row r="584" ht="15.75" customHeight="1">
      <c r="A584" s="1">
        <v>2018.0</v>
      </c>
      <c r="B584" s="1" t="s">
        <v>47</v>
      </c>
      <c r="C584" s="1" t="s">
        <v>22</v>
      </c>
      <c r="D584" s="8">
        <v>1.0</v>
      </c>
      <c r="E584" s="8">
        <v>13.0</v>
      </c>
      <c r="F584" s="8">
        <v>154.0</v>
      </c>
      <c r="G584" s="1" t="s">
        <v>256</v>
      </c>
      <c r="H584" s="1" t="str">
        <f t="shared" si="1"/>
        <v>Austin</v>
      </c>
      <c r="I584" s="1" t="str">
        <f t="shared" si="2"/>
        <v>Ekeler</v>
      </c>
      <c r="J584" s="1" t="str">
        <f t="shared" si="3"/>
        <v>#N/A</v>
      </c>
      <c r="K584" s="1" t="str">
        <f>IFERROR(VLOOKUP($J584,Players!$D:$E,2,FALSE),VLOOKUP($G584,Players!A:E,5,FALSE))</f>
        <v>RB</v>
      </c>
    </row>
    <row r="585" ht="15.75" customHeight="1">
      <c r="A585" s="1">
        <v>2018.0</v>
      </c>
      <c r="B585" s="1" t="s">
        <v>47</v>
      </c>
      <c r="C585" s="1" t="s">
        <v>22</v>
      </c>
      <c r="D585" s="8">
        <v>1.0</v>
      </c>
      <c r="E585" s="8">
        <v>14.0</v>
      </c>
      <c r="F585" s="8">
        <v>159.0</v>
      </c>
      <c r="G585" s="1" t="s">
        <v>150</v>
      </c>
      <c r="H585" s="1" t="str">
        <f t="shared" si="1"/>
        <v>Michael</v>
      </c>
      <c r="I585" s="1" t="str">
        <f t="shared" si="2"/>
        <v>Gallup</v>
      </c>
      <c r="J585" s="1" t="str">
        <f t="shared" si="3"/>
        <v>#N/A</v>
      </c>
      <c r="K585" s="1" t="str">
        <f>IFERROR(VLOOKUP($J585,Players!$D:$E,2,FALSE),VLOOKUP($G585,Players!A:E,5,FALSE))</f>
        <v>WR</v>
      </c>
    </row>
    <row r="586" ht="15.75" customHeight="1">
      <c r="A586" s="1">
        <v>2018.0</v>
      </c>
      <c r="B586" s="1" t="s">
        <v>47</v>
      </c>
      <c r="C586" s="1" t="s">
        <v>22</v>
      </c>
      <c r="D586" s="8">
        <v>1.0</v>
      </c>
      <c r="E586" s="8">
        <v>15.0</v>
      </c>
      <c r="F586" s="8">
        <v>178.0</v>
      </c>
      <c r="G586" s="1" t="s">
        <v>1261</v>
      </c>
      <c r="H586" s="1" t="str">
        <f t="shared" si="1"/>
        <v>Josh</v>
      </c>
      <c r="I586" s="1" t="str">
        <f t="shared" si="2"/>
        <v>Lambo</v>
      </c>
      <c r="J586" s="1" t="str">
        <f t="shared" si="3"/>
        <v>#N/A</v>
      </c>
      <c r="K586" s="1" t="str">
        <f>IFERROR(VLOOKUP($J586,Players!$D:$E,2,FALSE),VLOOKUP($G586,Players!A:E,5,FALSE))</f>
        <v>K</v>
      </c>
    </row>
    <row r="587" ht="15.75" customHeight="1">
      <c r="A587" s="1">
        <v>2018.0</v>
      </c>
      <c r="B587" s="1" t="s">
        <v>48</v>
      </c>
      <c r="C587" s="1" t="s">
        <v>19</v>
      </c>
      <c r="D587" s="8">
        <v>9.0</v>
      </c>
      <c r="E587" s="8">
        <v>1.0</v>
      </c>
      <c r="F587" s="8">
        <v>5.0</v>
      </c>
      <c r="G587" s="1" t="s">
        <v>133</v>
      </c>
      <c r="H587" s="1" t="str">
        <f t="shared" si="1"/>
        <v>David</v>
      </c>
      <c r="I587" s="1" t="str">
        <f t="shared" si="2"/>
        <v>Johnson</v>
      </c>
      <c r="J587" s="1" t="str">
        <f t="shared" si="3"/>
        <v>#N/A</v>
      </c>
      <c r="K587" s="1" t="str">
        <f>IFERROR(VLOOKUP($J587,Players!$D:$E,2,FALSE),VLOOKUP($G587,Players!A:E,5,FALSE))</f>
        <v>RB</v>
      </c>
    </row>
    <row r="588" ht="15.75" customHeight="1">
      <c r="A588" s="1">
        <v>2018.0</v>
      </c>
      <c r="B588" s="1" t="s">
        <v>48</v>
      </c>
      <c r="C588" s="1" t="s">
        <v>19</v>
      </c>
      <c r="D588" s="8">
        <v>9.0</v>
      </c>
      <c r="E588" s="8">
        <v>2.0</v>
      </c>
      <c r="F588" s="8">
        <v>20.0</v>
      </c>
      <c r="G588" s="1" t="s">
        <v>841</v>
      </c>
      <c r="H588" s="1" t="str">
        <f t="shared" si="1"/>
        <v>Devonta</v>
      </c>
      <c r="I588" s="1" t="str">
        <f t="shared" si="2"/>
        <v>Freeman</v>
      </c>
      <c r="J588" s="1" t="str">
        <f t="shared" si="3"/>
        <v>#N/A</v>
      </c>
      <c r="K588" s="1" t="str">
        <f>IFERROR(VLOOKUP($J588,Players!$D:$E,2,FALSE),VLOOKUP($G588,Players!A:E,5,FALSE))</f>
        <v>RB</v>
      </c>
    </row>
    <row r="589" ht="15.75" customHeight="1">
      <c r="A589" s="1">
        <v>2018.0</v>
      </c>
      <c r="B589" s="1" t="s">
        <v>48</v>
      </c>
      <c r="C589" s="1" t="s">
        <v>19</v>
      </c>
      <c r="D589" s="8">
        <v>9.0</v>
      </c>
      <c r="E589" s="8">
        <v>3.0</v>
      </c>
      <c r="F589" s="8">
        <v>29.0</v>
      </c>
      <c r="G589" s="1" t="s">
        <v>775</v>
      </c>
      <c r="H589" s="1" t="str">
        <f t="shared" si="1"/>
        <v>Larry</v>
      </c>
      <c r="I589" s="1" t="str">
        <f t="shared" si="2"/>
        <v>Fitzgerald</v>
      </c>
      <c r="J589" s="1" t="str">
        <f t="shared" si="3"/>
        <v>#N/A</v>
      </c>
      <c r="K589" s="1" t="str">
        <f>IFERROR(VLOOKUP($J589,Players!$D:$E,2,FALSE),VLOOKUP($G589,Players!A:E,5,FALSE))</f>
        <v>WR</v>
      </c>
    </row>
    <row r="590" ht="15.75" customHeight="1">
      <c r="A590" s="1">
        <v>2018.0</v>
      </c>
      <c r="B590" s="1" t="s">
        <v>48</v>
      </c>
      <c r="C590" s="1" t="s">
        <v>19</v>
      </c>
      <c r="D590" s="8">
        <v>9.0</v>
      </c>
      <c r="E590" s="8">
        <v>4.0</v>
      </c>
      <c r="F590" s="8">
        <v>44.0</v>
      </c>
      <c r="G590" s="1" t="s">
        <v>1135</v>
      </c>
      <c r="H590" s="1" t="str">
        <f t="shared" si="1"/>
        <v>Dion</v>
      </c>
      <c r="I590" s="1" t="str">
        <f t="shared" si="2"/>
        <v>Lewis</v>
      </c>
      <c r="J590" s="1" t="str">
        <f t="shared" si="3"/>
        <v>#N/A</v>
      </c>
      <c r="K590" s="1" t="str">
        <f>IFERROR(VLOOKUP($J590,Players!$D:$E,2,FALSE),VLOOKUP($G590,Players!A:E,5,FALSE))</f>
        <v>RB</v>
      </c>
    </row>
    <row r="591" ht="15.75" customHeight="1">
      <c r="A591" s="1">
        <v>2018.0</v>
      </c>
      <c r="B591" s="1" t="s">
        <v>48</v>
      </c>
      <c r="C591" s="1" t="s">
        <v>19</v>
      </c>
      <c r="D591" s="8">
        <v>9.0</v>
      </c>
      <c r="E591" s="8">
        <v>5.0</v>
      </c>
      <c r="F591" s="8">
        <v>53.0</v>
      </c>
      <c r="G591" s="1" t="s">
        <v>243</v>
      </c>
      <c r="H591" s="1" t="str">
        <f t="shared" si="1"/>
        <v>Marvin</v>
      </c>
      <c r="I591" s="1" t="str">
        <f t="shared" si="2"/>
        <v>Jones Jr</v>
      </c>
      <c r="J591" s="1" t="str">
        <f t="shared" si="3"/>
        <v>#N/A</v>
      </c>
      <c r="K591" s="1" t="str">
        <f>IFERROR(VLOOKUP($J591,Players!$D:$E,2,FALSE),VLOOKUP($G591,Players!A:E,5,FALSE))</f>
        <v>#N/A</v>
      </c>
    </row>
    <row r="592" ht="15.75" customHeight="1">
      <c r="A592" s="1">
        <v>2018.0</v>
      </c>
      <c r="B592" s="1" t="s">
        <v>48</v>
      </c>
      <c r="C592" s="1" t="s">
        <v>19</v>
      </c>
      <c r="D592" s="8">
        <v>9.0</v>
      </c>
      <c r="E592" s="8">
        <v>6.0</v>
      </c>
      <c r="F592" s="8">
        <v>68.0</v>
      </c>
      <c r="G592" s="1" t="s">
        <v>1276</v>
      </c>
      <c r="H592" s="1" t="str">
        <f t="shared" si="1"/>
        <v>Rex</v>
      </c>
      <c r="I592" s="1" t="str">
        <f t="shared" si="2"/>
        <v>Burkhead</v>
      </c>
      <c r="J592" s="1" t="str">
        <f t="shared" si="3"/>
        <v>#N/A</v>
      </c>
      <c r="K592" s="1" t="str">
        <f>IFERROR(VLOOKUP($J592,Players!$D:$E,2,FALSE),VLOOKUP($G592,Players!A:E,5,FALSE))</f>
        <v>RB</v>
      </c>
    </row>
    <row r="593" ht="15.75" customHeight="1">
      <c r="A593" s="1">
        <v>2018.0</v>
      </c>
      <c r="B593" s="1" t="s">
        <v>48</v>
      </c>
      <c r="C593" s="1" t="s">
        <v>19</v>
      </c>
      <c r="D593" s="8">
        <v>9.0</v>
      </c>
      <c r="E593" s="8">
        <v>7.0</v>
      </c>
      <c r="F593" s="8">
        <v>77.0</v>
      </c>
      <c r="G593" s="1" t="s">
        <v>1279</v>
      </c>
      <c r="H593" s="1" t="str">
        <f t="shared" si="1"/>
        <v>Marquise</v>
      </c>
      <c r="I593" s="1" t="str">
        <f t="shared" si="2"/>
        <v>Goodwin</v>
      </c>
      <c r="J593" s="1" t="str">
        <f t="shared" si="3"/>
        <v>#N/A</v>
      </c>
      <c r="K593" s="1" t="str">
        <f>IFERROR(VLOOKUP($J593,Players!$D:$E,2,FALSE),VLOOKUP($G593,Players!A:E,5,FALSE))</f>
        <v>WR</v>
      </c>
    </row>
    <row r="594" ht="15.75" customHeight="1">
      <c r="A594" s="1">
        <v>2018.0</v>
      </c>
      <c r="B594" s="1" t="s">
        <v>48</v>
      </c>
      <c r="C594" s="1" t="s">
        <v>19</v>
      </c>
      <c r="D594" s="8">
        <v>9.0</v>
      </c>
      <c r="E594" s="8">
        <v>8.0</v>
      </c>
      <c r="F594" s="8">
        <v>92.0</v>
      </c>
      <c r="G594" s="1" t="s">
        <v>389</v>
      </c>
      <c r="H594" s="1" t="str">
        <f t="shared" si="1"/>
        <v>Robert</v>
      </c>
      <c r="I594" s="1" t="str">
        <f t="shared" si="2"/>
        <v>Woods</v>
      </c>
      <c r="J594" s="1" t="str">
        <f t="shared" si="3"/>
        <v>#N/A</v>
      </c>
      <c r="K594" s="1" t="str">
        <f>IFERROR(VLOOKUP($J594,Players!$D:$E,2,FALSE),VLOOKUP($G594,Players!A:E,5,FALSE))</f>
        <v>WR</v>
      </c>
    </row>
    <row r="595" ht="15.75" customHeight="1">
      <c r="A595" s="1">
        <v>2018.0</v>
      </c>
      <c r="B595" s="1" t="s">
        <v>48</v>
      </c>
      <c r="C595" s="1" t="s">
        <v>19</v>
      </c>
      <c r="D595" s="8">
        <v>9.0</v>
      </c>
      <c r="E595" s="8">
        <v>9.0</v>
      </c>
      <c r="F595" s="8">
        <v>101.0</v>
      </c>
      <c r="G595" s="1" t="s">
        <v>491</v>
      </c>
      <c r="H595" s="1" t="str">
        <f t="shared" si="1"/>
        <v>Kerryon</v>
      </c>
      <c r="I595" s="1" t="str">
        <f t="shared" si="2"/>
        <v>Johnson</v>
      </c>
      <c r="J595" s="1" t="str">
        <f t="shared" si="3"/>
        <v>#N/A</v>
      </c>
      <c r="K595" s="1" t="str">
        <f>IFERROR(VLOOKUP($J595,Players!$D:$E,2,FALSE),VLOOKUP($G595,Players!A:E,5,FALSE))</f>
        <v>RB</v>
      </c>
    </row>
    <row r="596" ht="15.75" customHeight="1">
      <c r="A596" s="1">
        <v>2018.0</v>
      </c>
      <c r="B596" s="1" t="s">
        <v>48</v>
      </c>
      <c r="C596" s="1" t="s">
        <v>19</v>
      </c>
      <c r="D596" s="8">
        <v>9.0</v>
      </c>
      <c r="E596" s="8">
        <v>10.0</v>
      </c>
      <c r="F596" s="8">
        <v>116.0</v>
      </c>
      <c r="G596" s="1" t="s">
        <v>1287</v>
      </c>
      <c r="H596" s="1" t="str">
        <f t="shared" si="1"/>
        <v>Keelan</v>
      </c>
      <c r="I596" s="1" t="str">
        <f t="shared" si="2"/>
        <v>Cole Sr</v>
      </c>
      <c r="J596" s="1" t="str">
        <f t="shared" si="3"/>
        <v>#N/A</v>
      </c>
      <c r="K596" s="1" t="str">
        <f>IFERROR(VLOOKUP($J596,Players!$D:$E,2,FALSE),VLOOKUP($G596,Players!A:E,5,FALSE))</f>
        <v>#N/A</v>
      </c>
    </row>
    <row r="597" ht="15.75" customHeight="1">
      <c r="A597" s="1">
        <v>2018.0</v>
      </c>
      <c r="B597" s="1" t="s">
        <v>48</v>
      </c>
      <c r="C597" s="1" t="s">
        <v>19</v>
      </c>
      <c r="D597" s="8">
        <v>9.0</v>
      </c>
      <c r="E597" s="8">
        <v>11.0</v>
      </c>
      <c r="F597" s="8">
        <v>125.0</v>
      </c>
      <c r="G597" s="1" t="s">
        <v>375</v>
      </c>
      <c r="H597" s="1" t="str">
        <f t="shared" si="1"/>
        <v>Rashaad</v>
      </c>
      <c r="I597" s="1" t="str">
        <f t="shared" si="2"/>
        <v>Penny</v>
      </c>
      <c r="J597" s="1" t="str">
        <f t="shared" si="3"/>
        <v>#N/A</v>
      </c>
      <c r="K597" s="1" t="str">
        <f>IFERROR(VLOOKUP($J597,Players!$D:$E,2,FALSE),VLOOKUP($G597,Players!A:E,5,FALSE))</f>
        <v>RB</v>
      </c>
    </row>
    <row r="598" ht="15.75" customHeight="1">
      <c r="A598" s="1">
        <v>2018.0</v>
      </c>
      <c r="B598" s="1" t="s">
        <v>48</v>
      </c>
      <c r="C598" s="1" t="s">
        <v>19</v>
      </c>
      <c r="D598" s="8">
        <v>9.0</v>
      </c>
      <c r="E598" s="8">
        <v>12.0</v>
      </c>
      <c r="F598" s="8">
        <v>140.0</v>
      </c>
      <c r="G598" s="1" t="s">
        <v>412</v>
      </c>
      <c r="H598" s="1" t="str">
        <f t="shared" si="1"/>
        <v>Kirk</v>
      </c>
      <c r="I598" s="1" t="str">
        <f t="shared" si="2"/>
        <v>Cousins</v>
      </c>
      <c r="J598" s="1" t="str">
        <f t="shared" si="3"/>
        <v>#N/A</v>
      </c>
      <c r="K598" s="1" t="str">
        <f>IFERROR(VLOOKUP($J598,Players!$D:$E,2,FALSE),VLOOKUP($G598,Players!A:E,5,FALSE))</f>
        <v>QB</v>
      </c>
    </row>
    <row r="599" ht="15.75" customHeight="1">
      <c r="A599" s="1">
        <v>2018.0</v>
      </c>
      <c r="B599" s="1" t="s">
        <v>48</v>
      </c>
      <c r="C599" s="1" t="s">
        <v>19</v>
      </c>
      <c r="D599" s="8">
        <v>9.0</v>
      </c>
      <c r="E599" s="8">
        <v>13.0</v>
      </c>
      <c r="F599" s="8">
        <v>149.0</v>
      </c>
      <c r="G599" s="1" t="s">
        <v>346</v>
      </c>
      <c r="H599" s="1" t="str">
        <f t="shared" si="1"/>
        <v>Antonio</v>
      </c>
      <c r="I599" s="1" t="str">
        <f t="shared" si="2"/>
        <v>Gates</v>
      </c>
      <c r="J599" s="1" t="str">
        <f t="shared" si="3"/>
        <v>#N/A</v>
      </c>
      <c r="K599" s="1" t="str">
        <f>IFERROR(VLOOKUP($J599,Players!$D:$E,2,FALSE),VLOOKUP($G599,Players!A:E,5,FALSE))</f>
        <v>TE</v>
      </c>
    </row>
    <row r="600" ht="15.75" customHeight="1">
      <c r="A600" s="1">
        <v>2018.0</v>
      </c>
      <c r="B600" s="1" t="s">
        <v>48</v>
      </c>
      <c r="C600" s="1" t="s">
        <v>19</v>
      </c>
      <c r="D600" s="8">
        <v>9.0</v>
      </c>
      <c r="E600" s="8">
        <v>14.0</v>
      </c>
      <c r="F600" s="8">
        <v>164.0</v>
      </c>
      <c r="G600" s="1" t="s">
        <v>369</v>
      </c>
      <c r="H600" s="1" t="str">
        <f t="shared" si="1"/>
        <v>New</v>
      </c>
      <c r="I600" s="1" t="str">
        <f t="shared" si="2"/>
        <v>England</v>
      </c>
      <c r="J600" s="1" t="str">
        <f t="shared" si="3"/>
        <v>#N/A</v>
      </c>
      <c r="K600" s="1" t="str">
        <f>IFERROR(VLOOKUP($J600,Players!$D:$E,2,FALSE),VLOOKUP($G600,Players!A:E,5,FALSE))</f>
        <v>DEF</v>
      </c>
    </row>
    <row r="601" ht="15.75" customHeight="1">
      <c r="A601" s="1">
        <v>2018.0</v>
      </c>
      <c r="B601" s="1" t="s">
        <v>48</v>
      </c>
      <c r="C601" s="1" t="s">
        <v>19</v>
      </c>
      <c r="D601" s="8">
        <v>9.0</v>
      </c>
      <c r="E601" s="8">
        <v>15.0</v>
      </c>
      <c r="F601" s="8">
        <v>173.0</v>
      </c>
      <c r="G601" s="1" t="s">
        <v>137</v>
      </c>
      <c r="H601" s="1" t="str">
        <f t="shared" si="1"/>
        <v>Robbie</v>
      </c>
      <c r="I601" s="1" t="str">
        <f t="shared" si="2"/>
        <v>Gould</v>
      </c>
      <c r="J601" s="1" t="str">
        <f t="shared" si="3"/>
        <v>#N/A</v>
      </c>
      <c r="K601" s="1" t="str">
        <f>IFERROR(VLOOKUP($J601,Players!$D:$E,2,FALSE),VLOOKUP($G601,Players!A:E,5,FALSE))</f>
        <v>K</v>
      </c>
    </row>
    <row r="602" ht="15.75" customHeight="1">
      <c r="A602" s="1">
        <v>2018.0</v>
      </c>
      <c r="B602" s="1" t="s">
        <v>30</v>
      </c>
      <c r="C602" s="1" t="s">
        <v>31</v>
      </c>
      <c r="D602" s="8">
        <v>8.0</v>
      </c>
      <c r="E602" s="8">
        <v>1.0</v>
      </c>
      <c r="F602" s="8">
        <v>11.0</v>
      </c>
      <c r="G602" s="1" t="s">
        <v>78</v>
      </c>
      <c r="H602" s="1" t="str">
        <f t="shared" si="1"/>
        <v>Christian</v>
      </c>
      <c r="I602" s="1" t="str">
        <f t="shared" si="2"/>
        <v>McCaffrey</v>
      </c>
      <c r="J602" s="1" t="str">
        <f t="shared" si="3"/>
        <v>#N/A</v>
      </c>
      <c r="K602" s="1" t="str">
        <f>IFERROR(VLOOKUP($J602,Players!$D:$E,2,FALSE),VLOOKUP($G602,Players!A:E,5,FALSE))</f>
        <v>RB</v>
      </c>
    </row>
    <row r="603" ht="15.75" customHeight="1">
      <c r="A603" s="1">
        <v>2018.0</v>
      </c>
      <c r="B603" s="1" t="s">
        <v>30</v>
      </c>
      <c r="C603" s="1" t="s">
        <v>31</v>
      </c>
      <c r="D603" s="8">
        <v>8.0</v>
      </c>
      <c r="E603" s="8">
        <v>2.0</v>
      </c>
      <c r="F603" s="8">
        <v>14.0</v>
      </c>
      <c r="G603" s="1" t="s">
        <v>402</v>
      </c>
      <c r="H603" s="1" t="str">
        <f t="shared" si="1"/>
        <v>Leonard</v>
      </c>
      <c r="I603" s="1" t="str">
        <f t="shared" si="2"/>
        <v>Fournette</v>
      </c>
      <c r="J603" s="1" t="str">
        <f t="shared" si="3"/>
        <v>#N/A</v>
      </c>
      <c r="K603" s="1" t="str">
        <f>IFERROR(VLOOKUP($J603,Players!$D:$E,2,FALSE),VLOOKUP($G603,Players!A:E,5,FALSE))</f>
        <v>RB</v>
      </c>
    </row>
    <row r="604" ht="15.75" customHeight="1">
      <c r="A604" s="1">
        <v>2018.0</v>
      </c>
      <c r="B604" s="1" t="s">
        <v>30</v>
      </c>
      <c r="C604" s="1" t="s">
        <v>31</v>
      </c>
      <c r="D604" s="8">
        <v>8.0</v>
      </c>
      <c r="E604" s="8">
        <v>3.0</v>
      </c>
      <c r="F604" s="8">
        <v>35.0</v>
      </c>
      <c r="G604" s="1" t="s">
        <v>112</v>
      </c>
      <c r="H604" s="1" t="str">
        <f t="shared" si="1"/>
        <v>Adam</v>
      </c>
      <c r="I604" s="1" t="str">
        <f t="shared" si="2"/>
        <v>Thielen</v>
      </c>
      <c r="J604" s="1" t="str">
        <f t="shared" si="3"/>
        <v>#N/A</v>
      </c>
      <c r="K604" s="1" t="str">
        <f>IFERROR(VLOOKUP($J604,Players!$D:$E,2,FALSE),VLOOKUP($G604,Players!A:E,5,FALSE))</f>
        <v>WR</v>
      </c>
    </row>
    <row r="605" ht="15.75" customHeight="1">
      <c r="A605" s="1">
        <v>2018.0</v>
      </c>
      <c r="B605" s="1" t="s">
        <v>30</v>
      </c>
      <c r="C605" s="1" t="s">
        <v>31</v>
      </c>
      <c r="D605" s="8">
        <v>8.0</v>
      </c>
      <c r="E605" s="8">
        <v>5.0</v>
      </c>
      <c r="F605" s="8">
        <v>59.0</v>
      </c>
      <c r="G605" s="1" t="s">
        <v>724</v>
      </c>
      <c r="H605" s="1" t="str">
        <f t="shared" si="1"/>
        <v>Mark</v>
      </c>
      <c r="I605" s="1" t="str">
        <f t="shared" si="2"/>
        <v>Ingram II</v>
      </c>
      <c r="J605" s="1" t="str">
        <f t="shared" si="3"/>
        <v>#N/A</v>
      </c>
      <c r="K605" s="1" t="str">
        <f>IFERROR(VLOOKUP($J605,Players!$D:$E,2,FALSE),VLOOKUP($G605,Players!A:E,5,FALSE))</f>
        <v>#N/A</v>
      </c>
    </row>
    <row r="606" ht="15.75" customHeight="1">
      <c r="A606" s="1">
        <v>2018.0</v>
      </c>
      <c r="B606" s="1" t="s">
        <v>30</v>
      </c>
      <c r="C606" s="1" t="s">
        <v>31</v>
      </c>
      <c r="D606" s="8">
        <v>8.0</v>
      </c>
      <c r="E606" s="8">
        <v>6.0</v>
      </c>
      <c r="F606" s="8">
        <v>62.0</v>
      </c>
      <c r="G606" s="1" t="s">
        <v>741</v>
      </c>
      <c r="H606" s="1" t="str">
        <f t="shared" si="1"/>
        <v>Emmanuel</v>
      </c>
      <c r="I606" s="1" t="str">
        <f t="shared" si="2"/>
        <v>Sanders</v>
      </c>
      <c r="J606" s="1" t="str">
        <f t="shared" si="3"/>
        <v>#N/A</v>
      </c>
      <c r="K606" s="1" t="str">
        <f>IFERROR(VLOOKUP($J606,Players!$D:$E,2,FALSE),VLOOKUP($G606,Players!A:E,5,FALSE))</f>
        <v>WR</v>
      </c>
    </row>
    <row r="607" ht="15.75" customHeight="1">
      <c r="A607" s="1">
        <v>2018.0</v>
      </c>
      <c r="B607" s="1" t="s">
        <v>30</v>
      </c>
      <c r="C607" s="1" t="s">
        <v>31</v>
      </c>
      <c r="D607" s="8">
        <v>8.0</v>
      </c>
      <c r="E607" s="8">
        <v>7.0</v>
      </c>
      <c r="F607" s="8">
        <v>83.0</v>
      </c>
      <c r="G607" s="1" t="s">
        <v>835</v>
      </c>
      <c r="H607" s="1" t="str">
        <f t="shared" si="1"/>
        <v>Sammy</v>
      </c>
      <c r="I607" s="1" t="str">
        <f t="shared" si="2"/>
        <v>Watkins</v>
      </c>
      <c r="J607" s="1" t="str">
        <f t="shared" si="3"/>
        <v>#N/A</v>
      </c>
      <c r="K607" s="1" t="str">
        <f>IFERROR(VLOOKUP($J607,Players!$D:$E,2,FALSE),VLOOKUP($G607,Players!A:E,5,FALSE))</f>
        <v>WR</v>
      </c>
    </row>
    <row r="608" ht="15.75" customHeight="1">
      <c r="A608" s="1">
        <v>2018.0</v>
      </c>
      <c r="B608" s="1" t="s">
        <v>30</v>
      </c>
      <c r="C608" s="1" t="s">
        <v>31</v>
      </c>
      <c r="D608" s="8">
        <v>8.0</v>
      </c>
      <c r="E608" s="8">
        <v>8.0</v>
      </c>
      <c r="F608" s="8">
        <v>86.0</v>
      </c>
      <c r="G608" s="1" t="s">
        <v>1308</v>
      </c>
      <c r="H608" s="1" t="str">
        <f t="shared" si="1"/>
        <v>Kyle</v>
      </c>
      <c r="I608" s="1" t="str">
        <f t="shared" si="2"/>
        <v>Rudolph</v>
      </c>
      <c r="J608" s="1" t="str">
        <f t="shared" si="3"/>
        <v>#N/A</v>
      </c>
      <c r="K608" s="1" t="str">
        <f>IFERROR(VLOOKUP($J608,Players!$D:$E,2,FALSE),VLOOKUP($G608,Players!A:E,5,FALSE))</f>
        <v>TE</v>
      </c>
    </row>
    <row r="609" ht="15.75" customHeight="1">
      <c r="A609" s="1">
        <v>2018.0</v>
      </c>
      <c r="B609" s="1" t="s">
        <v>30</v>
      </c>
      <c r="C609" s="1" t="s">
        <v>31</v>
      </c>
      <c r="D609" s="8">
        <v>8.0</v>
      </c>
      <c r="E609" s="8">
        <v>9.0</v>
      </c>
      <c r="F609" s="8">
        <v>107.0</v>
      </c>
      <c r="G609" s="1" t="s">
        <v>457</v>
      </c>
      <c r="H609" s="1" t="str">
        <f t="shared" si="1"/>
        <v>Ben</v>
      </c>
      <c r="I609" s="1" t="str">
        <f t="shared" si="2"/>
        <v>Roethlisberger</v>
      </c>
      <c r="J609" s="1" t="str">
        <f t="shared" si="3"/>
        <v>#N/A</v>
      </c>
      <c r="K609" s="1" t="str">
        <f>IFERROR(VLOOKUP($J609,Players!$D:$E,2,FALSE),VLOOKUP($G609,Players!A:E,5,FALSE))</f>
        <v>QB</v>
      </c>
    </row>
    <row r="610" ht="15.75" customHeight="1">
      <c r="A610" s="1">
        <v>2018.0</v>
      </c>
      <c r="B610" s="1" t="s">
        <v>30</v>
      </c>
      <c r="C610" s="1" t="s">
        <v>31</v>
      </c>
      <c r="D610" s="8">
        <v>8.0</v>
      </c>
      <c r="E610" s="8">
        <v>10.0</v>
      </c>
      <c r="F610" s="8">
        <v>110.0</v>
      </c>
      <c r="G610" s="1" t="s">
        <v>1312</v>
      </c>
      <c r="H610" s="1" t="str">
        <f t="shared" si="1"/>
        <v>Pierre</v>
      </c>
      <c r="I610" s="1" t="str">
        <f t="shared" si="2"/>
        <v>Garcon</v>
      </c>
      <c r="J610" s="1" t="str">
        <f t="shared" si="3"/>
        <v>#N/A</v>
      </c>
      <c r="K610" s="1" t="str">
        <f>IFERROR(VLOOKUP($J610,Players!$D:$E,2,FALSE),VLOOKUP($G610,Players!A:E,5,FALSE))</f>
        <v>WR</v>
      </c>
    </row>
    <row r="611" ht="15.75" customHeight="1">
      <c r="A611" s="1">
        <v>2018.0</v>
      </c>
      <c r="B611" s="1" t="s">
        <v>30</v>
      </c>
      <c r="C611" s="1" t="s">
        <v>31</v>
      </c>
      <c r="D611" s="8">
        <v>8.0</v>
      </c>
      <c r="E611" s="8">
        <v>11.0</v>
      </c>
      <c r="F611" s="8">
        <v>131.0</v>
      </c>
      <c r="G611" s="1" t="s">
        <v>1315</v>
      </c>
      <c r="H611" s="1" t="str">
        <f t="shared" si="1"/>
        <v>Kelvin</v>
      </c>
      <c r="I611" s="1" t="str">
        <f t="shared" si="2"/>
        <v>Benjamin</v>
      </c>
      <c r="J611" s="1" t="str">
        <f t="shared" si="3"/>
        <v>#N/A</v>
      </c>
      <c r="K611" s="1" t="str">
        <f>IFERROR(VLOOKUP($J611,Players!$D:$E,2,FALSE),VLOOKUP($G611,Players!A:E,5,FALSE))</f>
        <v>WR</v>
      </c>
    </row>
    <row r="612" ht="15.75" customHeight="1">
      <c r="A612" s="1">
        <v>2018.0</v>
      </c>
      <c r="B612" s="1" t="s">
        <v>30</v>
      </c>
      <c r="C612" s="1" t="s">
        <v>31</v>
      </c>
      <c r="D612" s="8">
        <v>8.0</v>
      </c>
      <c r="E612" s="8">
        <v>12.0</v>
      </c>
      <c r="F612" s="8">
        <v>134.0</v>
      </c>
      <c r="G612" s="1" t="s">
        <v>694</v>
      </c>
      <c r="H612" s="1" t="str">
        <f t="shared" si="1"/>
        <v>Jared</v>
      </c>
      <c r="I612" s="1" t="str">
        <f t="shared" si="2"/>
        <v>Cook</v>
      </c>
      <c r="J612" s="1" t="str">
        <f t="shared" si="3"/>
        <v>#N/A</v>
      </c>
      <c r="K612" s="1" t="str">
        <f>IFERROR(VLOOKUP($J612,Players!$D:$E,2,FALSE),VLOOKUP($G612,Players!A:E,5,FALSE))</f>
        <v>TE</v>
      </c>
    </row>
    <row r="613" ht="15.75" customHeight="1">
      <c r="A613" s="1">
        <v>2018.0</v>
      </c>
      <c r="B613" s="1" t="s">
        <v>30</v>
      </c>
      <c r="C613" s="1" t="s">
        <v>31</v>
      </c>
      <c r="D613" s="8">
        <v>8.0</v>
      </c>
      <c r="E613" s="8">
        <v>13.0</v>
      </c>
      <c r="F613" s="8">
        <v>155.0</v>
      </c>
      <c r="G613" s="1" t="s">
        <v>887</v>
      </c>
      <c r="H613" s="1" t="str">
        <f t="shared" si="1"/>
        <v>Corey</v>
      </c>
      <c r="I613" s="1" t="str">
        <f t="shared" si="2"/>
        <v>Clement</v>
      </c>
      <c r="J613" s="1" t="str">
        <f t="shared" si="3"/>
        <v>#N/A</v>
      </c>
      <c r="K613" s="1" t="str">
        <f>IFERROR(VLOOKUP($J613,Players!$D:$E,2,FALSE),VLOOKUP($G613,Players!A:E,5,FALSE))</f>
        <v>RB</v>
      </c>
    </row>
    <row r="614" ht="15.75" customHeight="1">
      <c r="A614" s="1">
        <v>2018.0</v>
      </c>
      <c r="B614" s="1" t="s">
        <v>30</v>
      </c>
      <c r="C614" s="1" t="s">
        <v>31</v>
      </c>
      <c r="D614" s="8">
        <v>8.0</v>
      </c>
      <c r="E614" s="8">
        <v>14.0</v>
      </c>
      <c r="F614" s="8">
        <v>158.0</v>
      </c>
      <c r="G614" s="1" t="s">
        <v>1323</v>
      </c>
      <c r="H614" s="1" t="str">
        <f t="shared" si="1"/>
        <v>Matt</v>
      </c>
      <c r="I614" s="1" t="str">
        <f t="shared" si="2"/>
        <v>Prater</v>
      </c>
      <c r="J614" s="1" t="str">
        <f t="shared" si="3"/>
        <v>#N/A</v>
      </c>
      <c r="K614" s="1" t="str">
        <f>IFERROR(VLOOKUP($J614,Players!$D:$E,2,FALSE),VLOOKUP($G614,Players!A:E,5,FALSE))</f>
        <v>K</v>
      </c>
    </row>
    <row r="615" ht="15.75" customHeight="1">
      <c r="A615" s="1">
        <v>2018.0</v>
      </c>
      <c r="B615" s="1" t="s">
        <v>30</v>
      </c>
      <c r="C615" s="1" t="s">
        <v>31</v>
      </c>
      <c r="D615" s="8">
        <v>8.0</v>
      </c>
      <c r="E615" s="8">
        <v>15.0</v>
      </c>
      <c r="F615" s="8">
        <v>179.0</v>
      </c>
      <c r="G615" s="1" t="s">
        <v>1326</v>
      </c>
      <c r="H615" s="1" t="str">
        <f t="shared" si="1"/>
        <v>Pittsburgh</v>
      </c>
      <c r="I615" s="1" t="str">
        <f t="shared" si="2"/>
        <v/>
      </c>
      <c r="J615" s="1" t="str">
        <f t="shared" si="3"/>
        <v>#N/A</v>
      </c>
      <c r="K615" s="1" t="str">
        <f>IFERROR(VLOOKUP($J615,Players!$D:$E,2,FALSE),VLOOKUP($G615,Players!A:E,5,FALSE))</f>
        <v>DEF</v>
      </c>
    </row>
    <row r="616" ht="15.75" customHeight="1">
      <c r="A616" s="1">
        <v>2018.0</v>
      </c>
      <c r="B616" s="1" t="s">
        <v>46</v>
      </c>
      <c r="C616" s="1" t="s">
        <v>13</v>
      </c>
      <c r="D616" s="8">
        <v>3.0</v>
      </c>
      <c r="E616" s="8">
        <v>1.0</v>
      </c>
      <c r="F616" s="8">
        <v>4.0</v>
      </c>
      <c r="G616" s="1" t="s">
        <v>229</v>
      </c>
      <c r="H616" s="1" t="str">
        <f t="shared" si="1"/>
        <v>Antonio</v>
      </c>
      <c r="I616" s="1" t="str">
        <f t="shared" si="2"/>
        <v>Brown</v>
      </c>
      <c r="J616" s="1" t="str">
        <f t="shared" si="3"/>
        <v>#N/A</v>
      </c>
      <c r="K616" s="1" t="str">
        <f>IFERROR(VLOOKUP($J616,Players!$D:$E,2,FALSE),VLOOKUP($G616,Players!A:E,5,FALSE))</f>
        <v>WR</v>
      </c>
    </row>
    <row r="617" ht="15.75" customHeight="1">
      <c r="A617" s="1">
        <v>2018.0</v>
      </c>
      <c r="B617" s="1" t="s">
        <v>46</v>
      </c>
      <c r="C617" s="1" t="s">
        <v>13</v>
      </c>
      <c r="D617" s="8">
        <v>3.0</v>
      </c>
      <c r="E617" s="8">
        <v>2.0</v>
      </c>
      <c r="F617" s="8">
        <v>21.0</v>
      </c>
      <c r="G617" s="1" t="s">
        <v>699</v>
      </c>
      <c r="H617" s="1" t="str">
        <f t="shared" si="1"/>
        <v>Jordan</v>
      </c>
      <c r="I617" s="1" t="str">
        <f t="shared" si="2"/>
        <v>Howard</v>
      </c>
      <c r="J617" s="1" t="str">
        <f t="shared" si="3"/>
        <v>#N/A</v>
      </c>
      <c r="K617" s="1" t="str">
        <f>IFERROR(VLOOKUP($J617,Players!$D:$E,2,FALSE),VLOOKUP($G617,Players!A:E,5,FALSE))</f>
        <v>RB</v>
      </c>
    </row>
    <row r="618" ht="15.75" customHeight="1">
      <c r="A618" s="1">
        <v>2018.0</v>
      </c>
      <c r="B618" s="1" t="s">
        <v>46</v>
      </c>
      <c r="C618" s="1" t="s">
        <v>13</v>
      </c>
      <c r="D618" s="8">
        <v>3.0</v>
      </c>
      <c r="E618" s="8">
        <v>3.0</v>
      </c>
      <c r="F618" s="8">
        <v>28.0</v>
      </c>
      <c r="G618" s="1" t="s">
        <v>819</v>
      </c>
      <c r="H618" s="1" t="str">
        <f t="shared" si="1"/>
        <v>Zach</v>
      </c>
      <c r="I618" s="1" t="str">
        <f t="shared" si="2"/>
        <v>Ertz</v>
      </c>
      <c r="J618" s="1" t="str">
        <f t="shared" si="3"/>
        <v>#N/A</v>
      </c>
      <c r="K618" s="1" t="str">
        <f>IFERROR(VLOOKUP($J618,Players!$D:$E,2,FALSE),VLOOKUP($G618,Players!A:E,5,FALSE))</f>
        <v>TE</v>
      </c>
    </row>
    <row r="619" ht="15.75" customHeight="1">
      <c r="A619" s="1">
        <v>2018.0</v>
      </c>
      <c r="B619" s="1" t="s">
        <v>46</v>
      </c>
      <c r="C619" s="1" t="s">
        <v>13</v>
      </c>
      <c r="D619" s="8">
        <v>3.0</v>
      </c>
      <c r="E619" s="8">
        <v>4.0</v>
      </c>
      <c r="F619" s="8">
        <v>45.0</v>
      </c>
      <c r="G619" s="1" t="s">
        <v>117</v>
      </c>
      <c r="H619" s="1" t="str">
        <f t="shared" si="1"/>
        <v>Jarvis</v>
      </c>
      <c r="I619" s="1" t="str">
        <f t="shared" si="2"/>
        <v>Landry</v>
      </c>
      <c r="J619" s="1" t="str">
        <f t="shared" si="3"/>
        <v>#N/A</v>
      </c>
      <c r="K619" s="1" t="str">
        <f>IFERROR(VLOOKUP($J619,Players!$D:$E,2,FALSE),VLOOKUP($G619,Players!A:E,5,FALSE))</f>
        <v>WR</v>
      </c>
    </row>
    <row r="620" ht="15.75" customHeight="1">
      <c r="A620" s="1">
        <v>2018.0</v>
      </c>
      <c r="B620" s="1" t="s">
        <v>46</v>
      </c>
      <c r="C620" s="1" t="s">
        <v>13</v>
      </c>
      <c r="D620" s="8">
        <v>3.0</v>
      </c>
      <c r="E620" s="8">
        <v>5.0</v>
      </c>
      <c r="F620" s="8">
        <v>52.0</v>
      </c>
      <c r="G620" s="1" t="s">
        <v>147</v>
      </c>
      <c r="H620" s="1" t="str">
        <f t="shared" si="1"/>
        <v>Brandin</v>
      </c>
      <c r="I620" s="1" t="str">
        <f t="shared" si="2"/>
        <v>Cooks</v>
      </c>
      <c r="J620" s="1" t="str">
        <f t="shared" si="3"/>
        <v>#N/A</v>
      </c>
      <c r="K620" s="1" t="str">
        <f>IFERROR(VLOOKUP($J620,Players!$D:$E,2,FALSE),VLOOKUP($G620,Players!A:E,5,FALSE))</f>
        <v>WR</v>
      </c>
    </row>
    <row r="621" ht="15.75" customHeight="1">
      <c r="A621" s="1">
        <v>2018.0</v>
      </c>
      <c r="B621" s="1" t="s">
        <v>46</v>
      </c>
      <c r="C621" s="1" t="s">
        <v>13</v>
      </c>
      <c r="D621" s="8">
        <v>3.0</v>
      </c>
      <c r="E621" s="8">
        <v>6.0</v>
      </c>
      <c r="F621" s="8">
        <v>69.0</v>
      </c>
      <c r="G621" s="1" t="s">
        <v>1336</v>
      </c>
      <c r="H621" s="1" t="str">
        <f t="shared" si="1"/>
        <v>Marshawn</v>
      </c>
      <c r="I621" s="1" t="str">
        <f t="shared" si="2"/>
        <v>Lynch</v>
      </c>
      <c r="J621" s="1" t="str">
        <f t="shared" si="3"/>
        <v>#N/A</v>
      </c>
      <c r="K621" s="1" t="str">
        <f>IFERROR(VLOOKUP($J621,Players!$D:$E,2,FALSE),VLOOKUP($G621,Players!A:E,5,FALSE))</f>
        <v>RB</v>
      </c>
    </row>
    <row r="622" ht="15.75" customHeight="1">
      <c r="A622" s="1">
        <v>2018.0</v>
      </c>
      <c r="B622" s="1" t="s">
        <v>46</v>
      </c>
      <c r="C622" s="1" t="s">
        <v>13</v>
      </c>
      <c r="D622" s="8">
        <v>3.0</v>
      </c>
      <c r="E622" s="8">
        <v>7.0</v>
      </c>
      <c r="F622" s="8">
        <v>76.0</v>
      </c>
      <c r="G622" s="1" t="s">
        <v>366</v>
      </c>
      <c r="H622" s="1" t="str">
        <f t="shared" si="1"/>
        <v>Matthew</v>
      </c>
      <c r="I622" s="1" t="str">
        <f t="shared" si="2"/>
        <v>Stafford</v>
      </c>
      <c r="J622" s="1" t="str">
        <f t="shared" si="3"/>
        <v>#N/A</v>
      </c>
      <c r="K622" s="1" t="str">
        <f>IFERROR(VLOOKUP($J622,Players!$D:$E,2,FALSE),VLOOKUP($G622,Players!A:E,5,FALSE))</f>
        <v>QB</v>
      </c>
    </row>
    <row r="623" ht="15.75" customHeight="1">
      <c r="A623" s="1">
        <v>2018.0</v>
      </c>
      <c r="B623" s="1" t="s">
        <v>46</v>
      </c>
      <c r="C623" s="1" t="s">
        <v>13</v>
      </c>
      <c r="D623" s="8">
        <v>3.0</v>
      </c>
      <c r="E623" s="8">
        <v>8.0</v>
      </c>
      <c r="F623" s="8">
        <v>93.0</v>
      </c>
      <c r="G623" s="1" t="s">
        <v>425</v>
      </c>
      <c r="H623" s="1" t="str">
        <f t="shared" si="1"/>
        <v>Nick</v>
      </c>
      <c r="I623" s="1" t="str">
        <f t="shared" si="2"/>
        <v>Chubb</v>
      </c>
      <c r="J623" s="1" t="str">
        <f t="shared" si="3"/>
        <v>#N/A</v>
      </c>
      <c r="K623" s="1" t="str">
        <f>IFERROR(VLOOKUP($J623,Players!$D:$E,2,FALSE),VLOOKUP($G623,Players!A:E,5,FALSE))</f>
        <v>RB</v>
      </c>
    </row>
    <row r="624" ht="15.75" customHeight="1">
      <c r="A624" s="1">
        <v>2018.0</v>
      </c>
      <c r="B624" s="1" t="s">
        <v>46</v>
      </c>
      <c r="C624" s="1" t="s">
        <v>13</v>
      </c>
      <c r="D624" s="8">
        <v>3.0</v>
      </c>
      <c r="E624" s="8">
        <v>9.0</v>
      </c>
      <c r="F624" s="8">
        <v>100.0</v>
      </c>
      <c r="G624" s="1" t="s">
        <v>111</v>
      </c>
      <c r="H624" s="1" t="str">
        <f t="shared" si="1"/>
        <v>DJ</v>
      </c>
      <c r="I624" s="1" t="str">
        <f t="shared" si="2"/>
        <v>Moore</v>
      </c>
      <c r="J624" s="1" t="str">
        <f t="shared" si="3"/>
        <v>#N/A</v>
      </c>
      <c r="K624" s="1" t="str">
        <f>IFERROR(VLOOKUP($J624,Players!$D:$E,2,FALSE),VLOOKUP($G624,Players!A:E,5,FALSE))</f>
        <v>#N/A</v>
      </c>
    </row>
    <row r="625" ht="15.75" customHeight="1">
      <c r="A625" s="1">
        <v>2018.0</v>
      </c>
      <c r="B625" s="1" t="s">
        <v>46</v>
      </c>
      <c r="C625" s="1" t="s">
        <v>13</v>
      </c>
      <c r="D625" s="8">
        <v>3.0</v>
      </c>
      <c r="E625" s="8">
        <v>10.0</v>
      </c>
      <c r="F625" s="8">
        <v>117.0</v>
      </c>
      <c r="G625" s="1" t="s">
        <v>1342</v>
      </c>
      <c r="H625" s="1" t="str">
        <f t="shared" si="1"/>
        <v>Jack</v>
      </c>
      <c r="I625" s="1" t="str">
        <f t="shared" si="2"/>
        <v>Doyle</v>
      </c>
      <c r="J625" s="1" t="str">
        <f t="shared" si="3"/>
        <v>#N/A</v>
      </c>
      <c r="K625" s="1" t="str">
        <f>IFERROR(VLOOKUP($J625,Players!$D:$E,2,FALSE),VLOOKUP($G625,Players!A:E,5,FALSE))</f>
        <v>TE</v>
      </c>
    </row>
    <row r="626" ht="15.75" customHeight="1">
      <c r="A626" s="1">
        <v>2018.0</v>
      </c>
      <c r="B626" s="1" t="s">
        <v>46</v>
      </c>
      <c r="C626" s="1" t="s">
        <v>13</v>
      </c>
      <c r="D626" s="8">
        <v>3.0</v>
      </c>
      <c r="E626" s="8">
        <v>11.0</v>
      </c>
      <c r="F626" s="8">
        <v>124.0</v>
      </c>
      <c r="G626" s="1" t="s">
        <v>190</v>
      </c>
      <c r="H626" s="1" t="str">
        <f t="shared" si="1"/>
        <v>Justin</v>
      </c>
      <c r="I626" s="1" t="str">
        <f t="shared" si="2"/>
        <v>Tucker</v>
      </c>
      <c r="J626" s="1" t="str">
        <f t="shared" si="3"/>
        <v>#N/A</v>
      </c>
      <c r="K626" s="1" t="str">
        <f>IFERROR(VLOOKUP($J626,Players!$D:$E,2,FALSE),VLOOKUP($G626,Players!A:E,5,FALSE))</f>
        <v>K</v>
      </c>
    </row>
    <row r="627" ht="15.75" customHeight="1">
      <c r="A627" s="1">
        <v>2018.0</v>
      </c>
      <c r="B627" s="1" t="s">
        <v>46</v>
      </c>
      <c r="C627" s="1" t="s">
        <v>13</v>
      </c>
      <c r="D627" s="8">
        <v>3.0</v>
      </c>
      <c r="E627" s="8">
        <v>12.0</v>
      </c>
      <c r="F627" s="8">
        <v>141.0</v>
      </c>
      <c r="G627" s="1" t="s">
        <v>231</v>
      </c>
      <c r="H627" s="1" t="str">
        <f t="shared" si="1"/>
        <v>Los</v>
      </c>
      <c r="I627" s="1" t="str">
        <f t="shared" si="2"/>
        <v>Angeles</v>
      </c>
      <c r="J627" s="1" t="str">
        <f t="shared" si="3"/>
        <v>#N/A</v>
      </c>
      <c r="K627" s="1" t="str">
        <f>IFERROR(VLOOKUP($J627,Players!$D:$E,2,FALSE),VLOOKUP($G627,Players!A:E,5,FALSE))</f>
        <v>DEF</v>
      </c>
    </row>
    <row r="628" ht="15.75" customHeight="1">
      <c r="A628" s="1">
        <v>2018.0</v>
      </c>
      <c r="B628" s="1" t="s">
        <v>46</v>
      </c>
      <c r="C628" s="1" t="s">
        <v>13</v>
      </c>
      <c r="D628" s="8">
        <v>3.0</v>
      </c>
      <c r="E628" s="8">
        <v>13.0</v>
      </c>
      <c r="F628" s="8">
        <v>148.0</v>
      </c>
      <c r="G628" s="1" t="s">
        <v>984</v>
      </c>
      <c r="H628" s="1" t="str">
        <f t="shared" si="1"/>
        <v>Dante</v>
      </c>
      <c r="I628" s="1" t="str">
        <f t="shared" si="2"/>
        <v>Pettis</v>
      </c>
      <c r="J628" s="1" t="str">
        <f t="shared" si="3"/>
        <v>#N/A</v>
      </c>
      <c r="K628" s="1" t="str">
        <f>IFERROR(VLOOKUP($J628,Players!$D:$E,2,FALSE),VLOOKUP($G628,Players!A:E,5,FALSE))</f>
        <v>WR</v>
      </c>
    </row>
    <row r="629" ht="15.75" customHeight="1">
      <c r="A629" s="1">
        <v>2018.0</v>
      </c>
      <c r="B629" s="1" t="s">
        <v>46</v>
      </c>
      <c r="C629" s="1" t="s">
        <v>13</v>
      </c>
      <c r="D629" s="8">
        <v>3.0</v>
      </c>
      <c r="E629" s="8">
        <v>14.0</v>
      </c>
      <c r="F629" s="8">
        <v>165.0</v>
      </c>
      <c r="G629" s="1" t="s">
        <v>1351</v>
      </c>
      <c r="H629" s="1" t="str">
        <f t="shared" si="1"/>
        <v>LeGarrette</v>
      </c>
      <c r="I629" s="1" t="str">
        <f t="shared" si="2"/>
        <v>Blount</v>
      </c>
      <c r="J629" s="1" t="str">
        <f t="shared" si="3"/>
        <v>#N/A</v>
      </c>
      <c r="K629" s="1" t="str">
        <f>IFERROR(VLOOKUP($J629,Players!$D:$E,2,FALSE),VLOOKUP($G629,Players!A:E,5,FALSE))</f>
        <v>RB</v>
      </c>
    </row>
    <row r="630" ht="15.75" customHeight="1">
      <c r="A630" s="1">
        <v>2018.0</v>
      </c>
      <c r="B630" s="1" t="s">
        <v>46</v>
      </c>
      <c r="C630" s="1" t="s">
        <v>13</v>
      </c>
      <c r="D630" s="8">
        <v>3.0</v>
      </c>
      <c r="E630" s="8">
        <v>15.0</v>
      </c>
      <c r="F630" s="8">
        <v>172.0</v>
      </c>
      <c r="G630" s="1" t="s">
        <v>1354</v>
      </c>
      <c r="H630" s="1" t="str">
        <f t="shared" si="1"/>
        <v>Dallas</v>
      </c>
      <c r="I630" s="1" t="str">
        <f t="shared" si="2"/>
        <v>Goedert</v>
      </c>
      <c r="J630" s="1" t="str">
        <f t="shared" si="3"/>
        <v>#N/A</v>
      </c>
      <c r="K630" s="1" t="str">
        <f>IFERROR(VLOOKUP($J630,Players!$D:$E,2,FALSE),VLOOKUP($G630,Players!A:E,5,FALSE))</f>
        <v>#N/A</v>
      </c>
    </row>
    <row r="631" ht="15.75" customHeight="1">
      <c r="A631" s="1">
        <v>2018.0</v>
      </c>
      <c r="B631" s="1" t="s">
        <v>44</v>
      </c>
      <c r="C631" s="1" t="s">
        <v>23</v>
      </c>
      <c r="D631" s="8">
        <v>7.0</v>
      </c>
      <c r="E631" s="8">
        <v>1.0</v>
      </c>
      <c r="F631" s="8">
        <v>3.0</v>
      </c>
      <c r="G631" s="1" t="s">
        <v>123</v>
      </c>
      <c r="H631" s="1" t="str">
        <f t="shared" si="1"/>
        <v>Ezekiel</v>
      </c>
      <c r="I631" s="1" t="str">
        <f t="shared" si="2"/>
        <v>Elliott</v>
      </c>
      <c r="J631" s="1" t="str">
        <f t="shared" si="3"/>
        <v>#N/A</v>
      </c>
      <c r="K631" s="1" t="str">
        <f>IFERROR(VLOOKUP($J631,Players!$D:$E,2,FALSE),VLOOKUP($G631,Players!A:E,5,FALSE))</f>
        <v>RB</v>
      </c>
    </row>
    <row r="632" ht="15.75" customHeight="1">
      <c r="A632" s="1">
        <v>2018.0</v>
      </c>
      <c r="B632" s="1" t="s">
        <v>44</v>
      </c>
      <c r="C632" s="1" t="s">
        <v>23</v>
      </c>
      <c r="D632" s="8">
        <v>7.0</v>
      </c>
      <c r="E632" s="8">
        <v>2.0</v>
      </c>
      <c r="F632" s="8">
        <v>22.0</v>
      </c>
      <c r="G632" s="1" t="s">
        <v>339</v>
      </c>
      <c r="H632" s="1" t="str">
        <f t="shared" si="1"/>
        <v>Tyreek</v>
      </c>
      <c r="I632" s="1" t="str">
        <f t="shared" si="2"/>
        <v>Hill</v>
      </c>
      <c r="J632" s="1" t="str">
        <f t="shared" si="3"/>
        <v>#N/A</v>
      </c>
      <c r="K632" s="1" t="str">
        <f>IFERROR(VLOOKUP($J632,Players!$D:$E,2,FALSE),VLOOKUP($G632,Players!A:E,5,FALSE))</f>
        <v>WR</v>
      </c>
    </row>
    <row r="633" ht="15.75" customHeight="1">
      <c r="A633" s="1">
        <v>2018.0</v>
      </c>
      <c r="B633" s="1" t="s">
        <v>44</v>
      </c>
      <c r="C633" s="1" t="s">
        <v>23</v>
      </c>
      <c r="D633" s="8">
        <v>7.0</v>
      </c>
      <c r="E633" s="8">
        <v>3.0</v>
      </c>
      <c r="F633" s="8">
        <v>27.0</v>
      </c>
      <c r="G633" s="1" t="s">
        <v>263</v>
      </c>
      <c r="H633" s="1" t="str">
        <f t="shared" si="1"/>
        <v>Amari</v>
      </c>
      <c r="I633" s="1" t="str">
        <f t="shared" si="2"/>
        <v>Cooper</v>
      </c>
      <c r="J633" s="1" t="str">
        <f t="shared" si="3"/>
        <v>#N/A</v>
      </c>
      <c r="K633" s="1" t="str">
        <f>IFERROR(VLOOKUP($J633,Players!$D:$E,2,FALSE),VLOOKUP($G633,Players!A:E,5,FALSE))</f>
        <v>WR</v>
      </c>
    </row>
    <row r="634" ht="15.75" customHeight="1">
      <c r="A634" s="1">
        <v>2018.0</v>
      </c>
      <c r="B634" s="1" t="s">
        <v>44</v>
      </c>
      <c r="C634" s="1" t="s">
        <v>23</v>
      </c>
      <c r="D634" s="8">
        <v>7.0</v>
      </c>
      <c r="E634" s="8">
        <v>4.0</v>
      </c>
      <c r="F634" s="8">
        <v>46.0</v>
      </c>
      <c r="G634" s="1" t="s">
        <v>944</v>
      </c>
      <c r="H634" s="1" t="str">
        <f t="shared" si="1"/>
        <v>Golden</v>
      </c>
      <c r="I634" s="1" t="str">
        <f t="shared" si="2"/>
        <v>Tate</v>
      </c>
      <c r="J634" s="1" t="str">
        <f t="shared" si="3"/>
        <v>#N/A</v>
      </c>
      <c r="K634" s="1" t="str">
        <f>IFERROR(VLOOKUP($J634,Players!$D:$E,2,FALSE),VLOOKUP($G634,Players!A:E,5,FALSE))</f>
        <v>WR</v>
      </c>
    </row>
    <row r="635" ht="15.75" customHeight="1">
      <c r="A635" s="1">
        <v>2018.0</v>
      </c>
      <c r="B635" s="1" t="s">
        <v>44</v>
      </c>
      <c r="C635" s="1" t="s">
        <v>23</v>
      </c>
      <c r="D635" s="8">
        <v>7.0</v>
      </c>
      <c r="E635" s="8">
        <v>5.0</v>
      </c>
      <c r="F635" s="8">
        <v>51.0</v>
      </c>
      <c r="G635" s="1" t="s">
        <v>267</v>
      </c>
      <c r="H635" s="1" t="str">
        <f t="shared" si="1"/>
        <v>Tom</v>
      </c>
      <c r="I635" s="1" t="str">
        <f t="shared" si="2"/>
        <v>Brady</v>
      </c>
      <c r="J635" s="1" t="str">
        <f t="shared" si="3"/>
        <v>#N/A</v>
      </c>
      <c r="K635" s="1" t="str">
        <f>IFERROR(VLOOKUP($J635,Players!$D:$E,2,FALSE),VLOOKUP($G635,Players!A:E,5,FALSE))</f>
        <v>QB</v>
      </c>
    </row>
    <row r="636" ht="15.75" customHeight="1">
      <c r="A636" s="1">
        <v>2018.0</v>
      </c>
      <c r="B636" s="1" t="s">
        <v>44</v>
      </c>
      <c r="C636" s="1" t="s">
        <v>23</v>
      </c>
      <c r="D636" s="8">
        <v>7.0</v>
      </c>
      <c r="E636" s="8">
        <v>6.0</v>
      </c>
      <c r="F636" s="8">
        <v>70.0</v>
      </c>
      <c r="G636" s="1" t="s">
        <v>1007</v>
      </c>
      <c r="H636" s="1" t="str">
        <f t="shared" si="1"/>
        <v>Peyton</v>
      </c>
      <c r="I636" s="1" t="str">
        <f t="shared" si="2"/>
        <v>Barber</v>
      </c>
      <c r="J636" s="1" t="str">
        <f t="shared" si="3"/>
        <v>#N/A</v>
      </c>
      <c r="K636" s="1" t="str">
        <f>IFERROR(VLOOKUP($J636,Players!$D:$E,2,FALSE),VLOOKUP($G636,Players!A:E,5,FALSE))</f>
        <v>RB</v>
      </c>
    </row>
    <row r="637" ht="15.75" customHeight="1">
      <c r="A637" s="1">
        <v>2018.0</v>
      </c>
      <c r="B637" s="1" t="s">
        <v>44</v>
      </c>
      <c r="C637" s="1" t="s">
        <v>23</v>
      </c>
      <c r="D637" s="8">
        <v>7.0</v>
      </c>
      <c r="E637" s="8">
        <v>7.0</v>
      </c>
      <c r="F637" s="8">
        <v>75.0</v>
      </c>
      <c r="G637" s="1" t="s">
        <v>136</v>
      </c>
      <c r="H637" s="1" t="str">
        <f t="shared" si="1"/>
        <v>Nelson</v>
      </c>
      <c r="I637" s="1" t="str">
        <f t="shared" si="2"/>
        <v>Agholor</v>
      </c>
      <c r="J637" s="1" t="str">
        <f t="shared" si="3"/>
        <v>#N/A</v>
      </c>
      <c r="K637" s="1" t="str">
        <f>IFERROR(VLOOKUP($J637,Players!$D:$E,2,FALSE),VLOOKUP($G637,Players!A:E,5,FALSE))</f>
        <v>WR</v>
      </c>
    </row>
    <row r="638" ht="15.75" customHeight="1">
      <c r="A638" s="1">
        <v>2018.0</v>
      </c>
      <c r="B638" s="1" t="s">
        <v>44</v>
      </c>
      <c r="C638" s="1" t="s">
        <v>23</v>
      </c>
      <c r="D638" s="8">
        <v>7.0</v>
      </c>
      <c r="E638" s="8">
        <v>8.0</v>
      </c>
      <c r="F638" s="8">
        <v>94.0</v>
      </c>
      <c r="G638" s="1" t="s">
        <v>328</v>
      </c>
      <c r="H638" s="1" t="str">
        <f t="shared" si="1"/>
        <v>Sterling</v>
      </c>
      <c r="I638" s="1" t="str">
        <f t="shared" si="2"/>
        <v>Shepard</v>
      </c>
      <c r="J638" s="1" t="str">
        <f t="shared" si="3"/>
        <v>#N/A</v>
      </c>
      <c r="K638" s="1" t="str">
        <f>IFERROR(VLOOKUP($J638,Players!$D:$E,2,FALSE),VLOOKUP($G638,Players!A:E,5,FALSE))</f>
        <v>WR</v>
      </c>
    </row>
    <row r="639" ht="15.75" customHeight="1">
      <c r="A639" s="1">
        <v>2018.0</v>
      </c>
      <c r="B639" s="1" t="s">
        <v>44</v>
      </c>
      <c r="C639" s="1" t="s">
        <v>23</v>
      </c>
      <c r="D639" s="8">
        <v>7.0</v>
      </c>
      <c r="E639" s="8">
        <v>9.0</v>
      </c>
      <c r="F639" s="8">
        <v>99.0</v>
      </c>
      <c r="G639" s="1" t="s">
        <v>625</v>
      </c>
      <c r="H639" s="1" t="str">
        <f t="shared" si="1"/>
        <v>Marlon</v>
      </c>
      <c r="I639" s="1" t="str">
        <f t="shared" si="2"/>
        <v>Mack</v>
      </c>
      <c r="J639" s="1" t="str">
        <f t="shared" si="3"/>
        <v>#N/A</v>
      </c>
      <c r="K639" s="1" t="str">
        <f>IFERROR(VLOOKUP($J639,Players!$D:$E,2,FALSE),VLOOKUP($G639,Players!A:E,5,FALSE))</f>
        <v>RB</v>
      </c>
    </row>
    <row r="640" ht="15.75" customHeight="1">
      <c r="A640" s="1">
        <v>2018.0</v>
      </c>
      <c r="B640" s="1" t="s">
        <v>44</v>
      </c>
      <c r="C640" s="1" t="s">
        <v>23</v>
      </c>
      <c r="D640" s="8">
        <v>7.0</v>
      </c>
      <c r="E640" s="8">
        <v>10.0</v>
      </c>
      <c r="F640" s="8">
        <v>118.0</v>
      </c>
      <c r="G640" s="1" t="s">
        <v>1000</v>
      </c>
      <c r="H640" s="1" t="str">
        <f t="shared" si="1"/>
        <v>David</v>
      </c>
      <c r="I640" s="1" t="str">
        <f t="shared" si="2"/>
        <v>Njoku</v>
      </c>
      <c r="J640" s="1" t="str">
        <f t="shared" si="3"/>
        <v>#N/A</v>
      </c>
      <c r="K640" s="1" t="str">
        <f>IFERROR(VLOOKUP($J640,Players!$D:$E,2,FALSE),VLOOKUP($G640,Players!A:E,5,FALSE))</f>
        <v>TE</v>
      </c>
    </row>
    <row r="641" ht="15.75" customHeight="1">
      <c r="A641" s="1">
        <v>2018.0</v>
      </c>
      <c r="B641" s="1" t="s">
        <v>44</v>
      </c>
      <c r="C641" s="1" t="s">
        <v>23</v>
      </c>
      <c r="D641" s="8">
        <v>7.0</v>
      </c>
      <c r="E641" s="8">
        <v>11.0</v>
      </c>
      <c r="F641" s="8">
        <v>123.0</v>
      </c>
      <c r="G641" s="1" t="s">
        <v>87</v>
      </c>
      <c r="H641" s="1" t="str">
        <f t="shared" si="1"/>
        <v>#VALUE!</v>
      </c>
      <c r="I641" s="1" t="str">
        <f t="shared" si="2"/>
        <v>#VALUE!</v>
      </c>
      <c r="J641" s="1" t="str">
        <f t="shared" si="3"/>
        <v>#N/A</v>
      </c>
      <c r="K641" s="1" t="str">
        <f>IFERROR(VLOOKUP($J641,Players!$D:$E,2,FALSE),VLOOKUP($G641,Players!A:E,5,FALSE))</f>
        <v>DEF</v>
      </c>
    </row>
    <row r="642" ht="15.75" customHeight="1">
      <c r="A642" s="1">
        <v>2018.0</v>
      </c>
      <c r="B642" s="1" t="s">
        <v>44</v>
      </c>
      <c r="C642" s="1" t="s">
        <v>23</v>
      </c>
      <c r="D642" s="8">
        <v>7.0</v>
      </c>
      <c r="E642" s="8">
        <v>12.0</v>
      </c>
      <c r="F642" s="8">
        <v>142.0</v>
      </c>
      <c r="G642" s="1" t="s">
        <v>494</v>
      </c>
      <c r="H642" s="1" t="str">
        <f t="shared" si="1"/>
        <v>Matt</v>
      </c>
      <c r="I642" s="1" t="str">
        <f t="shared" si="2"/>
        <v>Breida</v>
      </c>
      <c r="J642" s="1" t="str">
        <f t="shared" si="3"/>
        <v>#N/A</v>
      </c>
      <c r="K642" s="1" t="str">
        <f>IFERROR(VLOOKUP($J642,Players!$D:$E,2,FALSE),VLOOKUP($G642,Players!A:E,5,FALSE))</f>
        <v>RB</v>
      </c>
    </row>
    <row r="643" ht="15.75" customHeight="1">
      <c r="A643" s="1">
        <v>2018.0</v>
      </c>
      <c r="B643" s="1" t="s">
        <v>44</v>
      </c>
      <c r="C643" s="1" t="s">
        <v>23</v>
      </c>
      <c r="D643" s="8">
        <v>7.0</v>
      </c>
      <c r="E643" s="8">
        <v>13.0</v>
      </c>
      <c r="F643" s="8">
        <v>147.0</v>
      </c>
      <c r="G643" s="1" t="s">
        <v>1183</v>
      </c>
      <c r="H643" s="1" t="str">
        <f t="shared" si="1"/>
        <v>Dez</v>
      </c>
      <c r="I643" s="1" t="str">
        <f t="shared" si="2"/>
        <v>Bryant</v>
      </c>
      <c r="J643" s="1" t="str">
        <f t="shared" si="3"/>
        <v>#N/A</v>
      </c>
      <c r="K643" s="1" t="str">
        <f>IFERROR(VLOOKUP($J643,Players!$D:$E,2,FALSE),VLOOKUP($G643,Players!A:E,5,FALSE))</f>
        <v>WR</v>
      </c>
    </row>
    <row r="644" ht="15.75" customHeight="1">
      <c r="A644" s="1">
        <v>2018.0</v>
      </c>
      <c r="B644" s="1" t="s">
        <v>44</v>
      </c>
      <c r="C644" s="1" t="s">
        <v>23</v>
      </c>
      <c r="D644" s="8">
        <v>7.0</v>
      </c>
      <c r="E644" s="8">
        <v>14.0</v>
      </c>
      <c r="F644" s="8">
        <v>166.0</v>
      </c>
      <c r="G644" s="1" t="s">
        <v>110</v>
      </c>
      <c r="H644" s="1" t="str">
        <f t="shared" si="1"/>
        <v>Patrick</v>
      </c>
      <c r="I644" s="1" t="str">
        <f t="shared" si="2"/>
        <v>Mahomes</v>
      </c>
      <c r="J644" s="1" t="str">
        <f t="shared" si="3"/>
        <v>#N/A</v>
      </c>
      <c r="K644" s="1" t="str">
        <f>IFERROR(VLOOKUP($J644,Players!$D:$E,2,FALSE),VLOOKUP($G644,Players!A:E,5,FALSE))</f>
        <v>QB</v>
      </c>
    </row>
    <row r="645" ht="15.75" customHeight="1">
      <c r="A645" s="1">
        <v>2018.0</v>
      </c>
      <c r="B645" s="1" t="s">
        <v>44</v>
      </c>
      <c r="C645" s="1" t="s">
        <v>23</v>
      </c>
      <c r="D645" s="8">
        <v>7.0</v>
      </c>
      <c r="E645" s="8">
        <v>15.0</v>
      </c>
      <c r="F645" s="8">
        <v>171.0</v>
      </c>
      <c r="G645" s="1" t="s">
        <v>323</v>
      </c>
      <c r="H645" s="1" t="str">
        <f t="shared" si="1"/>
        <v>Harrison</v>
      </c>
      <c r="I645" s="1" t="str">
        <f t="shared" si="2"/>
        <v>Butker</v>
      </c>
      <c r="J645" s="1" t="str">
        <f t="shared" si="3"/>
        <v>#N/A</v>
      </c>
      <c r="K645" s="1" t="str">
        <f>IFERROR(VLOOKUP($J645,Players!$D:$E,2,FALSE),VLOOKUP($G645,Players!A:E,5,FALSE))</f>
        <v>K</v>
      </c>
    </row>
    <row r="646" ht="15.75" customHeight="1">
      <c r="A646" s="1">
        <v>2018.0</v>
      </c>
      <c r="B646" s="1" t="s">
        <v>50</v>
      </c>
      <c r="C646" s="1" t="s">
        <v>8</v>
      </c>
      <c r="D646" s="8">
        <v>5.0</v>
      </c>
      <c r="E646" s="8">
        <v>1.0</v>
      </c>
      <c r="F646" s="8">
        <v>6.0</v>
      </c>
      <c r="G646" s="1" t="s">
        <v>108</v>
      </c>
      <c r="H646" s="1" t="str">
        <f t="shared" si="1"/>
        <v>Alvin</v>
      </c>
      <c r="I646" s="1" t="str">
        <f t="shared" si="2"/>
        <v>Kamara</v>
      </c>
      <c r="J646" s="1" t="str">
        <f t="shared" si="3"/>
        <v>#N/A</v>
      </c>
      <c r="K646" s="1" t="str">
        <f>IFERROR(VLOOKUP($J646,Players!$D:$E,2,FALSE),VLOOKUP($G646,Players!A:E,5,FALSE))</f>
        <v>RB</v>
      </c>
    </row>
    <row r="647" ht="15.75" customHeight="1">
      <c r="A647" s="1">
        <v>2018.0</v>
      </c>
      <c r="B647" s="1" t="s">
        <v>50</v>
      </c>
      <c r="C647" s="1" t="s">
        <v>8</v>
      </c>
      <c r="D647" s="8">
        <v>5.0</v>
      </c>
      <c r="E647" s="8">
        <v>2.0</v>
      </c>
      <c r="F647" s="8">
        <v>19.0</v>
      </c>
      <c r="G647" s="1" t="s">
        <v>152</v>
      </c>
      <c r="H647" s="1" t="str">
        <f t="shared" si="1"/>
        <v>AJ</v>
      </c>
      <c r="I647" s="1" t="str">
        <f t="shared" si="2"/>
        <v>Green</v>
      </c>
      <c r="J647" s="1" t="str">
        <f t="shared" si="3"/>
        <v>#N/A</v>
      </c>
      <c r="K647" s="1" t="str">
        <f>IFERROR(VLOOKUP($J647,Players!$D:$E,2,FALSE),VLOOKUP($G647,Players!A:E,5,FALSE))</f>
        <v>WR</v>
      </c>
    </row>
    <row r="648" ht="15.75" customHeight="1">
      <c r="A648" s="1">
        <v>2018.0</v>
      </c>
      <c r="B648" s="1" t="s">
        <v>50</v>
      </c>
      <c r="C648" s="1" t="s">
        <v>8</v>
      </c>
      <c r="D648" s="8">
        <v>5.0</v>
      </c>
      <c r="E648" s="8">
        <v>3.0</v>
      </c>
      <c r="F648" s="8">
        <v>30.0</v>
      </c>
      <c r="G648" s="1" t="s">
        <v>139</v>
      </c>
      <c r="H648" s="1" t="str">
        <f t="shared" si="1"/>
        <v>Travis</v>
      </c>
      <c r="I648" s="1" t="str">
        <f t="shared" si="2"/>
        <v>Kelce</v>
      </c>
      <c r="J648" s="1" t="str">
        <f t="shared" si="3"/>
        <v>#N/A</v>
      </c>
      <c r="K648" s="1" t="str">
        <f>IFERROR(VLOOKUP($J648,Players!$D:$E,2,FALSE),VLOOKUP($G648,Players!A:E,5,FALSE))</f>
        <v>TE</v>
      </c>
    </row>
    <row r="649" ht="15.75" customHeight="1">
      <c r="A649" s="1">
        <v>2018.0</v>
      </c>
      <c r="B649" s="1" t="s">
        <v>50</v>
      </c>
      <c r="C649" s="1" t="s">
        <v>8</v>
      </c>
      <c r="D649" s="8">
        <v>5.0</v>
      </c>
      <c r="E649" s="8">
        <v>4.0</v>
      </c>
      <c r="F649" s="8">
        <v>43.0</v>
      </c>
      <c r="G649" s="1" t="s">
        <v>1096</v>
      </c>
      <c r="H649" s="1" t="str">
        <f t="shared" si="1"/>
        <v>Demaryius</v>
      </c>
      <c r="I649" s="1" t="str">
        <f t="shared" si="2"/>
        <v>Thomas</v>
      </c>
      <c r="J649" s="1" t="str">
        <f t="shared" si="3"/>
        <v>#N/A</v>
      </c>
      <c r="K649" s="1" t="str">
        <f>IFERROR(VLOOKUP($J649,Players!$D:$E,2,FALSE),VLOOKUP($G649,Players!A:E,5,FALSE))</f>
        <v>WR</v>
      </c>
    </row>
    <row r="650" ht="15.75" customHeight="1">
      <c r="A650" s="1">
        <v>2018.0</v>
      </c>
      <c r="B650" s="1" t="s">
        <v>50</v>
      </c>
      <c r="C650" s="1" t="s">
        <v>8</v>
      </c>
      <c r="D650" s="8">
        <v>5.0</v>
      </c>
      <c r="E650" s="8">
        <v>5.0</v>
      </c>
      <c r="F650" s="8">
        <v>54.0</v>
      </c>
      <c r="G650" s="1" t="s">
        <v>1387</v>
      </c>
      <c r="H650" s="1" t="str">
        <f t="shared" si="1"/>
        <v>Jay</v>
      </c>
      <c r="I650" s="1" t="str">
        <f t="shared" si="2"/>
        <v>Ajayi</v>
      </c>
      <c r="J650" s="1" t="str">
        <f t="shared" si="3"/>
        <v>#N/A</v>
      </c>
      <c r="K650" s="1" t="str">
        <f>IFERROR(VLOOKUP($J650,Players!$D:$E,2,FALSE),VLOOKUP($G650,Players!A:E,5,FALSE))</f>
        <v>RB</v>
      </c>
    </row>
    <row r="651" ht="15.75" customHeight="1">
      <c r="A651" s="1">
        <v>2018.0</v>
      </c>
      <c r="B651" s="1" t="s">
        <v>50</v>
      </c>
      <c r="C651" s="1" t="s">
        <v>8</v>
      </c>
      <c r="D651" s="8">
        <v>5.0</v>
      </c>
      <c r="E651" s="8">
        <v>6.0</v>
      </c>
      <c r="F651" s="8">
        <v>67.0</v>
      </c>
      <c r="G651" s="1" t="s">
        <v>1390</v>
      </c>
      <c r="H651" s="1" t="str">
        <f t="shared" si="1"/>
        <v>Michael</v>
      </c>
      <c r="I651" s="1" t="str">
        <f t="shared" si="2"/>
        <v>Crabtree</v>
      </c>
      <c r="J651" s="1" t="str">
        <f t="shared" si="3"/>
        <v>#N/A</v>
      </c>
      <c r="K651" s="1" t="str">
        <f>IFERROR(VLOOKUP($J651,Players!$D:$E,2,FALSE),VLOOKUP($G651,Players!A:E,5,FALSE))</f>
        <v>WR</v>
      </c>
    </row>
    <row r="652" ht="15.75" customHeight="1">
      <c r="A652" s="1">
        <v>2018.0</v>
      </c>
      <c r="B652" s="1" t="s">
        <v>50</v>
      </c>
      <c r="C652" s="1" t="s">
        <v>8</v>
      </c>
      <c r="D652" s="8">
        <v>5.0</v>
      </c>
      <c r="E652" s="8">
        <v>7.0</v>
      </c>
      <c r="F652" s="8">
        <v>78.0</v>
      </c>
      <c r="G652" s="1" t="s">
        <v>347</v>
      </c>
      <c r="H652" s="1" t="str">
        <f t="shared" si="1"/>
        <v>Chris</v>
      </c>
      <c r="I652" s="1" t="str">
        <f t="shared" si="2"/>
        <v>Carson</v>
      </c>
      <c r="J652" s="1" t="str">
        <f t="shared" si="3"/>
        <v>#N/A</v>
      </c>
      <c r="K652" s="1" t="str">
        <f>IFERROR(VLOOKUP($J652,Players!$D:$E,2,FALSE),VLOOKUP($G652,Players!A:E,5,FALSE))</f>
        <v>RB</v>
      </c>
    </row>
    <row r="653" ht="15.75" customHeight="1">
      <c r="A653" s="1">
        <v>2018.0</v>
      </c>
      <c r="B653" s="1" t="s">
        <v>50</v>
      </c>
      <c r="C653" s="1" t="s">
        <v>8</v>
      </c>
      <c r="D653" s="8">
        <v>5.0</v>
      </c>
      <c r="E653" s="8">
        <v>8.0</v>
      </c>
      <c r="F653" s="8">
        <v>91.0</v>
      </c>
      <c r="G653" s="1" t="s">
        <v>862</v>
      </c>
      <c r="H653" s="1" t="str">
        <f t="shared" si="1"/>
        <v>Philip</v>
      </c>
      <c r="I653" s="1" t="str">
        <f t="shared" si="2"/>
        <v>Rivers</v>
      </c>
      <c r="J653" s="1" t="str">
        <f t="shared" si="3"/>
        <v>#N/A</v>
      </c>
      <c r="K653" s="1" t="str">
        <f>IFERROR(VLOOKUP($J653,Players!$D:$E,2,FALSE),VLOOKUP($G653,Players!A:E,5,FALSE))</f>
        <v>QB</v>
      </c>
    </row>
    <row r="654" ht="15.75" customHeight="1">
      <c r="A654" s="1">
        <v>2018.0</v>
      </c>
      <c r="B654" s="1" t="s">
        <v>50</v>
      </c>
      <c r="C654" s="1" t="s">
        <v>8</v>
      </c>
      <c r="D654" s="8">
        <v>5.0</v>
      </c>
      <c r="E654" s="8">
        <v>9.0</v>
      </c>
      <c r="F654" s="8">
        <v>102.0</v>
      </c>
      <c r="G654" s="1" t="s">
        <v>99</v>
      </c>
      <c r="H654" s="1" t="str">
        <f t="shared" si="1"/>
        <v>Robbie</v>
      </c>
      <c r="I654" s="1" t="str">
        <f t="shared" si="2"/>
        <v>Anderson</v>
      </c>
      <c r="J654" s="1" t="str">
        <f t="shared" si="3"/>
        <v>#N/A</v>
      </c>
      <c r="K654" s="1" t="str">
        <f>IFERROR(VLOOKUP($J654,Players!$D:$E,2,FALSE),VLOOKUP($G654,Players!A:E,5,FALSE))</f>
        <v>WR</v>
      </c>
    </row>
    <row r="655" ht="15.75" customHeight="1">
      <c r="A655" s="1">
        <v>2018.0</v>
      </c>
      <c r="B655" s="1" t="s">
        <v>50</v>
      </c>
      <c r="C655" s="1" t="s">
        <v>8</v>
      </c>
      <c r="D655" s="8">
        <v>5.0</v>
      </c>
      <c r="E655" s="8">
        <v>10.0</v>
      </c>
      <c r="F655" s="8">
        <v>115.0</v>
      </c>
      <c r="G655" s="1" t="s">
        <v>1396</v>
      </c>
      <c r="H655" s="1" t="str">
        <f t="shared" si="1"/>
        <v>Jordan</v>
      </c>
      <c r="I655" s="1" t="str">
        <f t="shared" si="2"/>
        <v>Wilkins</v>
      </c>
      <c r="J655" s="1" t="str">
        <f t="shared" si="3"/>
        <v>#N/A</v>
      </c>
      <c r="K655" s="1" t="str">
        <f>IFERROR(VLOOKUP($J655,Players!$D:$E,2,FALSE),VLOOKUP($G655,Players!A:E,5,FALSE))</f>
        <v>RB</v>
      </c>
    </row>
    <row r="656" ht="15.75" customHeight="1">
      <c r="A656" s="1">
        <v>2018.0</v>
      </c>
      <c r="B656" s="1" t="s">
        <v>50</v>
      </c>
      <c r="C656" s="1" t="s">
        <v>8</v>
      </c>
      <c r="D656" s="8">
        <v>5.0</v>
      </c>
      <c r="E656" s="8">
        <v>11.0</v>
      </c>
      <c r="F656" s="8">
        <v>126.0</v>
      </c>
      <c r="G656" s="1" t="s">
        <v>1131</v>
      </c>
      <c r="H656" s="1" t="str">
        <f t="shared" si="1"/>
        <v>Kenny</v>
      </c>
      <c r="I656" s="1" t="str">
        <f t="shared" si="2"/>
        <v>Stills</v>
      </c>
      <c r="J656" s="1" t="str">
        <f t="shared" si="3"/>
        <v>#N/A</v>
      </c>
      <c r="K656" s="1" t="str">
        <f>IFERROR(VLOOKUP($J656,Players!$D:$E,2,FALSE),VLOOKUP($G656,Players!A:E,5,FALSE))</f>
        <v>WR</v>
      </c>
    </row>
    <row r="657" ht="15.75" customHeight="1">
      <c r="A657" s="1">
        <v>2018.0</v>
      </c>
      <c r="B657" s="1" t="s">
        <v>50</v>
      </c>
      <c r="C657" s="1" t="s">
        <v>8</v>
      </c>
      <c r="D657" s="8">
        <v>5.0</v>
      </c>
      <c r="E657" s="8">
        <v>12.0</v>
      </c>
      <c r="F657" s="8">
        <v>139.0</v>
      </c>
      <c r="G657" s="1" t="s">
        <v>170</v>
      </c>
      <c r="H657" s="1" t="str">
        <f t="shared" si="1"/>
        <v>Calvin</v>
      </c>
      <c r="I657" s="1" t="str">
        <f t="shared" si="2"/>
        <v>Ridley</v>
      </c>
      <c r="J657" s="1" t="str">
        <f t="shared" si="3"/>
        <v>#N/A</v>
      </c>
      <c r="K657" s="1" t="str">
        <f>IFERROR(VLOOKUP($J657,Players!$D:$E,2,FALSE),VLOOKUP($G657,Players!A:E,5,FALSE))</f>
        <v>WR</v>
      </c>
    </row>
    <row r="658" ht="15.75" customHeight="1">
      <c r="A658" s="1">
        <v>2018.0</v>
      </c>
      <c r="B658" s="1" t="s">
        <v>50</v>
      </c>
      <c r="C658" s="1" t="s">
        <v>8</v>
      </c>
      <c r="D658" s="8">
        <v>5.0</v>
      </c>
      <c r="E658" s="8">
        <v>13.0</v>
      </c>
      <c r="F658" s="8">
        <v>150.0</v>
      </c>
      <c r="G658" s="1" t="s">
        <v>105</v>
      </c>
      <c r="H658" s="1" t="str">
        <f t="shared" si="1"/>
        <v>#VALUE!</v>
      </c>
      <c r="I658" s="1" t="str">
        <f t="shared" si="2"/>
        <v>#VALUE!</v>
      </c>
      <c r="J658" s="1" t="str">
        <f t="shared" si="3"/>
        <v>#N/A</v>
      </c>
      <c r="K658" s="1" t="str">
        <f>IFERROR(VLOOKUP($J658,Players!$D:$E,2,FALSE),VLOOKUP($G658,Players!A:E,5,FALSE))</f>
        <v>DEF</v>
      </c>
    </row>
    <row r="659" ht="15.75" customHeight="1">
      <c r="A659" s="1">
        <v>2018.0</v>
      </c>
      <c r="B659" s="1" t="s">
        <v>50</v>
      </c>
      <c r="C659" s="1" t="s">
        <v>8</v>
      </c>
      <c r="D659" s="8">
        <v>5.0</v>
      </c>
      <c r="E659" s="8">
        <v>14.0</v>
      </c>
      <c r="F659" s="8">
        <v>163.0</v>
      </c>
      <c r="G659" s="1" t="s">
        <v>1403</v>
      </c>
      <c r="H659" s="1" t="str">
        <f t="shared" si="1"/>
        <v>Mason</v>
      </c>
      <c r="I659" s="1" t="str">
        <f t="shared" si="2"/>
        <v>Crosby</v>
      </c>
      <c r="J659" s="1" t="str">
        <f t="shared" si="3"/>
        <v>#N/A</v>
      </c>
      <c r="K659" s="1" t="str">
        <f>IFERROR(VLOOKUP($J659,Players!$D:$E,2,FALSE),VLOOKUP($G659,Players!A:E,5,FALSE))</f>
        <v>K</v>
      </c>
    </row>
    <row r="660" ht="15.75" customHeight="1">
      <c r="A660" s="1">
        <v>2018.0</v>
      </c>
      <c r="B660" s="1" t="s">
        <v>50</v>
      </c>
      <c r="C660" s="1" t="s">
        <v>8</v>
      </c>
      <c r="D660" s="8">
        <v>5.0</v>
      </c>
      <c r="E660" s="8">
        <v>15.0</v>
      </c>
      <c r="F660" s="8">
        <v>174.0</v>
      </c>
      <c r="G660" s="1" t="s">
        <v>1316</v>
      </c>
      <c r="H660" s="1" t="str">
        <f t="shared" si="1"/>
        <v>Eric</v>
      </c>
      <c r="I660" s="1" t="str">
        <f t="shared" si="2"/>
        <v>Ebron</v>
      </c>
      <c r="J660" s="1" t="str">
        <f t="shared" si="3"/>
        <v>#N/A</v>
      </c>
      <c r="K660" s="1" t="str">
        <f>IFERROR(VLOOKUP($J660,Players!$D:$E,2,FALSE),VLOOKUP($G660,Players!A:E,5,FALSE))</f>
        <v>TE</v>
      </c>
    </row>
    <row r="661" ht="15.75" customHeight="1">
      <c r="A661" s="1">
        <v>2018.0</v>
      </c>
      <c r="B661" s="1" t="s">
        <v>16</v>
      </c>
      <c r="C661" s="1" t="s">
        <v>15</v>
      </c>
      <c r="D661" s="8">
        <v>12.0</v>
      </c>
      <c r="E661" s="8">
        <v>1.0</v>
      </c>
      <c r="F661" s="8">
        <v>9.0</v>
      </c>
      <c r="G661" s="1" t="s">
        <v>113</v>
      </c>
      <c r="H661" s="1" t="str">
        <f t="shared" si="1"/>
        <v>Kareem</v>
      </c>
      <c r="I661" s="1" t="str">
        <f t="shared" si="2"/>
        <v>Hunt</v>
      </c>
      <c r="J661" s="1" t="str">
        <f t="shared" si="3"/>
        <v>#N/A</v>
      </c>
      <c r="K661" s="1" t="str">
        <f>IFERROR(VLOOKUP($J661,Players!$D:$E,2,FALSE),VLOOKUP($G661,Players!A:E,5,FALSE))</f>
        <v>RB</v>
      </c>
    </row>
    <row r="662" ht="15.75" customHeight="1">
      <c r="A662" s="1">
        <v>2018.0</v>
      </c>
      <c r="B662" s="1" t="s">
        <v>16</v>
      </c>
      <c r="C662" s="1" t="s">
        <v>15</v>
      </c>
      <c r="D662" s="8">
        <v>12.0</v>
      </c>
      <c r="E662" s="8">
        <v>2.0</v>
      </c>
      <c r="F662" s="8">
        <v>16.0</v>
      </c>
      <c r="G662" s="1" t="s">
        <v>93</v>
      </c>
      <c r="H662" s="1" t="str">
        <f t="shared" si="1"/>
        <v>Dalvin</v>
      </c>
      <c r="I662" s="1" t="str">
        <f t="shared" si="2"/>
        <v>Cook</v>
      </c>
      <c r="J662" s="1" t="str">
        <f t="shared" si="3"/>
        <v>#N/A</v>
      </c>
      <c r="K662" s="1" t="str">
        <f>IFERROR(VLOOKUP($J662,Players!$D:$E,2,FALSE),VLOOKUP($G662,Players!A:E,5,FALSE))</f>
        <v>RB</v>
      </c>
    </row>
    <row r="663" ht="15.75" customHeight="1">
      <c r="A663" s="1">
        <v>2018.0</v>
      </c>
      <c r="B663" s="1" t="s">
        <v>16</v>
      </c>
      <c r="C663" s="1" t="s">
        <v>15</v>
      </c>
      <c r="D663" s="8">
        <v>12.0</v>
      </c>
      <c r="E663" s="8">
        <v>3.0</v>
      </c>
      <c r="F663" s="8">
        <v>33.0</v>
      </c>
      <c r="G663" s="1" t="s">
        <v>790</v>
      </c>
      <c r="H663" s="1" t="str">
        <f t="shared" si="1"/>
        <v>Chris</v>
      </c>
      <c r="I663" s="1" t="str">
        <f t="shared" si="2"/>
        <v>Hogan</v>
      </c>
      <c r="J663" s="1" t="str">
        <f t="shared" si="3"/>
        <v>#N/A</v>
      </c>
      <c r="K663" s="1" t="str">
        <f>IFERROR(VLOOKUP($J663,Players!$D:$E,2,FALSE),VLOOKUP($G663,Players!A:E,5,FALSE))</f>
        <v>WR</v>
      </c>
    </row>
    <row r="664" ht="15.75" customHeight="1">
      <c r="A664" s="1">
        <v>2018.0</v>
      </c>
      <c r="B664" s="1" t="s">
        <v>16</v>
      </c>
      <c r="C664" s="1" t="s">
        <v>15</v>
      </c>
      <c r="D664" s="8">
        <v>12.0</v>
      </c>
      <c r="E664" s="8">
        <v>4.0</v>
      </c>
      <c r="F664" s="8">
        <v>40.0</v>
      </c>
      <c r="G664" s="1" t="s">
        <v>730</v>
      </c>
      <c r="H664" s="1" t="str">
        <f t="shared" si="1"/>
        <v>Deshaun</v>
      </c>
      <c r="I664" s="1" t="str">
        <f t="shared" si="2"/>
        <v>Watson</v>
      </c>
      <c r="J664" s="1" t="str">
        <f t="shared" si="3"/>
        <v>#N/A</v>
      </c>
      <c r="K664" s="1" t="str">
        <f>IFERROR(VLOOKUP($J664,Players!$D:$E,2,FALSE),VLOOKUP($G664,Players!A:E,5,FALSE))</f>
        <v>QB</v>
      </c>
    </row>
    <row r="665" ht="15.75" customHeight="1">
      <c r="A665" s="1">
        <v>2018.0</v>
      </c>
      <c r="B665" s="1" t="s">
        <v>16</v>
      </c>
      <c r="C665" s="1" t="s">
        <v>15</v>
      </c>
      <c r="D665" s="8">
        <v>12.0</v>
      </c>
      <c r="E665" s="8">
        <v>5.0</v>
      </c>
      <c r="F665" s="8">
        <v>57.0</v>
      </c>
      <c r="G665" s="1" t="s">
        <v>203</v>
      </c>
      <c r="H665" s="1" t="str">
        <f t="shared" si="1"/>
        <v>Evan</v>
      </c>
      <c r="I665" s="1" t="str">
        <f t="shared" si="2"/>
        <v>Engram</v>
      </c>
      <c r="J665" s="1" t="str">
        <f t="shared" si="3"/>
        <v>#N/A</v>
      </c>
      <c r="K665" s="1" t="str">
        <f>IFERROR(VLOOKUP($J665,Players!$D:$E,2,FALSE),VLOOKUP($G665,Players!A:E,5,FALSE))</f>
        <v>TE</v>
      </c>
    </row>
    <row r="666" ht="15.75" customHeight="1">
      <c r="A666" s="1">
        <v>2018.0</v>
      </c>
      <c r="B666" s="1" t="s">
        <v>16</v>
      </c>
      <c r="C666" s="1" t="s">
        <v>15</v>
      </c>
      <c r="D666" s="8">
        <v>12.0</v>
      </c>
      <c r="E666" s="8">
        <v>6.0</v>
      </c>
      <c r="F666" s="8">
        <v>64.0</v>
      </c>
      <c r="G666" s="1" t="s">
        <v>430</v>
      </c>
      <c r="H666" s="1" t="str">
        <f t="shared" si="1"/>
        <v>Cooper</v>
      </c>
      <c r="I666" s="1" t="str">
        <f t="shared" si="2"/>
        <v>Kupp</v>
      </c>
      <c r="J666" s="1" t="str">
        <f t="shared" si="3"/>
        <v>#N/A</v>
      </c>
      <c r="K666" s="1" t="str">
        <f>IFERROR(VLOOKUP($J666,Players!$D:$E,2,FALSE),VLOOKUP($G666,Players!A:E,5,FALSE))</f>
        <v>WR</v>
      </c>
    </row>
    <row r="667" ht="15.75" customHeight="1">
      <c r="A667" s="1">
        <v>2018.0</v>
      </c>
      <c r="B667" s="1" t="s">
        <v>16</v>
      </c>
      <c r="C667" s="1" t="s">
        <v>15</v>
      </c>
      <c r="D667" s="8">
        <v>12.0</v>
      </c>
      <c r="E667" s="8">
        <v>7.0</v>
      </c>
      <c r="F667" s="8">
        <v>81.0</v>
      </c>
      <c r="G667" s="1" t="s">
        <v>318</v>
      </c>
      <c r="H667" s="1" t="str">
        <f t="shared" si="1"/>
        <v>Will</v>
      </c>
      <c r="I667" s="1" t="str">
        <f t="shared" si="2"/>
        <v>Fuller V</v>
      </c>
      <c r="J667" s="1" t="str">
        <f t="shared" si="3"/>
        <v>#N/A</v>
      </c>
      <c r="K667" s="1" t="str">
        <f>IFERROR(VLOOKUP($J667,Players!$D:$E,2,FALSE),VLOOKUP($G667,Players!A:E,5,FALSE))</f>
        <v>#N/A</v>
      </c>
    </row>
    <row r="668" ht="15.75" customHeight="1">
      <c r="A668" s="1">
        <v>2018.0</v>
      </c>
      <c r="B668" s="1" t="s">
        <v>16</v>
      </c>
      <c r="C668" s="1" t="s">
        <v>15</v>
      </c>
      <c r="D668" s="8">
        <v>12.0</v>
      </c>
      <c r="E668" s="8">
        <v>8.0</v>
      </c>
      <c r="F668" s="8">
        <v>88.0</v>
      </c>
      <c r="G668" s="1" t="s">
        <v>146</v>
      </c>
      <c r="H668" s="1" t="str">
        <f t="shared" si="1"/>
        <v>Sony</v>
      </c>
      <c r="I668" s="1" t="str">
        <f t="shared" si="2"/>
        <v>Michel</v>
      </c>
      <c r="J668" s="1" t="str">
        <f t="shared" si="3"/>
        <v>#N/A</v>
      </c>
      <c r="K668" s="1" t="str">
        <f>IFERROR(VLOOKUP($J668,Players!$D:$E,2,FALSE),VLOOKUP($G668,Players!A:E,5,FALSE))</f>
        <v>RB</v>
      </c>
    </row>
    <row r="669" ht="15.75" customHeight="1">
      <c r="A669" s="1">
        <v>2018.0</v>
      </c>
      <c r="B669" s="1" t="s">
        <v>16</v>
      </c>
      <c r="C669" s="1" t="s">
        <v>15</v>
      </c>
      <c r="D669" s="8">
        <v>12.0</v>
      </c>
      <c r="E669" s="8">
        <v>9.0</v>
      </c>
      <c r="F669" s="8">
        <v>105.0</v>
      </c>
      <c r="G669" s="1" t="s">
        <v>1416</v>
      </c>
      <c r="H669" s="1" t="str">
        <f t="shared" si="1"/>
        <v>#VALUE!</v>
      </c>
      <c r="I669" s="1" t="str">
        <f t="shared" si="2"/>
        <v>#VALUE!</v>
      </c>
      <c r="J669" s="1" t="str">
        <f t="shared" si="3"/>
        <v>#N/A</v>
      </c>
      <c r="K669" s="1" t="str">
        <f>IFERROR(VLOOKUP($J669,Players!$D:$E,2,FALSE),VLOOKUP($G669,Players!A:E,5,FALSE))</f>
        <v>DEF</v>
      </c>
    </row>
    <row r="670" ht="15.75" customHeight="1">
      <c r="A670" s="1">
        <v>2018.0</v>
      </c>
      <c r="B670" s="1" t="s">
        <v>16</v>
      </c>
      <c r="C670" s="1" t="s">
        <v>15</v>
      </c>
      <c r="D670" s="8">
        <v>12.0</v>
      </c>
      <c r="E670" s="8">
        <v>10.0</v>
      </c>
      <c r="F670" s="8">
        <v>112.0</v>
      </c>
      <c r="G670" s="1" t="s">
        <v>320</v>
      </c>
      <c r="H670" s="1" t="str">
        <f t="shared" si="1"/>
        <v>Mike</v>
      </c>
      <c r="I670" s="1" t="str">
        <f t="shared" si="2"/>
        <v>Williams</v>
      </c>
      <c r="J670" s="1" t="str">
        <f t="shared" si="3"/>
        <v>#N/A</v>
      </c>
      <c r="K670" s="1" t="str">
        <f>IFERROR(VLOOKUP($J670,Players!$D:$E,2,FALSE),VLOOKUP($G670,Players!A:E,5,FALSE))</f>
        <v>WR</v>
      </c>
    </row>
    <row r="671" ht="15.75" customHeight="1">
      <c r="A671" s="1">
        <v>2018.0</v>
      </c>
      <c r="B671" s="1" t="s">
        <v>16</v>
      </c>
      <c r="C671" s="1" t="s">
        <v>15</v>
      </c>
      <c r="D671" s="8">
        <v>12.0</v>
      </c>
      <c r="E671" s="8">
        <v>11.0</v>
      </c>
      <c r="F671" s="8">
        <v>129.0</v>
      </c>
      <c r="G671" s="1" t="s">
        <v>167</v>
      </c>
      <c r="H671" s="1" t="str">
        <f t="shared" si="1"/>
        <v>Aaron</v>
      </c>
      <c r="I671" s="1" t="str">
        <f t="shared" si="2"/>
        <v>Jones</v>
      </c>
      <c r="J671" s="1" t="str">
        <f t="shared" si="3"/>
        <v>#N/A</v>
      </c>
      <c r="K671" s="1" t="str">
        <f>IFERROR(VLOOKUP($J671,Players!$D:$E,2,FALSE),VLOOKUP($G671,Players!A:E,5,FALSE))</f>
        <v>RB</v>
      </c>
    </row>
    <row r="672" ht="15.75" customHeight="1">
      <c r="A672" s="1">
        <v>2018.0</v>
      </c>
      <c r="B672" s="1" t="s">
        <v>16</v>
      </c>
      <c r="C672" s="1" t="s">
        <v>15</v>
      </c>
      <c r="D672" s="8">
        <v>12.0</v>
      </c>
      <c r="E672" s="8">
        <v>12.0</v>
      </c>
      <c r="F672" s="8">
        <v>136.0</v>
      </c>
      <c r="G672" s="1" t="s">
        <v>770</v>
      </c>
      <c r="H672" s="1" t="str">
        <f t="shared" si="1"/>
        <v>Chris</v>
      </c>
      <c r="I672" s="1" t="str">
        <f t="shared" si="2"/>
        <v>Boswell</v>
      </c>
      <c r="J672" s="1" t="str">
        <f t="shared" si="3"/>
        <v>#N/A</v>
      </c>
      <c r="K672" s="1" t="str">
        <f>IFERROR(VLOOKUP($J672,Players!$D:$E,2,FALSE),VLOOKUP($G672,Players!A:E,5,FALSE))</f>
        <v>K</v>
      </c>
    </row>
    <row r="673" ht="15.75" customHeight="1">
      <c r="A673" s="1">
        <v>2018.0</v>
      </c>
      <c r="B673" s="1" t="s">
        <v>16</v>
      </c>
      <c r="C673" s="1" t="s">
        <v>15</v>
      </c>
      <c r="D673" s="8">
        <v>12.0</v>
      </c>
      <c r="E673" s="8">
        <v>13.0</v>
      </c>
      <c r="F673" s="8">
        <v>153.0</v>
      </c>
      <c r="G673" s="1" t="s">
        <v>130</v>
      </c>
      <c r="H673" s="1" t="str">
        <f t="shared" si="1"/>
        <v>Kenny</v>
      </c>
      <c r="I673" s="1" t="str">
        <f t="shared" si="2"/>
        <v>Golladay</v>
      </c>
      <c r="J673" s="1" t="str">
        <f t="shared" si="3"/>
        <v>#N/A</v>
      </c>
      <c r="K673" s="1" t="str">
        <f>IFERROR(VLOOKUP($J673,Players!$D:$E,2,FALSE),VLOOKUP($G673,Players!A:E,5,FALSE))</f>
        <v>WR</v>
      </c>
    </row>
    <row r="674" ht="15.75" customHeight="1">
      <c r="A674" s="1">
        <v>2018.0</v>
      </c>
      <c r="B674" s="1" t="s">
        <v>16</v>
      </c>
      <c r="C674" s="1" t="s">
        <v>15</v>
      </c>
      <c r="D674" s="8">
        <v>12.0</v>
      </c>
      <c r="E674" s="8">
        <v>14.0</v>
      </c>
      <c r="F674" s="8">
        <v>160.0</v>
      </c>
      <c r="G674" s="1" t="s">
        <v>1082</v>
      </c>
      <c r="H674" s="1" t="str">
        <f t="shared" si="1"/>
        <v>Derek</v>
      </c>
      <c r="I674" s="1" t="str">
        <f t="shared" si="2"/>
        <v>Carr</v>
      </c>
      <c r="J674" s="1" t="str">
        <f t="shared" si="3"/>
        <v>#N/A</v>
      </c>
      <c r="K674" s="1" t="str">
        <f>IFERROR(VLOOKUP($J674,Players!$D:$E,2,FALSE),VLOOKUP($G674,Players!A:E,5,FALSE))</f>
        <v>QB</v>
      </c>
    </row>
    <row r="675" ht="15.75" customHeight="1">
      <c r="A675" s="1">
        <v>2018.0</v>
      </c>
      <c r="B675" s="1" t="s">
        <v>16</v>
      </c>
      <c r="C675" s="1" t="s">
        <v>15</v>
      </c>
      <c r="D675" s="8">
        <v>12.0</v>
      </c>
      <c r="E675" s="8">
        <v>15.0</v>
      </c>
      <c r="F675" s="8">
        <v>177.0</v>
      </c>
      <c r="G675" s="1" t="s">
        <v>1427</v>
      </c>
      <c r="H675" s="1" t="str">
        <f t="shared" si="1"/>
        <v>John</v>
      </c>
      <c r="I675" s="1" t="str">
        <f t="shared" si="2"/>
        <v>Ross III</v>
      </c>
      <c r="J675" s="1" t="str">
        <f t="shared" si="3"/>
        <v>#N/A</v>
      </c>
      <c r="K675" s="1" t="str">
        <f>IFERROR(VLOOKUP($J675,Players!$D:$E,2,FALSE),VLOOKUP($G675,Players!A:E,5,FALSE))</f>
        <v>#N/A</v>
      </c>
    </row>
    <row r="676" ht="15.75" customHeight="1">
      <c r="A676" s="1">
        <v>2018.0</v>
      </c>
      <c r="B676" s="1" t="s">
        <v>59</v>
      </c>
      <c r="C676" s="1" t="s">
        <v>10</v>
      </c>
      <c r="D676" s="8">
        <v>4.0</v>
      </c>
      <c r="E676" s="8">
        <v>1.0</v>
      </c>
      <c r="F676" s="8">
        <v>7.0</v>
      </c>
      <c r="G676" s="1" t="s">
        <v>342</v>
      </c>
      <c r="H676" s="1" t="str">
        <f t="shared" si="1"/>
        <v>Saquon</v>
      </c>
      <c r="I676" s="1" t="str">
        <f t="shared" si="2"/>
        <v>Barkley</v>
      </c>
      <c r="J676" s="1" t="str">
        <f t="shared" si="3"/>
        <v>#N/A</v>
      </c>
      <c r="K676" s="1" t="str">
        <f>IFERROR(VLOOKUP($J676,Players!$D:$E,2,FALSE),VLOOKUP($G676,Players!A:E,5,FALSE))</f>
        <v>RB</v>
      </c>
    </row>
    <row r="677" ht="15.75" customHeight="1">
      <c r="A677" s="1">
        <v>2018.0</v>
      </c>
      <c r="B677" s="1" t="s">
        <v>59</v>
      </c>
      <c r="C677" s="1" t="s">
        <v>10</v>
      </c>
      <c r="D677" s="8">
        <v>4.0</v>
      </c>
      <c r="E677" s="8">
        <v>2.0</v>
      </c>
      <c r="F677" s="8">
        <v>18.0</v>
      </c>
      <c r="G677" s="1" t="s">
        <v>270</v>
      </c>
      <c r="H677" s="1" t="str">
        <f t="shared" si="1"/>
        <v>Michael</v>
      </c>
      <c r="I677" s="1" t="str">
        <f t="shared" si="2"/>
        <v>Thomas</v>
      </c>
      <c r="J677" s="1" t="str">
        <f t="shared" si="3"/>
        <v>#N/A</v>
      </c>
      <c r="K677" s="1" t="str">
        <f>IFERROR(VLOOKUP($J677,Players!$D:$E,2,FALSE),VLOOKUP($G677,Players!A:E,5,FALSE))</f>
        <v>WR</v>
      </c>
    </row>
    <row r="678" ht="15.75" customHeight="1">
      <c r="A678" s="1">
        <v>2018.0</v>
      </c>
      <c r="B678" s="1" t="s">
        <v>59</v>
      </c>
      <c r="C678" s="1" t="s">
        <v>10</v>
      </c>
      <c r="D678" s="8">
        <v>4.0</v>
      </c>
      <c r="E678" s="8">
        <v>3.0</v>
      </c>
      <c r="F678" s="8">
        <v>31.0</v>
      </c>
      <c r="G678" s="1" t="s">
        <v>94</v>
      </c>
      <c r="H678" s="1" t="str">
        <f t="shared" si="1"/>
        <v>Joe</v>
      </c>
      <c r="I678" s="1" t="str">
        <f t="shared" si="2"/>
        <v>Mixon</v>
      </c>
      <c r="J678" s="1" t="str">
        <f t="shared" si="3"/>
        <v>#N/A</v>
      </c>
      <c r="K678" s="1" t="str">
        <f>IFERROR(VLOOKUP($J678,Players!$D:$E,2,FALSE),VLOOKUP($G678,Players!A:E,5,FALSE))</f>
        <v>RB</v>
      </c>
    </row>
    <row r="679" ht="15.75" customHeight="1">
      <c r="A679" s="1">
        <v>2018.0</v>
      </c>
      <c r="B679" s="1" t="s">
        <v>59</v>
      </c>
      <c r="C679" s="1" t="s">
        <v>10</v>
      </c>
      <c r="D679" s="8">
        <v>4.0</v>
      </c>
      <c r="E679" s="8">
        <v>4.0</v>
      </c>
      <c r="F679" s="8">
        <v>42.0</v>
      </c>
      <c r="G679" s="1" t="s">
        <v>422</v>
      </c>
      <c r="H679" s="1" t="str">
        <f t="shared" si="1"/>
        <v>Stefon</v>
      </c>
      <c r="I679" s="1" t="str">
        <f t="shared" si="2"/>
        <v>Diggs</v>
      </c>
      <c r="J679" s="1" t="str">
        <f t="shared" si="3"/>
        <v>#N/A</v>
      </c>
      <c r="K679" s="1" t="str">
        <f>IFERROR(VLOOKUP($J679,Players!$D:$E,2,FALSE),VLOOKUP($G679,Players!A:E,5,FALSE))</f>
        <v>WR</v>
      </c>
    </row>
    <row r="680" ht="15.75" customHeight="1">
      <c r="A680" s="1">
        <v>2018.0</v>
      </c>
      <c r="B680" s="1" t="s">
        <v>59</v>
      </c>
      <c r="C680" s="1" t="s">
        <v>10</v>
      </c>
      <c r="D680" s="8">
        <v>4.0</v>
      </c>
      <c r="E680" s="8">
        <v>5.0</v>
      </c>
      <c r="F680" s="8">
        <v>55.0</v>
      </c>
      <c r="G680" s="1" t="s">
        <v>965</v>
      </c>
      <c r="H680" s="1" t="str">
        <f t="shared" si="1"/>
        <v>Josh</v>
      </c>
      <c r="I680" s="1" t="str">
        <f t="shared" si="2"/>
        <v>Gordon</v>
      </c>
      <c r="J680" s="1" t="str">
        <f t="shared" si="3"/>
        <v>#N/A</v>
      </c>
      <c r="K680" s="1" t="str">
        <f>IFERROR(VLOOKUP($J680,Players!$D:$E,2,FALSE),VLOOKUP($G680,Players!A:E,5,FALSE))</f>
        <v>WR</v>
      </c>
    </row>
    <row r="681" ht="15.75" customHeight="1">
      <c r="A681" s="1">
        <v>2018.0</v>
      </c>
      <c r="B681" s="1" t="s">
        <v>59</v>
      </c>
      <c r="C681" s="1" t="s">
        <v>10</v>
      </c>
      <c r="D681" s="8">
        <v>4.0</v>
      </c>
      <c r="E681" s="8">
        <v>6.0</v>
      </c>
      <c r="F681" s="8">
        <v>66.0</v>
      </c>
      <c r="G681" s="1" t="s">
        <v>714</v>
      </c>
      <c r="H681" s="1" t="str">
        <f t="shared" si="1"/>
        <v>Drew</v>
      </c>
      <c r="I681" s="1" t="str">
        <f t="shared" si="2"/>
        <v>Brees</v>
      </c>
      <c r="J681" s="1" t="str">
        <f t="shared" si="3"/>
        <v>#N/A</v>
      </c>
      <c r="K681" s="1" t="str">
        <f>IFERROR(VLOOKUP($J681,Players!$D:$E,2,FALSE),VLOOKUP($G681,Players!A:E,5,FALSE))</f>
        <v>QB</v>
      </c>
    </row>
    <row r="682" ht="15.75" customHeight="1">
      <c r="A682" s="1">
        <v>2018.0</v>
      </c>
      <c r="B682" s="1" t="s">
        <v>59</v>
      </c>
      <c r="C682" s="1" t="s">
        <v>10</v>
      </c>
      <c r="D682" s="8">
        <v>4.0</v>
      </c>
      <c r="E682" s="8">
        <v>7.0</v>
      </c>
      <c r="F682" s="8">
        <v>79.0</v>
      </c>
      <c r="G682" s="1" t="s">
        <v>273</v>
      </c>
      <c r="H682" s="1" t="str">
        <f t="shared" si="1"/>
        <v>Corey</v>
      </c>
      <c r="I682" s="1" t="str">
        <f t="shared" si="2"/>
        <v>Davis</v>
      </c>
      <c r="J682" s="1" t="str">
        <f t="shared" si="3"/>
        <v>#N/A</v>
      </c>
      <c r="K682" s="1" t="str">
        <f>IFERROR(VLOOKUP($J682,Players!$D:$E,2,FALSE),VLOOKUP($G682,Players!A:E,5,FALSE))</f>
        <v>WR</v>
      </c>
    </row>
    <row r="683" ht="15.75" customHeight="1">
      <c r="A683" s="1">
        <v>2018.0</v>
      </c>
      <c r="B683" s="1" t="s">
        <v>59</v>
      </c>
      <c r="C683" s="1" t="s">
        <v>10</v>
      </c>
      <c r="D683" s="8">
        <v>4.0</v>
      </c>
      <c r="E683" s="8">
        <v>8.0</v>
      </c>
      <c r="F683" s="8">
        <v>90.0</v>
      </c>
      <c r="G683" s="1" t="s">
        <v>1443</v>
      </c>
      <c r="H683" s="1" t="str">
        <f t="shared" si="1"/>
        <v>Jordan</v>
      </c>
      <c r="I683" s="1" t="str">
        <f t="shared" si="2"/>
        <v>Reed</v>
      </c>
      <c r="J683" s="1" t="str">
        <f t="shared" si="3"/>
        <v>#N/A</v>
      </c>
      <c r="K683" s="1" t="str">
        <f>IFERROR(VLOOKUP($J683,Players!$D:$E,2,FALSE),VLOOKUP($G683,Players!A:E,5,FALSE))</f>
        <v>TE</v>
      </c>
    </row>
    <row r="684" ht="15.75" customHeight="1">
      <c r="A684" s="1">
        <v>2018.0</v>
      </c>
      <c r="B684" s="1" t="s">
        <v>59</v>
      </c>
      <c r="C684" s="1" t="s">
        <v>10</v>
      </c>
      <c r="D684" s="8">
        <v>4.0</v>
      </c>
      <c r="E684" s="8">
        <v>9.0</v>
      </c>
      <c r="F684" s="8">
        <v>103.0</v>
      </c>
      <c r="G684" s="1" t="s">
        <v>481</v>
      </c>
      <c r="H684" s="1" t="str">
        <f t="shared" si="1"/>
        <v>Carson</v>
      </c>
      <c r="I684" s="1" t="str">
        <f t="shared" si="2"/>
        <v>Wentz</v>
      </c>
      <c r="J684" s="1" t="str">
        <f t="shared" si="3"/>
        <v>#N/A</v>
      </c>
      <c r="K684" s="1" t="str">
        <f>IFERROR(VLOOKUP($J684,Players!$D:$E,2,FALSE),VLOOKUP($G684,Players!A:E,5,FALSE))</f>
        <v>QB</v>
      </c>
    </row>
    <row r="685" ht="15.75" customHeight="1">
      <c r="A685" s="1">
        <v>2018.0</v>
      </c>
      <c r="B685" s="1" t="s">
        <v>59</v>
      </c>
      <c r="C685" s="1" t="s">
        <v>10</v>
      </c>
      <c r="D685" s="8">
        <v>4.0</v>
      </c>
      <c r="E685" s="8">
        <v>10.0</v>
      </c>
      <c r="F685" s="8">
        <v>114.0</v>
      </c>
      <c r="G685" s="1" t="s">
        <v>197</v>
      </c>
      <c r="H685" s="1" t="str">
        <f t="shared" si="1"/>
        <v>Adrian</v>
      </c>
      <c r="I685" s="1" t="str">
        <f t="shared" si="2"/>
        <v>Peterson</v>
      </c>
      <c r="J685" s="1" t="str">
        <f t="shared" si="3"/>
        <v>#N/A</v>
      </c>
      <c r="K685" s="1" t="str">
        <f>IFERROR(VLOOKUP($J685,Players!$D:$E,2,FALSE),VLOOKUP($G685,Players!A:E,5,FALSE))</f>
        <v>RB</v>
      </c>
    </row>
    <row r="686" ht="15.75" customHeight="1">
      <c r="A686" s="1">
        <v>2018.0</v>
      </c>
      <c r="B686" s="1" t="s">
        <v>59</v>
      </c>
      <c r="C686" s="1" t="s">
        <v>10</v>
      </c>
      <c r="D686" s="8">
        <v>4.0</v>
      </c>
      <c r="E686" s="8">
        <v>11.0</v>
      </c>
      <c r="F686" s="8">
        <v>127.0</v>
      </c>
      <c r="G686" s="1" t="s">
        <v>1137</v>
      </c>
      <c r="H686" s="1" t="str">
        <f t="shared" si="1"/>
        <v>Giovani</v>
      </c>
      <c r="I686" s="1" t="str">
        <f t="shared" si="2"/>
        <v>Bernard</v>
      </c>
      <c r="J686" s="1" t="str">
        <f t="shared" si="3"/>
        <v>#N/A</v>
      </c>
      <c r="K686" s="1" t="str">
        <f>IFERROR(VLOOKUP($J686,Players!$D:$E,2,FALSE),VLOOKUP($G686,Players!A:E,5,FALSE))</f>
        <v>RB</v>
      </c>
    </row>
    <row r="687" ht="15.75" customHeight="1">
      <c r="A687" s="1">
        <v>2018.0</v>
      </c>
      <c r="B687" s="1" t="s">
        <v>59</v>
      </c>
      <c r="C687" s="1" t="s">
        <v>10</v>
      </c>
      <c r="D687" s="8">
        <v>4.0</v>
      </c>
      <c r="E687" s="8">
        <v>12.0</v>
      </c>
      <c r="F687" s="8">
        <v>138.0</v>
      </c>
      <c r="G687" s="1" t="s">
        <v>662</v>
      </c>
      <c r="H687" s="1" t="str">
        <f t="shared" si="1"/>
        <v>New</v>
      </c>
      <c r="I687" s="1" t="str">
        <f t="shared" si="2"/>
        <v>Orleans</v>
      </c>
      <c r="J687" s="1" t="str">
        <f t="shared" si="3"/>
        <v>#N/A</v>
      </c>
      <c r="K687" s="1" t="str">
        <f>IFERROR(VLOOKUP($J687,Players!$D:$E,2,FALSE),VLOOKUP($G687,Players!A:E,5,FALSE))</f>
        <v>DEF</v>
      </c>
    </row>
    <row r="688" ht="15.75" customHeight="1">
      <c r="A688" s="1">
        <v>2018.0</v>
      </c>
      <c r="B688" s="1" t="s">
        <v>59</v>
      </c>
      <c r="C688" s="1" t="s">
        <v>10</v>
      </c>
      <c r="D688" s="8">
        <v>4.0</v>
      </c>
      <c r="E688" s="8">
        <v>13.0</v>
      </c>
      <c r="F688" s="8">
        <v>151.0</v>
      </c>
      <c r="G688" s="1" t="s">
        <v>312</v>
      </c>
      <c r="H688" s="1" t="str">
        <f t="shared" si="1"/>
        <v>Ronald</v>
      </c>
      <c r="I688" s="1" t="str">
        <f t="shared" si="2"/>
        <v>Jones II</v>
      </c>
      <c r="J688" s="1" t="str">
        <f t="shared" si="3"/>
        <v>#N/A</v>
      </c>
      <c r="K688" s="1" t="str">
        <f>IFERROR(VLOOKUP($J688,Players!$D:$E,2,FALSE),VLOOKUP($G688,Players!A:E,5,FALSE))</f>
        <v>#N/A</v>
      </c>
    </row>
    <row r="689" ht="15.75" customHeight="1">
      <c r="A689" s="1">
        <v>2018.0</v>
      </c>
      <c r="B689" s="1" t="s">
        <v>59</v>
      </c>
      <c r="C689" s="1" t="s">
        <v>10</v>
      </c>
      <c r="D689" s="8">
        <v>4.0</v>
      </c>
      <c r="E689" s="8">
        <v>14.0</v>
      </c>
      <c r="F689" s="8">
        <v>162.0</v>
      </c>
      <c r="G689" s="1" t="s">
        <v>665</v>
      </c>
      <c r="H689" s="1" t="str">
        <f t="shared" si="1"/>
        <v>Wil</v>
      </c>
      <c r="I689" s="1" t="str">
        <f t="shared" si="2"/>
        <v>Lutz</v>
      </c>
      <c r="J689" s="1" t="str">
        <f t="shared" si="3"/>
        <v>#N/A</v>
      </c>
      <c r="K689" s="1" t="str">
        <f>IFERROR(VLOOKUP($J689,Players!$D:$E,2,FALSE),VLOOKUP($G689,Players!A:E,5,FALSE))</f>
        <v>K</v>
      </c>
    </row>
    <row r="690" ht="15.75" customHeight="1">
      <c r="A690" s="1">
        <v>2018.0</v>
      </c>
      <c r="B690" s="1" t="s">
        <v>59</v>
      </c>
      <c r="C690" s="1" t="s">
        <v>10</v>
      </c>
      <c r="D690" s="8">
        <v>4.0</v>
      </c>
      <c r="E690" s="8">
        <v>15.0</v>
      </c>
      <c r="F690" s="8">
        <v>175.0</v>
      </c>
      <c r="G690" s="1" t="s">
        <v>1458</v>
      </c>
      <c r="H690" s="1" t="str">
        <f t="shared" si="1"/>
        <v>Mike</v>
      </c>
      <c r="I690" s="1" t="str">
        <f t="shared" si="2"/>
        <v>Gesicki</v>
      </c>
      <c r="J690" s="1" t="str">
        <f t="shared" si="3"/>
        <v>#N/A</v>
      </c>
      <c r="K690" s="1" t="str">
        <f>IFERROR(VLOOKUP($J690,Players!$D:$E,2,FALSE),VLOOKUP($G690,Players!A:E,5,FALSE))</f>
        <v>#N/A</v>
      </c>
    </row>
    <row r="691" ht="15.75" customHeight="1">
      <c r="A691" s="1">
        <v>2018.0</v>
      </c>
      <c r="B691" s="1" t="s">
        <v>41</v>
      </c>
      <c r="C691" s="1" t="s">
        <v>26</v>
      </c>
      <c r="D691" s="8">
        <v>10.0</v>
      </c>
      <c r="E691" s="8">
        <v>1.0</v>
      </c>
      <c r="F691" s="8">
        <v>2.0</v>
      </c>
      <c r="G691" s="1" t="s">
        <v>788</v>
      </c>
      <c r="H691" s="1" t="str">
        <f t="shared" si="1"/>
        <v>Le'Veon</v>
      </c>
      <c r="I691" s="1" t="str">
        <f t="shared" si="2"/>
        <v>Bell</v>
      </c>
      <c r="J691" s="1" t="str">
        <f t="shared" si="3"/>
        <v>#N/A</v>
      </c>
      <c r="K691" s="1" t="str">
        <f>IFERROR(VLOOKUP($J691,Players!$D:$E,2,FALSE),VLOOKUP($G691,Players!A:E,5,FALSE))</f>
        <v>RB</v>
      </c>
    </row>
    <row r="692" ht="15.75" customHeight="1">
      <c r="A692" s="1">
        <v>2018.0</v>
      </c>
      <c r="B692" s="1" t="s">
        <v>41</v>
      </c>
      <c r="C692" s="1" t="s">
        <v>26</v>
      </c>
      <c r="D692" s="8">
        <v>10.0</v>
      </c>
      <c r="E692" s="8">
        <v>2.0</v>
      </c>
      <c r="F692" s="8">
        <v>23.0</v>
      </c>
      <c r="G692" s="1" t="s">
        <v>391</v>
      </c>
      <c r="H692" s="1" t="str">
        <f t="shared" si="1"/>
        <v>Mike</v>
      </c>
      <c r="I692" s="1" t="str">
        <f t="shared" si="2"/>
        <v>Evans</v>
      </c>
      <c r="J692" s="1" t="str">
        <f t="shared" si="3"/>
        <v>#N/A</v>
      </c>
      <c r="K692" s="1" t="str">
        <f>IFERROR(VLOOKUP($J692,Players!$D:$E,2,FALSE),VLOOKUP($G692,Players!A:E,5,FALSE))</f>
        <v>WR</v>
      </c>
    </row>
    <row r="693" ht="15.75" customHeight="1">
      <c r="A693" s="1">
        <v>2018.0</v>
      </c>
      <c r="B693" s="1" t="s">
        <v>41</v>
      </c>
      <c r="C693" s="1" t="s">
        <v>26</v>
      </c>
      <c r="D693" s="8">
        <v>10.0</v>
      </c>
      <c r="E693" s="8">
        <v>3.0</v>
      </c>
      <c r="F693" s="8">
        <v>26.0</v>
      </c>
      <c r="G693" s="1" t="s">
        <v>822</v>
      </c>
      <c r="H693" s="1" t="str">
        <f t="shared" si="1"/>
        <v>TY</v>
      </c>
      <c r="I693" s="1" t="str">
        <f t="shared" si="2"/>
        <v>Hilton</v>
      </c>
      <c r="J693" s="1" t="str">
        <f t="shared" si="3"/>
        <v>#N/A</v>
      </c>
      <c r="K693" s="1" t="str">
        <f>IFERROR(VLOOKUP($J693,Players!$D:$E,2,FALSE),VLOOKUP($G693,Players!A:E,5,FALSE))</f>
        <v>WR</v>
      </c>
    </row>
    <row r="694" ht="15.75" customHeight="1">
      <c r="A694" s="1">
        <v>2018.0</v>
      </c>
      <c r="B694" s="1" t="s">
        <v>41</v>
      </c>
      <c r="C694" s="1" t="s">
        <v>26</v>
      </c>
      <c r="D694" s="8">
        <v>10.0</v>
      </c>
      <c r="E694" s="8">
        <v>4.0</v>
      </c>
      <c r="F694" s="8">
        <v>47.0</v>
      </c>
      <c r="G694" s="1" t="s">
        <v>1465</v>
      </c>
      <c r="H694" s="1" t="str">
        <f t="shared" si="1"/>
        <v>Lamar</v>
      </c>
      <c r="I694" s="1" t="str">
        <f t="shared" si="2"/>
        <v>Miller</v>
      </c>
      <c r="J694" s="1" t="str">
        <f t="shared" si="3"/>
        <v>#N/A</v>
      </c>
      <c r="K694" s="1" t="str">
        <f>IFERROR(VLOOKUP($J694,Players!$D:$E,2,FALSE),VLOOKUP($G694,Players!A:E,5,FALSE))</f>
        <v>RB</v>
      </c>
    </row>
    <row r="695" ht="15.75" customHeight="1">
      <c r="A695" s="1">
        <v>2018.0</v>
      </c>
      <c r="B695" s="1" t="s">
        <v>41</v>
      </c>
      <c r="C695" s="1" t="s">
        <v>26</v>
      </c>
      <c r="D695" s="8">
        <v>10.0</v>
      </c>
      <c r="E695" s="8">
        <v>5.0</v>
      </c>
      <c r="F695" s="8">
        <v>50.0</v>
      </c>
      <c r="G695" s="1" t="s">
        <v>1467</v>
      </c>
      <c r="H695" s="1" t="str">
        <f t="shared" si="1"/>
        <v>Jimmy</v>
      </c>
      <c r="I695" s="1" t="str">
        <f t="shared" si="2"/>
        <v>Graham</v>
      </c>
      <c r="J695" s="1" t="str">
        <f t="shared" si="3"/>
        <v>#N/A</v>
      </c>
      <c r="K695" s="1" t="str">
        <f>IFERROR(VLOOKUP($J695,Players!$D:$E,2,FALSE),VLOOKUP($G695,Players!A:E,5,FALSE))</f>
        <v>TE</v>
      </c>
    </row>
    <row r="696" ht="15.75" customHeight="1">
      <c r="A696" s="1">
        <v>2018.0</v>
      </c>
      <c r="B696" s="1" t="s">
        <v>41</v>
      </c>
      <c r="C696" s="1" t="s">
        <v>26</v>
      </c>
      <c r="D696" s="8">
        <v>10.0</v>
      </c>
      <c r="E696" s="8">
        <v>6.0</v>
      </c>
      <c r="F696" s="8">
        <v>71.0</v>
      </c>
      <c r="G696" s="1" t="s">
        <v>299</v>
      </c>
      <c r="H696" s="1" t="str">
        <f t="shared" si="1"/>
        <v>Andrew</v>
      </c>
      <c r="I696" s="1" t="str">
        <f t="shared" si="2"/>
        <v>Luck</v>
      </c>
      <c r="J696" s="1" t="str">
        <f t="shared" si="3"/>
        <v>#N/A</v>
      </c>
      <c r="K696" s="1" t="str">
        <f>IFERROR(VLOOKUP($J696,Players!$D:$E,2,FALSE),VLOOKUP($G696,Players!A:E,5,FALSE))</f>
        <v>QB</v>
      </c>
    </row>
    <row r="697" ht="15.75" customHeight="1">
      <c r="A697" s="1">
        <v>2018.0</v>
      </c>
      <c r="B697" s="1" t="s">
        <v>41</v>
      </c>
      <c r="C697" s="1" t="s">
        <v>26</v>
      </c>
      <c r="D697" s="8">
        <v>10.0</v>
      </c>
      <c r="E697" s="8">
        <v>7.0</v>
      </c>
      <c r="F697" s="8">
        <v>74.0</v>
      </c>
      <c r="G697" s="1" t="s">
        <v>260</v>
      </c>
      <c r="H697" s="1" t="str">
        <f t="shared" si="1"/>
        <v>Alshon</v>
      </c>
      <c r="I697" s="1" t="str">
        <f t="shared" si="2"/>
        <v>Jeffery</v>
      </c>
      <c r="J697" s="1" t="str">
        <f t="shared" si="3"/>
        <v>#N/A</v>
      </c>
      <c r="K697" s="1" t="str">
        <f>IFERROR(VLOOKUP($J697,Players!$D:$E,2,FALSE),VLOOKUP($G697,Players!A:E,5,FALSE))</f>
        <v>WR</v>
      </c>
    </row>
    <row r="698" ht="15.75" customHeight="1">
      <c r="A698" s="1">
        <v>2018.0</v>
      </c>
      <c r="B698" s="1" t="s">
        <v>41</v>
      </c>
      <c r="C698" s="1" t="s">
        <v>26</v>
      </c>
      <c r="D698" s="8">
        <v>10.0</v>
      </c>
      <c r="E698" s="8">
        <v>8.0</v>
      </c>
      <c r="F698" s="8">
        <v>95.0</v>
      </c>
      <c r="G698" s="1" t="s">
        <v>1473</v>
      </c>
      <c r="H698" s="1" t="str">
        <f t="shared" si="1"/>
        <v>Isaiah</v>
      </c>
      <c r="I698" s="1" t="str">
        <f t="shared" si="2"/>
        <v>Crowell</v>
      </c>
      <c r="J698" s="1" t="str">
        <f t="shared" si="3"/>
        <v>#N/A</v>
      </c>
      <c r="K698" s="1" t="str">
        <f>IFERROR(VLOOKUP($J698,Players!$D:$E,2,FALSE),VLOOKUP($G698,Players!A:E,5,FALSE))</f>
        <v>RB</v>
      </c>
    </row>
    <row r="699" ht="15.75" customHeight="1">
      <c r="A699" s="1">
        <v>2018.0</v>
      </c>
      <c r="B699" s="1" t="s">
        <v>41</v>
      </c>
      <c r="C699" s="1" t="s">
        <v>26</v>
      </c>
      <c r="D699" s="8">
        <v>10.0</v>
      </c>
      <c r="E699" s="8">
        <v>9.0</v>
      </c>
      <c r="F699" s="8">
        <v>98.0</v>
      </c>
      <c r="G699" s="1" t="s">
        <v>573</v>
      </c>
      <c r="H699" s="1" t="str">
        <f t="shared" si="1"/>
        <v>#VALUE!</v>
      </c>
      <c r="I699" s="1" t="str">
        <f t="shared" si="2"/>
        <v>#VALUE!</v>
      </c>
      <c r="J699" s="1" t="str">
        <f t="shared" si="3"/>
        <v>#N/A</v>
      </c>
      <c r="K699" s="1" t="str">
        <f>IFERROR(VLOOKUP($J699,Players!$D:$E,2,FALSE),VLOOKUP($G699,Players!A:E,5,FALSE))</f>
        <v>DEF</v>
      </c>
    </row>
    <row r="700" ht="15.75" customHeight="1">
      <c r="A700" s="1">
        <v>2018.0</v>
      </c>
      <c r="B700" s="1" t="s">
        <v>41</v>
      </c>
      <c r="C700" s="1" t="s">
        <v>26</v>
      </c>
      <c r="D700" s="8">
        <v>10.0</v>
      </c>
      <c r="E700" s="8">
        <v>10.0</v>
      </c>
      <c r="F700" s="8">
        <v>119.0</v>
      </c>
      <c r="G700" s="1" t="s">
        <v>345</v>
      </c>
      <c r="H700" s="1" t="str">
        <f t="shared" si="1"/>
        <v>George</v>
      </c>
      <c r="I700" s="1" t="str">
        <f t="shared" si="2"/>
        <v>Kittle</v>
      </c>
      <c r="J700" s="1" t="str">
        <f t="shared" si="3"/>
        <v>#N/A</v>
      </c>
      <c r="K700" s="1" t="str">
        <f>IFERROR(VLOOKUP($J700,Players!$D:$E,2,FALSE),VLOOKUP($G700,Players!A:E,5,FALSE))</f>
        <v>TE</v>
      </c>
    </row>
    <row r="701" ht="15.75" customHeight="1">
      <c r="A701" s="1">
        <v>2018.0</v>
      </c>
      <c r="B701" s="1" t="s">
        <v>41</v>
      </c>
      <c r="C701" s="1" t="s">
        <v>26</v>
      </c>
      <c r="D701" s="8">
        <v>10.0</v>
      </c>
      <c r="E701" s="8">
        <v>11.0</v>
      </c>
      <c r="F701" s="8">
        <v>122.0</v>
      </c>
      <c r="G701" s="1" t="s">
        <v>1478</v>
      </c>
      <c r="H701" s="1" t="str">
        <f t="shared" si="1"/>
        <v>Rishard</v>
      </c>
      <c r="I701" s="1" t="str">
        <f t="shared" si="2"/>
        <v>Matthews</v>
      </c>
      <c r="J701" s="1" t="str">
        <f t="shared" si="3"/>
        <v>#N/A</v>
      </c>
      <c r="K701" s="1" t="str">
        <f>IFERROR(VLOOKUP($J701,Players!$D:$E,2,FALSE),VLOOKUP($G701,Players!A:E,5,FALSE))</f>
        <v>WR</v>
      </c>
    </row>
    <row r="702" ht="15.75" customHeight="1">
      <c r="A702" s="1">
        <v>2018.0</v>
      </c>
      <c r="B702" s="1" t="s">
        <v>41</v>
      </c>
      <c r="C702" s="1" t="s">
        <v>26</v>
      </c>
      <c r="D702" s="8">
        <v>10.0</v>
      </c>
      <c r="E702" s="8">
        <v>12.0</v>
      </c>
      <c r="F702" s="8">
        <v>143.0</v>
      </c>
      <c r="G702" s="1" t="s">
        <v>948</v>
      </c>
      <c r="H702" s="1" t="str">
        <f t="shared" si="1"/>
        <v>Jake</v>
      </c>
      <c r="I702" s="1" t="str">
        <f t="shared" si="2"/>
        <v>Elliott</v>
      </c>
      <c r="J702" s="1" t="str">
        <f t="shared" si="3"/>
        <v>#N/A</v>
      </c>
      <c r="K702" s="1" t="str">
        <f>IFERROR(VLOOKUP($J702,Players!$D:$E,2,FALSE),VLOOKUP($G702,Players!A:E,5,FALSE))</f>
        <v>K</v>
      </c>
    </row>
    <row r="703" ht="15.75" customHeight="1">
      <c r="A703" s="1">
        <v>2018.0</v>
      </c>
      <c r="B703" s="1" t="s">
        <v>41</v>
      </c>
      <c r="C703" s="1" t="s">
        <v>26</v>
      </c>
      <c r="D703" s="8">
        <v>10.0</v>
      </c>
      <c r="E703" s="8">
        <v>13.0</v>
      </c>
      <c r="F703" s="8">
        <v>146.0</v>
      </c>
      <c r="G703" s="1" t="s">
        <v>505</v>
      </c>
      <c r="H703" s="1" t="str">
        <f t="shared" si="1"/>
        <v>Jimmy</v>
      </c>
      <c r="I703" s="1" t="str">
        <f t="shared" si="2"/>
        <v>Garoppolo</v>
      </c>
      <c r="J703" s="1" t="str">
        <f t="shared" si="3"/>
        <v>#N/A</v>
      </c>
      <c r="K703" s="1" t="str">
        <f>IFERROR(VLOOKUP($J703,Players!$D:$E,2,FALSE),VLOOKUP($G703,Players!A:E,5,FALSE))</f>
        <v>QB</v>
      </c>
    </row>
    <row r="704" ht="15.75" customHeight="1">
      <c r="A704" s="1">
        <v>2018.0</v>
      </c>
      <c r="B704" s="1" t="s">
        <v>41</v>
      </c>
      <c r="C704" s="1" t="s">
        <v>26</v>
      </c>
      <c r="D704" s="8">
        <v>10.0</v>
      </c>
      <c r="E704" s="8">
        <v>14.0</v>
      </c>
      <c r="F704" s="8">
        <v>167.0</v>
      </c>
      <c r="G704" s="1" t="s">
        <v>250</v>
      </c>
      <c r="H704" s="1" t="str">
        <f t="shared" si="1"/>
        <v>Allen</v>
      </c>
      <c r="I704" s="1" t="str">
        <f t="shared" si="2"/>
        <v>Hurns</v>
      </c>
      <c r="J704" s="1" t="str">
        <f t="shared" si="3"/>
        <v>#N/A</v>
      </c>
      <c r="K704" s="1" t="str">
        <f>IFERROR(VLOOKUP($J704,Players!$D:$E,2,FALSE),VLOOKUP($G704,Players!A:E,5,FALSE))</f>
        <v>WR</v>
      </c>
    </row>
    <row r="705" ht="15.75" customHeight="1">
      <c r="A705" s="1">
        <v>2018.0</v>
      </c>
      <c r="B705" s="1" t="s">
        <v>41</v>
      </c>
      <c r="C705" s="1" t="s">
        <v>26</v>
      </c>
      <c r="D705" s="8">
        <v>10.0</v>
      </c>
      <c r="E705" s="8">
        <v>15.0</v>
      </c>
      <c r="F705" s="8">
        <v>170.0</v>
      </c>
      <c r="G705" s="1" t="s">
        <v>1487</v>
      </c>
      <c r="H705" s="1" t="str">
        <f t="shared" si="1"/>
        <v>Bilal</v>
      </c>
      <c r="I705" s="1" t="str">
        <f t="shared" si="2"/>
        <v>Powell</v>
      </c>
      <c r="J705" s="1" t="str">
        <f t="shared" si="3"/>
        <v>#N/A</v>
      </c>
      <c r="K705" s="1" t="str">
        <f>IFERROR(VLOOKUP($J705,Players!$D:$E,2,FALSE),VLOOKUP($G705,Players!A:E,5,FALSE))</f>
        <v>#N/A</v>
      </c>
    </row>
    <row r="706" ht="15.75" customHeight="1">
      <c r="A706" s="1">
        <v>2018.0</v>
      </c>
      <c r="B706" s="1" t="s">
        <v>36</v>
      </c>
      <c r="C706" s="1" t="s">
        <v>17</v>
      </c>
      <c r="D706" s="8">
        <v>2.0</v>
      </c>
      <c r="E706" s="8">
        <v>1.0</v>
      </c>
      <c r="F706" s="8">
        <v>1.0</v>
      </c>
      <c r="G706" s="1" t="s">
        <v>760</v>
      </c>
      <c r="H706" s="1" t="str">
        <f t="shared" si="1"/>
        <v>Todd</v>
      </c>
      <c r="I706" s="1" t="str">
        <f t="shared" si="2"/>
        <v>Gurley II</v>
      </c>
      <c r="J706" s="1" t="str">
        <f t="shared" si="3"/>
        <v>#N/A</v>
      </c>
      <c r="K706" s="1" t="str">
        <f>IFERROR(VLOOKUP($J706,Players!$D:$E,2,FALSE),VLOOKUP($G706,Players!A:E,5,FALSE))</f>
        <v>#N/A</v>
      </c>
    </row>
    <row r="707" ht="15.75" customHeight="1">
      <c r="A707" s="1">
        <v>2018.0</v>
      </c>
      <c r="B707" s="1" t="s">
        <v>36</v>
      </c>
      <c r="C707" s="1" t="s">
        <v>17</v>
      </c>
      <c r="D707" s="8">
        <v>2.0</v>
      </c>
      <c r="E707" s="8">
        <v>2.0</v>
      </c>
      <c r="F707" s="8">
        <v>24.0</v>
      </c>
      <c r="G707" s="1" t="s">
        <v>176</v>
      </c>
      <c r="H707" s="1" t="str">
        <f t="shared" si="1"/>
        <v>Aaron</v>
      </c>
      <c r="I707" s="1" t="str">
        <f t="shared" si="2"/>
        <v>Rodgers</v>
      </c>
      <c r="J707" s="1" t="str">
        <f t="shared" si="3"/>
        <v>#N/A</v>
      </c>
      <c r="K707" s="1" t="str">
        <f>IFERROR(VLOOKUP($J707,Players!$D:$E,2,FALSE),VLOOKUP($G707,Players!A:E,5,FALSE))</f>
        <v>QB</v>
      </c>
    </row>
    <row r="708" ht="15.75" customHeight="1">
      <c r="A708" s="1">
        <v>2018.0</v>
      </c>
      <c r="B708" s="1" t="s">
        <v>36</v>
      </c>
      <c r="C708" s="1" t="s">
        <v>17</v>
      </c>
      <c r="D708" s="8">
        <v>2.0</v>
      </c>
      <c r="E708" s="8">
        <v>3.0</v>
      </c>
      <c r="F708" s="8">
        <v>25.0</v>
      </c>
      <c r="G708" s="1" t="s">
        <v>654</v>
      </c>
      <c r="H708" s="1" t="str">
        <f t="shared" si="1"/>
        <v>Rob</v>
      </c>
      <c r="I708" s="1" t="str">
        <f t="shared" si="2"/>
        <v>Gronkowski</v>
      </c>
      <c r="J708" s="1" t="str">
        <f t="shared" si="3"/>
        <v>#N/A</v>
      </c>
      <c r="K708" s="1" t="str">
        <f>IFERROR(VLOOKUP($J708,Players!$D:$E,2,FALSE),VLOOKUP($G708,Players!A:E,5,FALSE))</f>
        <v>TE</v>
      </c>
    </row>
    <row r="709" ht="15.75" customHeight="1">
      <c r="A709" s="1">
        <v>2018.0</v>
      </c>
      <c r="B709" s="1" t="s">
        <v>36</v>
      </c>
      <c r="C709" s="1" t="s">
        <v>17</v>
      </c>
      <c r="D709" s="8">
        <v>2.0</v>
      </c>
      <c r="E709" s="8">
        <v>4.0</v>
      </c>
      <c r="F709" s="8">
        <v>48.0</v>
      </c>
      <c r="G709" s="1" t="s">
        <v>95</v>
      </c>
      <c r="H709" s="1" t="str">
        <f t="shared" si="1"/>
        <v>Allen</v>
      </c>
      <c r="I709" s="1" t="str">
        <f t="shared" si="2"/>
        <v>Robinson II</v>
      </c>
      <c r="J709" s="1" t="str">
        <f t="shared" si="3"/>
        <v>#N/A</v>
      </c>
      <c r="K709" s="1" t="str">
        <f>IFERROR(VLOOKUP($J709,Players!$D:$E,2,FALSE),VLOOKUP($G709,Players!A:E,5,FALSE))</f>
        <v>#N/A</v>
      </c>
    </row>
    <row r="710" ht="15.75" customHeight="1">
      <c r="A710" s="1">
        <v>2018.0</v>
      </c>
      <c r="B710" s="1" t="s">
        <v>36</v>
      </c>
      <c r="C710" s="1" t="s">
        <v>17</v>
      </c>
      <c r="D710" s="8">
        <v>2.0</v>
      </c>
      <c r="E710" s="8">
        <v>5.0</v>
      </c>
      <c r="F710" s="8">
        <v>49.0</v>
      </c>
      <c r="G710" s="1" t="s">
        <v>1235</v>
      </c>
      <c r="H710" s="1" t="str">
        <f t="shared" si="1"/>
        <v>Doug</v>
      </c>
      <c r="I710" s="1" t="str">
        <f t="shared" si="2"/>
        <v>Baldwin</v>
      </c>
      <c r="J710" s="1" t="str">
        <f t="shared" si="3"/>
        <v>#N/A</v>
      </c>
      <c r="K710" s="1" t="str">
        <f>IFERROR(VLOOKUP($J710,Players!$D:$E,2,FALSE),VLOOKUP($G710,Players!A:E,5,FALSE))</f>
        <v>WR</v>
      </c>
    </row>
    <row r="711" ht="15.75" customHeight="1">
      <c r="A711" s="1">
        <v>2018.0</v>
      </c>
      <c r="B711" s="1" t="s">
        <v>36</v>
      </c>
      <c r="C711" s="1" t="s">
        <v>17</v>
      </c>
      <c r="D711" s="8">
        <v>2.0</v>
      </c>
      <c r="E711" s="8">
        <v>6.0</v>
      </c>
      <c r="F711" s="8">
        <v>72.0</v>
      </c>
      <c r="G711" s="1" t="s">
        <v>187</v>
      </c>
      <c r="H711" s="1" t="str">
        <f t="shared" si="1"/>
        <v>Jamaal</v>
      </c>
      <c r="I711" s="1" t="str">
        <f t="shared" si="2"/>
        <v>Williams</v>
      </c>
      <c r="J711" s="1" t="str">
        <f t="shared" si="3"/>
        <v>#N/A</v>
      </c>
      <c r="K711" s="1" t="str">
        <f>IFERROR(VLOOKUP($J711,Players!$D:$E,2,FALSE),VLOOKUP($G711,Players!A:E,5,FALSE))</f>
        <v>RB</v>
      </c>
    </row>
    <row r="712" ht="15.75" customHeight="1">
      <c r="A712" s="1">
        <v>2018.0</v>
      </c>
      <c r="B712" s="1" t="s">
        <v>36</v>
      </c>
      <c r="C712" s="1" t="s">
        <v>17</v>
      </c>
      <c r="D712" s="8">
        <v>2.0</v>
      </c>
      <c r="E712" s="8">
        <v>7.0</v>
      </c>
      <c r="F712" s="8">
        <v>73.0</v>
      </c>
      <c r="G712" s="1" t="s">
        <v>1157</v>
      </c>
      <c r="H712" s="1" t="str">
        <f t="shared" si="1"/>
        <v>Devin</v>
      </c>
      <c r="I712" s="1" t="str">
        <f t="shared" si="2"/>
        <v>Funchess</v>
      </c>
      <c r="J712" s="1" t="str">
        <f t="shared" si="3"/>
        <v>#N/A</v>
      </c>
      <c r="K712" s="1" t="str">
        <f>IFERROR(VLOOKUP($J712,Players!$D:$E,2,FALSE),VLOOKUP($G712,Players!A:E,5,FALSE))</f>
        <v>WR</v>
      </c>
    </row>
    <row r="713" ht="15.75" customHeight="1">
      <c r="A713" s="1">
        <v>2018.0</v>
      </c>
      <c r="B713" s="1" t="s">
        <v>36</v>
      </c>
      <c r="C713" s="1" t="s">
        <v>17</v>
      </c>
      <c r="D713" s="8">
        <v>2.0</v>
      </c>
      <c r="E713" s="8">
        <v>8.0</v>
      </c>
      <c r="F713" s="8">
        <v>96.0</v>
      </c>
      <c r="G713" s="1" t="s">
        <v>502</v>
      </c>
      <c r="H713" s="1" t="str">
        <f t="shared" si="1"/>
        <v>#VALUE!</v>
      </c>
      <c r="I713" s="1" t="str">
        <f t="shared" si="2"/>
        <v>#VALUE!</v>
      </c>
      <c r="J713" s="1" t="str">
        <f t="shared" si="3"/>
        <v>#N/A</v>
      </c>
      <c r="K713" s="1" t="str">
        <f>IFERROR(VLOOKUP($J713,Players!$D:$E,2,FALSE),VLOOKUP($G713,Players!A:E,5,FALSE))</f>
        <v>DEF</v>
      </c>
    </row>
    <row r="714" ht="15.75" customHeight="1">
      <c r="A714" s="1">
        <v>2018.0</v>
      </c>
      <c r="B714" s="1" t="s">
        <v>36</v>
      </c>
      <c r="C714" s="1" t="s">
        <v>17</v>
      </c>
      <c r="D714" s="8">
        <v>2.0</v>
      </c>
      <c r="E714" s="8">
        <v>9.0</v>
      </c>
      <c r="F714" s="8">
        <v>97.0</v>
      </c>
      <c r="G714" s="1" t="s">
        <v>1504</v>
      </c>
      <c r="H714" s="1" t="str">
        <f t="shared" si="1"/>
        <v>Jordy</v>
      </c>
      <c r="I714" s="1" t="str">
        <f t="shared" si="2"/>
        <v>Nelson</v>
      </c>
      <c r="J714" s="1" t="str">
        <f t="shared" si="3"/>
        <v>#N/A</v>
      </c>
      <c r="K714" s="1" t="str">
        <f>IFERROR(VLOOKUP($J714,Players!$D:$E,2,FALSE),VLOOKUP($G714,Players!A:E,5,FALSE))</f>
        <v>WR</v>
      </c>
    </row>
    <row r="715" ht="15.75" customHeight="1">
      <c r="A715" s="1">
        <v>2018.0</v>
      </c>
      <c r="B715" s="1" t="s">
        <v>36</v>
      </c>
      <c r="C715" s="1" t="s">
        <v>17</v>
      </c>
      <c r="D715" s="8">
        <v>2.0</v>
      </c>
      <c r="E715" s="8">
        <v>10.0</v>
      </c>
      <c r="F715" s="8">
        <v>120.0</v>
      </c>
      <c r="G715" s="1" t="s">
        <v>891</v>
      </c>
      <c r="H715" s="1" t="str">
        <f t="shared" si="1"/>
        <v>Stephen</v>
      </c>
      <c r="I715" s="1" t="str">
        <f t="shared" si="2"/>
        <v>Gostkowski</v>
      </c>
      <c r="J715" s="1" t="str">
        <f t="shared" si="3"/>
        <v>#N/A</v>
      </c>
      <c r="K715" s="1" t="str">
        <f>IFERROR(VLOOKUP($J715,Players!$D:$E,2,FALSE),VLOOKUP($G715,Players!A:E,5,FALSE))</f>
        <v>K</v>
      </c>
    </row>
    <row r="716" ht="15.75" customHeight="1">
      <c r="A716" s="1">
        <v>2018.0</v>
      </c>
      <c r="B716" s="1" t="s">
        <v>36</v>
      </c>
      <c r="C716" s="1" t="s">
        <v>17</v>
      </c>
      <c r="D716" s="8">
        <v>2.0</v>
      </c>
      <c r="E716" s="8">
        <v>11.0</v>
      </c>
      <c r="F716" s="8">
        <v>121.0</v>
      </c>
      <c r="G716" s="1" t="s">
        <v>247</v>
      </c>
      <c r="H716" s="1" t="str">
        <f t="shared" si="1"/>
        <v>Alfred</v>
      </c>
      <c r="I716" s="1" t="str">
        <f t="shared" si="2"/>
        <v>Morris</v>
      </c>
      <c r="J716" s="1" t="str">
        <f t="shared" si="3"/>
        <v>#N/A</v>
      </c>
      <c r="K716" s="1" t="str">
        <f>IFERROR(VLOOKUP($J716,Players!$D:$E,2,FALSE),VLOOKUP($G716,Players!A:E,5,FALSE))</f>
        <v>RB</v>
      </c>
    </row>
    <row r="717" ht="15.75" customHeight="1">
      <c r="A717" s="1">
        <v>2018.0</v>
      </c>
      <c r="B717" s="1" t="s">
        <v>36</v>
      </c>
      <c r="C717" s="1" t="s">
        <v>17</v>
      </c>
      <c r="D717" s="8">
        <v>2.0</v>
      </c>
      <c r="E717" s="8">
        <v>12.0</v>
      </c>
      <c r="F717" s="8">
        <v>144.0</v>
      </c>
      <c r="G717" s="1" t="s">
        <v>1177</v>
      </c>
      <c r="H717" s="1" t="str">
        <f t="shared" si="1"/>
        <v>Devontae</v>
      </c>
      <c r="I717" s="1" t="str">
        <f t="shared" si="2"/>
        <v>Booker</v>
      </c>
      <c r="J717" s="1" t="str">
        <f t="shared" si="3"/>
        <v>#N/A</v>
      </c>
      <c r="K717" s="1" t="str">
        <f>IFERROR(VLOOKUP($J717,Players!$D:$E,2,FALSE),VLOOKUP($G717,Players!A:E,5,FALSE))</f>
        <v>RB</v>
      </c>
    </row>
    <row r="718" ht="15.75" customHeight="1">
      <c r="A718" s="1">
        <v>2018.0</v>
      </c>
      <c r="B718" s="1" t="s">
        <v>36</v>
      </c>
      <c r="C718" s="1" t="s">
        <v>17</v>
      </c>
      <c r="D718" s="8">
        <v>2.0</v>
      </c>
      <c r="E718" s="8">
        <v>13.0</v>
      </c>
      <c r="F718" s="8">
        <v>145.0</v>
      </c>
      <c r="G718" s="1" t="s">
        <v>478</v>
      </c>
      <c r="H718" s="1" t="str">
        <f t="shared" si="1"/>
        <v>DeVante</v>
      </c>
      <c r="I718" s="1" t="str">
        <f t="shared" si="2"/>
        <v>Parker</v>
      </c>
      <c r="J718" s="1" t="str">
        <f t="shared" si="3"/>
        <v>#N/A</v>
      </c>
      <c r="K718" s="1" t="str">
        <f>IFERROR(VLOOKUP($J718,Players!$D:$E,2,FALSE),VLOOKUP($G718,Players!A:E,5,FALSE))</f>
        <v>WR</v>
      </c>
    </row>
    <row r="719" ht="15.75" customHeight="1">
      <c r="A719" s="1">
        <v>2018.0</v>
      </c>
      <c r="B719" s="1" t="s">
        <v>36</v>
      </c>
      <c r="C719" s="1" t="s">
        <v>17</v>
      </c>
      <c r="D719" s="8">
        <v>2.0</v>
      </c>
      <c r="E719" s="8">
        <v>14.0</v>
      </c>
      <c r="F719" s="8">
        <v>168.0</v>
      </c>
      <c r="G719" s="1" t="s">
        <v>1513</v>
      </c>
      <c r="H719" s="1" t="str">
        <f t="shared" si="1"/>
        <v>Ricky</v>
      </c>
      <c r="I719" s="1" t="str">
        <f t="shared" si="2"/>
        <v>Seals-Jones</v>
      </c>
      <c r="J719" s="1" t="str">
        <f t="shared" si="3"/>
        <v>#N/A</v>
      </c>
      <c r="K719" s="1" t="str">
        <f>IFERROR(VLOOKUP($J719,Players!$D:$E,2,FALSE),VLOOKUP($G719,Players!A:E,5,FALSE))</f>
        <v>TE</v>
      </c>
    </row>
    <row r="720" ht="15.75" customHeight="1">
      <c r="A720" s="1">
        <v>2018.0</v>
      </c>
      <c r="B720" s="1" t="s">
        <v>36</v>
      </c>
      <c r="C720" s="1" t="s">
        <v>17</v>
      </c>
      <c r="D720" s="8">
        <v>2.0</v>
      </c>
      <c r="E720" s="8">
        <v>15.0</v>
      </c>
      <c r="F720" s="8">
        <v>169.0</v>
      </c>
      <c r="G720" s="1" t="s">
        <v>1516</v>
      </c>
      <c r="H720" s="1" t="str">
        <f t="shared" si="1"/>
        <v>Dede</v>
      </c>
      <c r="I720" s="1" t="str">
        <f t="shared" si="2"/>
        <v>Westbrook</v>
      </c>
      <c r="J720" s="1" t="str">
        <f t="shared" si="3"/>
        <v>#N/A</v>
      </c>
      <c r="K720" s="1" t="str">
        <f>IFERROR(VLOOKUP($J720,Players!$D:$E,2,FALSE),VLOOKUP($G720,Players!A:E,5,FALSE))</f>
        <v>#N/A</v>
      </c>
    </row>
    <row r="721" ht="15.75" customHeight="1">
      <c r="A721" s="1">
        <v>2017.0</v>
      </c>
      <c r="B721" s="1" t="s">
        <v>14</v>
      </c>
      <c r="C721" s="1" t="s">
        <v>12</v>
      </c>
      <c r="D721" s="8">
        <v>6.0</v>
      </c>
      <c r="E721" s="8">
        <v>1.0</v>
      </c>
      <c r="F721" s="8">
        <v>4.0</v>
      </c>
      <c r="G721" s="1" t="s">
        <v>96</v>
      </c>
      <c r="H721" s="1" t="str">
        <f t="shared" si="1"/>
        <v>Julio</v>
      </c>
      <c r="I721" s="1" t="str">
        <f t="shared" si="2"/>
        <v>Jones</v>
      </c>
      <c r="J721" s="1" t="str">
        <f t="shared" si="3"/>
        <v>#N/A</v>
      </c>
      <c r="K721" s="1" t="str">
        <f>IFERROR(VLOOKUP($J721,Players!$D:$E,2,FALSE),VLOOKUP($G721,Players!A:E,5,FALSE))</f>
        <v>WR</v>
      </c>
    </row>
    <row r="722" ht="15.75" customHeight="1">
      <c r="A722" s="1">
        <v>2017.0</v>
      </c>
      <c r="B722" s="1" t="s">
        <v>14</v>
      </c>
      <c r="C722" s="1" t="s">
        <v>12</v>
      </c>
      <c r="D722" s="8">
        <v>6.0</v>
      </c>
      <c r="E722" s="8">
        <v>2.0</v>
      </c>
      <c r="F722" s="8">
        <v>21.0</v>
      </c>
      <c r="G722" s="1" t="s">
        <v>699</v>
      </c>
      <c r="H722" s="1" t="str">
        <f t="shared" si="1"/>
        <v>Jordan</v>
      </c>
      <c r="I722" s="1" t="str">
        <f t="shared" si="2"/>
        <v>Howard</v>
      </c>
      <c r="J722" s="1" t="str">
        <f t="shared" si="3"/>
        <v>#N/A</v>
      </c>
      <c r="K722" s="1" t="str">
        <f>IFERROR(VLOOKUP($J722,Players!$D:$E,2,FALSE),VLOOKUP($G722,Players!A:E,5,FALSE))</f>
        <v>RB</v>
      </c>
    </row>
    <row r="723" ht="15.75" customHeight="1">
      <c r="A723" s="1">
        <v>2017.0</v>
      </c>
      <c r="B723" s="1" t="s">
        <v>14</v>
      </c>
      <c r="C723" s="1" t="s">
        <v>12</v>
      </c>
      <c r="D723" s="8">
        <v>6.0</v>
      </c>
      <c r="E723" s="8">
        <v>3.0</v>
      </c>
      <c r="F723" s="8">
        <v>28.0</v>
      </c>
      <c r="G723" s="1" t="s">
        <v>139</v>
      </c>
      <c r="H723" s="1" t="str">
        <f t="shared" si="1"/>
        <v>Travis</v>
      </c>
      <c r="I723" s="1" t="str">
        <f t="shared" si="2"/>
        <v>Kelce</v>
      </c>
      <c r="J723" s="1" t="str">
        <f t="shared" si="3"/>
        <v>#N/A</v>
      </c>
      <c r="K723" s="1" t="str">
        <f>IFERROR(VLOOKUP($J723,Players!$D:$E,2,FALSE),VLOOKUP($G723,Players!A:E,5,FALSE))</f>
        <v>TE</v>
      </c>
    </row>
    <row r="724" ht="15.75" customHeight="1">
      <c r="A724" s="1">
        <v>2017.0</v>
      </c>
      <c r="B724" s="1" t="s">
        <v>14</v>
      </c>
      <c r="C724" s="1" t="s">
        <v>12</v>
      </c>
      <c r="D724" s="8">
        <v>6.0</v>
      </c>
      <c r="E724" s="8">
        <v>4.0</v>
      </c>
      <c r="F724" s="8">
        <v>45.0</v>
      </c>
      <c r="G724" s="1" t="s">
        <v>144</v>
      </c>
      <c r="H724" s="1" t="str">
        <f t="shared" si="1"/>
        <v>Russell</v>
      </c>
      <c r="I724" s="1" t="str">
        <f t="shared" si="2"/>
        <v>Wilson</v>
      </c>
      <c r="J724" s="1" t="str">
        <f t="shared" si="3"/>
        <v>#N/A</v>
      </c>
      <c r="K724" s="1" t="str">
        <f>IFERROR(VLOOKUP($J724,Players!$D:$E,2,FALSE),VLOOKUP($G724,Players!A:E,5,FALSE))</f>
        <v>QB</v>
      </c>
    </row>
    <row r="725" ht="15.75" customHeight="1">
      <c r="A725" s="1">
        <v>2017.0</v>
      </c>
      <c r="B725" s="1" t="s">
        <v>14</v>
      </c>
      <c r="C725" s="1" t="s">
        <v>12</v>
      </c>
      <c r="D725" s="8">
        <v>6.0</v>
      </c>
      <c r="E725" s="8">
        <v>5.0</v>
      </c>
      <c r="F725" s="8">
        <v>52.0</v>
      </c>
      <c r="G725" s="1" t="s">
        <v>213</v>
      </c>
      <c r="H725" s="1" t="str">
        <f t="shared" si="1"/>
        <v>Davante</v>
      </c>
      <c r="I725" s="1" t="str">
        <f t="shared" si="2"/>
        <v>Adams</v>
      </c>
      <c r="J725" s="1" t="str">
        <f t="shared" si="3"/>
        <v>#N/A</v>
      </c>
      <c r="K725" s="1" t="str">
        <f>IFERROR(VLOOKUP($J725,Players!$D:$E,2,FALSE),VLOOKUP($G725,Players!A:E,5,FALSE))</f>
        <v>WR</v>
      </c>
    </row>
    <row r="726" ht="15.75" customHeight="1">
      <c r="A726" s="1">
        <v>2017.0</v>
      </c>
      <c r="B726" s="1" t="s">
        <v>14</v>
      </c>
      <c r="C726" s="1" t="s">
        <v>12</v>
      </c>
      <c r="D726" s="8">
        <v>6.0</v>
      </c>
      <c r="E726" s="8">
        <v>6.0</v>
      </c>
      <c r="F726" s="8">
        <v>69.0</v>
      </c>
      <c r="G726" s="1" t="s">
        <v>724</v>
      </c>
      <c r="H726" s="1" t="str">
        <f t="shared" si="1"/>
        <v>Mark</v>
      </c>
      <c r="I726" s="1" t="str">
        <f t="shared" si="2"/>
        <v>Ingram II</v>
      </c>
      <c r="J726" s="1" t="str">
        <f t="shared" si="3"/>
        <v>#N/A</v>
      </c>
      <c r="K726" s="1" t="str">
        <f>IFERROR(VLOOKUP($J726,Players!$D:$E,2,FALSE),VLOOKUP($G726,Players!A:E,5,FALSE))</f>
        <v>#N/A</v>
      </c>
    </row>
    <row r="727" ht="15.75" customHeight="1">
      <c r="A727" s="1">
        <v>2017.0</v>
      </c>
      <c r="B727" s="1" t="s">
        <v>14</v>
      </c>
      <c r="C727" s="1" t="s">
        <v>12</v>
      </c>
      <c r="D727" s="8">
        <v>6.0</v>
      </c>
      <c r="E727" s="8">
        <v>7.0</v>
      </c>
      <c r="F727" s="8">
        <v>76.0</v>
      </c>
      <c r="G727" s="1" t="s">
        <v>472</v>
      </c>
      <c r="H727" s="1" t="str">
        <f t="shared" si="1"/>
        <v>Bilal</v>
      </c>
      <c r="I727" s="1" t="str">
        <f t="shared" si="2"/>
        <v>Powell</v>
      </c>
      <c r="J727" s="1" t="str">
        <f t="shared" si="3"/>
        <v>#N/A</v>
      </c>
      <c r="K727" s="1" t="str">
        <f>IFERROR(VLOOKUP($J727,Players!$D:$E,2,FALSE),VLOOKUP($G727,Players!A:E,5,FALSE))</f>
        <v>RB</v>
      </c>
    </row>
    <row r="728" ht="15.75" customHeight="1">
      <c r="A728" s="1">
        <v>2017.0</v>
      </c>
      <c r="B728" s="1" t="s">
        <v>14</v>
      </c>
      <c r="C728" s="1" t="s">
        <v>12</v>
      </c>
      <c r="D728" s="8">
        <v>6.0</v>
      </c>
      <c r="E728" s="8">
        <v>8.0</v>
      </c>
      <c r="F728" s="8">
        <v>93.0</v>
      </c>
      <c r="G728" s="1" t="s">
        <v>1533</v>
      </c>
      <c r="H728" s="1" t="str">
        <f t="shared" si="1"/>
        <v>Theo</v>
      </c>
      <c r="I728" s="1" t="str">
        <f t="shared" si="2"/>
        <v>Riddick</v>
      </c>
      <c r="J728" s="1" t="str">
        <f t="shared" si="3"/>
        <v>#N/A</v>
      </c>
      <c r="K728" s="1" t="str">
        <f>IFERROR(VLOOKUP($J728,Players!$D:$E,2,FALSE),VLOOKUP($G728,Players!A:E,5,FALSE))</f>
        <v>RB</v>
      </c>
    </row>
    <row r="729" ht="15.75" customHeight="1">
      <c r="A729" s="1">
        <v>2017.0</v>
      </c>
      <c r="B729" s="1" t="s">
        <v>14</v>
      </c>
      <c r="C729" s="1" t="s">
        <v>12</v>
      </c>
      <c r="D729" s="8">
        <v>6.0</v>
      </c>
      <c r="E729" s="8">
        <v>9.0</v>
      </c>
      <c r="F729" s="8">
        <v>100.0</v>
      </c>
      <c r="G729" s="1" t="s">
        <v>105</v>
      </c>
      <c r="H729" s="1" t="str">
        <f t="shared" si="1"/>
        <v>#VALUE!</v>
      </c>
      <c r="I729" s="1" t="str">
        <f t="shared" si="2"/>
        <v>#VALUE!</v>
      </c>
      <c r="J729" s="1" t="str">
        <f t="shared" si="3"/>
        <v>#N/A</v>
      </c>
      <c r="K729" s="1" t="str">
        <f>IFERROR(VLOOKUP($J729,Players!$D:$E,2,FALSE),VLOOKUP($G729,Players!A:E,5,FALSE))</f>
        <v>DEF</v>
      </c>
    </row>
    <row r="730" ht="15.75" customHeight="1">
      <c r="A730" s="1">
        <v>2017.0</v>
      </c>
      <c r="B730" s="1" t="s">
        <v>14</v>
      </c>
      <c r="C730" s="1" t="s">
        <v>12</v>
      </c>
      <c r="D730" s="8">
        <v>6.0</v>
      </c>
      <c r="E730" s="8">
        <v>10.0</v>
      </c>
      <c r="F730" s="8">
        <v>117.0</v>
      </c>
      <c r="G730" s="1" t="s">
        <v>1541</v>
      </c>
      <c r="H730" s="1" t="str">
        <f t="shared" si="1"/>
        <v>Kenny</v>
      </c>
      <c r="I730" s="1" t="str">
        <f t="shared" si="2"/>
        <v>Britt</v>
      </c>
      <c r="J730" s="1" t="str">
        <f t="shared" si="3"/>
        <v>#N/A</v>
      </c>
      <c r="K730" s="1" t="str">
        <f>IFERROR(VLOOKUP($J730,Players!$D:$E,2,FALSE),VLOOKUP($G730,Players!A:E,5,FALSE))</f>
        <v>WR</v>
      </c>
    </row>
    <row r="731" ht="15.75" customHeight="1">
      <c r="A731" s="1">
        <v>2017.0</v>
      </c>
      <c r="B731" s="1" t="s">
        <v>14</v>
      </c>
      <c r="C731" s="1" t="s">
        <v>12</v>
      </c>
      <c r="D731" s="8">
        <v>6.0</v>
      </c>
      <c r="E731" s="8">
        <v>11.0</v>
      </c>
      <c r="F731" s="8">
        <v>124.0</v>
      </c>
      <c r="G731" s="1" t="s">
        <v>1351</v>
      </c>
      <c r="H731" s="1" t="str">
        <f t="shared" si="1"/>
        <v>LeGarrette</v>
      </c>
      <c r="I731" s="1" t="str">
        <f t="shared" si="2"/>
        <v>Blount</v>
      </c>
      <c r="J731" s="1" t="str">
        <f t="shared" si="3"/>
        <v>#N/A</v>
      </c>
      <c r="K731" s="1" t="str">
        <f>IFERROR(VLOOKUP($J731,Players!$D:$E,2,FALSE),VLOOKUP($G731,Players!A:E,5,FALSE))</f>
        <v>RB</v>
      </c>
    </row>
    <row r="732" ht="15.75" customHeight="1">
      <c r="A732" s="1">
        <v>2017.0</v>
      </c>
      <c r="B732" s="1" t="s">
        <v>14</v>
      </c>
      <c r="C732" s="1" t="s">
        <v>12</v>
      </c>
      <c r="D732" s="8">
        <v>6.0</v>
      </c>
      <c r="E732" s="8">
        <v>12.0</v>
      </c>
      <c r="F732" s="8">
        <v>141.0</v>
      </c>
      <c r="G732" s="1" t="s">
        <v>1546</v>
      </c>
      <c r="H732" s="1" t="str">
        <f t="shared" si="1"/>
        <v>Ted</v>
      </c>
      <c r="I732" s="1" t="str">
        <f t="shared" si="2"/>
        <v>Ginn Jr</v>
      </c>
      <c r="J732" s="1" t="str">
        <f t="shared" si="3"/>
        <v>#N/A</v>
      </c>
      <c r="K732" s="1" t="str">
        <f>IFERROR(VLOOKUP($J732,Players!$D:$E,2,FALSE),VLOOKUP($G732,Players!A:E,5,FALSE))</f>
        <v>#N/A</v>
      </c>
    </row>
    <row r="733" ht="15.75" customHeight="1">
      <c r="A733" s="1">
        <v>2017.0</v>
      </c>
      <c r="B733" s="1" t="s">
        <v>14</v>
      </c>
      <c r="C733" s="1" t="s">
        <v>12</v>
      </c>
      <c r="D733" s="8">
        <v>6.0</v>
      </c>
      <c r="E733" s="8">
        <v>13.0</v>
      </c>
      <c r="F733" s="8">
        <v>148.0</v>
      </c>
      <c r="G733" s="1" t="s">
        <v>1316</v>
      </c>
      <c r="H733" s="1" t="str">
        <f t="shared" si="1"/>
        <v>Eric</v>
      </c>
      <c r="I733" s="1" t="str">
        <f t="shared" si="2"/>
        <v>Ebron</v>
      </c>
      <c r="J733" s="1" t="str">
        <f t="shared" si="3"/>
        <v>#N/A</v>
      </c>
      <c r="K733" s="1" t="str">
        <f>IFERROR(VLOOKUP($J733,Players!$D:$E,2,FALSE),VLOOKUP($G733,Players!A:E,5,FALSE))</f>
        <v>TE</v>
      </c>
    </row>
    <row r="734" ht="15.75" customHeight="1">
      <c r="A734" s="1">
        <v>2017.0</v>
      </c>
      <c r="B734" s="1" t="s">
        <v>14</v>
      </c>
      <c r="C734" s="1" t="s">
        <v>12</v>
      </c>
      <c r="D734" s="8">
        <v>6.0</v>
      </c>
      <c r="E734" s="8">
        <v>14.0</v>
      </c>
      <c r="F734" s="8">
        <v>165.0</v>
      </c>
      <c r="G734" s="1" t="s">
        <v>1547</v>
      </c>
      <c r="H734" s="1" t="str">
        <f t="shared" si="1"/>
        <v>Mike</v>
      </c>
      <c r="I734" s="1" t="str">
        <f t="shared" si="2"/>
        <v>Wallace</v>
      </c>
      <c r="J734" s="1" t="str">
        <f t="shared" si="3"/>
        <v>#N/A</v>
      </c>
      <c r="K734" s="1" t="str">
        <f>IFERROR(VLOOKUP($J734,Players!$D:$E,2,FALSE),VLOOKUP($G734,Players!A:E,5,FALSE))</f>
        <v>WR</v>
      </c>
    </row>
    <row r="735" ht="15.75" customHeight="1">
      <c r="A735" s="1">
        <v>2017.0</v>
      </c>
      <c r="B735" s="1" t="s">
        <v>14</v>
      </c>
      <c r="C735" s="1" t="s">
        <v>12</v>
      </c>
      <c r="D735" s="8">
        <v>6.0</v>
      </c>
      <c r="E735" s="8">
        <v>15.0</v>
      </c>
      <c r="F735" s="8">
        <v>172.0</v>
      </c>
      <c r="G735" s="1" t="s">
        <v>669</v>
      </c>
      <c r="H735" s="1" t="str">
        <f t="shared" si="1"/>
        <v>Cairo</v>
      </c>
      <c r="I735" s="1" t="str">
        <f t="shared" si="2"/>
        <v>Santos</v>
      </c>
      <c r="J735" s="1" t="str">
        <f t="shared" si="3"/>
        <v>#N/A</v>
      </c>
      <c r="K735" s="1" t="str">
        <f>IFERROR(VLOOKUP($J735,Players!$D:$E,2,FALSE),VLOOKUP($G735,Players!A:E,5,FALSE))</f>
        <v>K</v>
      </c>
    </row>
    <row r="736" ht="15.75" customHeight="1">
      <c r="A736" s="1">
        <v>2017.0</v>
      </c>
      <c r="B736" s="1" t="s">
        <v>32</v>
      </c>
      <c r="C736" s="1" t="s">
        <v>25</v>
      </c>
      <c r="D736" s="8">
        <v>2.0</v>
      </c>
      <c r="E736" s="8">
        <v>1.0</v>
      </c>
      <c r="F736" s="8">
        <v>8.0</v>
      </c>
      <c r="G736" s="1" t="s">
        <v>152</v>
      </c>
      <c r="H736" s="1" t="str">
        <f t="shared" si="1"/>
        <v>AJ</v>
      </c>
      <c r="I736" s="1" t="str">
        <f t="shared" si="2"/>
        <v>Green</v>
      </c>
      <c r="J736" s="1" t="str">
        <f t="shared" si="3"/>
        <v>#N/A</v>
      </c>
      <c r="K736" s="1" t="str">
        <f>IFERROR(VLOOKUP($J736,Players!$D:$E,2,FALSE),VLOOKUP($G736,Players!A:E,5,FALSE))</f>
        <v>WR</v>
      </c>
    </row>
    <row r="737" ht="15.75" customHeight="1">
      <c r="A737" s="1">
        <v>2017.0</v>
      </c>
      <c r="B737" s="1" t="s">
        <v>32</v>
      </c>
      <c r="C737" s="1" t="s">
        <v>25</v>
      </c>
      <c r="D737" s="8">
        <v>2.0</v>
      </c>
      <c r="E737" s="8">
        <v>2.0</v>
      </c>
      <c r="F737" s="8">
        <v>17.0</v>
      </c>
      <c r="G737" s="1" t="s">
        <v>123</v>
      </c>
      <c r="H737" s="1" t="str">
        <f t="shared" si="1"/>
        <v>Ezekiel</v>
      </c>
      <c r="I737" s="1" t="str">
        <f t="shared" si="2"/>
        <v>Elliott</v>
      </c>
      <c r="J737" s="1" t="str">
        <f t="shared" si="3"/>
        <v>#N/A</v>
      </c>
      <c r="K737" s="1" t="str">
        <f>IFERROR(VLOOKUP($J737,Players!$D:$E,2,FALSE),VLOOKUP($G737,Players!A:E,5,FALSE))</f>
        <v>RB</v>
      </c>
    </row>
    <row r="738" ht="15.75" customHeight="1">
      <c r="A738" s="1">
        <v>2017.0</v>
      </c>
      <c r="B738" s="1" t="s">
        <v>32</v>
      </c>
      <c r="C738" s="1" t="s">
        <v>25</v>
      </c>
      <c r="D738" s="8">
        <v>2.0</v>
      </c>
      <c r="E738" s="8">
        <v>3.0</v>
      </c>
      <c r="F738" s="8">
        <v>32.0</v>
      </c>
      <c r="G738" s="1" t="s">
        <v>1553</v>
      </c>
      <c r="H738" s="1" t="str">
        <f t="shared" si="1"/>
        <v>Terrelle</v>
      </c>
      <c r="I738" s="1" t="str">
        <f t="shared" si="2"/>
        <v>Pryor Sr</v>
      </c>
      <c r="J738" s="1" t="str">
        <f t="shared" si="3"/>
        <v>#N/A</v>
      </c>
      <c r="K738" s="1" t="str">
        <f>IFERROR(VLOOKUP($J738,Players!$D:$E,2,FALSE),VLOOKUP($G738,Players!A:E,5,FALSE))</f>
        <v>#N/A</v>
      </c>
    </row>
    <row r="739" ht="15.75" customHeight="1">
      <c r="A739" s="1">
        <v>2017.0</v>
      </c>
      <c r="B739" s="1" t="s">
        <v>32</v>
      </c>
      <c r="C739" s="1" t="s">
        <v>25</v>
      </c>
      <c r="D739" s="8">
        <v>2.0</v>
      </c>
      <c r="E739" s="8">
        <v>4.0</v>
      </c>
      <c r="F739" s="8">
        <v>41.0</v>
      </c>
      <c r="G739" s="1" t="s">
        <v>1473</v>
      </c>
      <c r="H739" s="1" t="str">
        <f t="shared" si="1"/>
        <v>Isaiah</v>
      </c>
      <c r="I739" s="1" t="str">
        <f t="shared" si="2"/>
        <v>Crowell</v>
      </c>
      <c r="J739" s="1" t="str">
        <f t="shared" si="3"/>
        <v>#N/A</v>
      </c>
      <c r="K739" s="1" t="str">
        <f>IFERROR(VLOOKUP($J739,Players!$D:$E,2,FALSE),VLOOKUP($G739,Players!A:E,5,FALSE))</f>
        <v>RB</v>
      </c>
    </row>
    <row r="740" ht="15.75" customHeight="1">
      <c r="A740" s="1">
        <v>2017.0</v>
      </c>
      <c r="B740" s="1" t="s">
        <v>32</v>
      </c>
      <c r="C740" s="1" t="s">
        <v>25</v>
      </c>
      <c r="D740" s="8">
        <v>2.0</v>
      </c>
      <c r="E740" s="8">
        <v>5.0</v>
      </c>
      <c r="F740" s="8">
        <v>56.0</v>
      </c>
      <c r="G740" s="1" t="s">
        <v>95</v>
      </c>
      <c r="H740" s="1" t="str">
        <f t="shared" si="1"/>
        <v>Allen</v>
      </c>
      <c r="I740" s="1" t="str">
        <f t="shared" si="2"/>
        <v>Robinson II</v>
      </c>
      <c r="J740" s="1" t="str">
        <f t="shared" si="3"/>
        <v>#N/A</v>
      </c>
      <c r="K740" s="1" t="str">
        <f>IFERROR(VLOOKUP($J740,Players!$D:$E,2,FALSE),VLOOKUP($G740,Players!A:E,5,FALSE))</f>
        <v>#N/A</v>
      </c>
    </row>
    <row r="741" ht="15.75" customHeight="1">
      <c r="A741" s="1">
        <v>2017.0</v>
      </c>
      <c r="B741" s="1" t="s">
        <v>32</v>
      </c>
      <c r="C741" s="1" t="s">
        <v>25</v>
      </c>
      <c r="D741" s="8">
        <v>2.0</v>
      </c>
      <c r="E741" s="8">
        <v>6.0</v>
      </c>
      <c r="F741" s="8">
        <v>65.0</v>
      </c>
      <c r="G741" s="1" t="s">
        <v>1015</v>
      </c>
      <c r="H741" s="1" t="str">
        <f t="shared" si="1"/>
        <v>Darren</v>
      </c>
      <c r="I741" s="1" t="str">
        <f t="shared" si="2"/>
        <v>McFadden</v>
      </c>
      <c r="J741" s="1" t="str">
        <f t="shared" si="3"/>
        <v>#N/A</v>
      </c>
      <c r="K741" s="1" t="str">
        <f>IFERROR(VLOOKUP($J741,Players!$D:$E,2,FALSE),VLOOKUP($G741,Players!A:E,5,FALSE))</f>
        <v>RB</v>
      </c>
    </row>
    <row r="742" ht="15.75" customHeight="1">
      <c r="A742" s="1">
        <v>2017.0</v>
      </c>
      <c r="B742" s="1" t="s">
        <v>32</v>
      </c>
      <c r="C742" s="1" t="s">
        <v>25</v>
      </c>
      <c r="D742" s="8">
        <v>2.0</v>
      </c>
      <c r="E742" s="8">
        <v>7.0</v>
      </c>
      <c r="F742" s="8">
        <v>80.0</v>
      </c>
      <c r="G742" s="1" t="s">
        <v>412</v>
      </c>
      <c r="H742" s="1" t="str">
        <f t="shared" si="1"/>
        <v>Kirk</v>
      </c>
      <c r="I742" s="1" t="str">
        <f t="shared" si="2"/>
        <v>Cousins</v>
      </c>
      <c r="J742" s="1" t="str">
        <f t="shared" si="3"/>
        <v>#N/A</v>
      </c>
      <c r="K742" s="1" t="str">
        <f>IFERROR(VLOOKUP($J742,Players!$D:$E,2,FALSE),VLOOKUP($G742,Players!A:E,5,FALSE))</f>
        <v>QB</v>
      </c>
    </row>
    <row r="743" ht="15.75" customHeight="1">
      <c r="A743" s="1">
        <v>2017.0</v>
      </c>
      <c r="B743" s="1" t="s">
        <v>32</v>
      </c>
      <c r="C743" s="1" t="s">
        <v>25</v>
      </c>
      <c r="D743" s="8">
        <v>2.0</v>
      </c>
      <c r="E743" s="8">
        <v>8.0</v>
      </c>
      <c r="F743" s="8">
        <v>89.0</v>
      </c>
      <c r="G743" s="1" t="s">
        <v>112</v>
      </c>
      <c r="H743" s="1" t="str">
        <f t="shared" si="1"/>
        <v>Adam</v>
      </c>
      <c r="I743" s="1" t="str">
        <f t="shared" si="2"/>
        <v>Thielen</v>
      </c>
      <c r="J743" s="1" t="str">
        <f t="shared" si="3"/>
        <v>#N/A</v>
      </c>
      <c r="K743" s="1" t="str">
        <f>IFERROR(VLOOKUP($J743,Players!$D:$E,2,FALSE),VLOOKUP($G743,Players!A:E,5,FALSE))</f>
        <v>WR</v>
      </c>
    </row>
    <row r="744" ht="15.75" customHeight="1">
      <c r="A744" s="1">
        <v>2017.0</v>
      </c>
      <c r="B744" s="1" t="s">
        <v>32</v>
      </c>
      <c r="C744" s="1" t="s">
        <v>25</v>
      </c>
      <c r="D744" s="8">
        <v>2.0</v>
      </c>
      <c r="E744" s="8">
        <v>9.0</v>
      </c>
      <c r="F744" s="8">
        <v>104.0</v>
      </c>
      <c r="G744" s="1" t="s">
        <v>452</v>
      </c>
      <c r="H744" s="1" t="str">
        <f t="shared" si="1"/>
        <v>James</v>
      </c>
      <c r="I744" s="1" t="str">
        <f t="shared" si="2"/>
        <v>White</v>
      </c>
      <c r="J744" s="1" t="str">
        <f t="shared" si="3"/>
        <v>#N/A</v>
      </c>
      <c r="K744" s="1" t="str">
        <f>IFERROR(VLOOKUP($J744,Players!$D:$E,2,FALSE),VLOOKUP($G744,Players!A:E,5,FALSE))</f>
        <v>RB</v>
      </c>
    </row>
    <row r="745" ht="15.75" customHeight="1">
      <c r="A745" s="1">
        <v>2017.0</v>
      </c>
      <c r="B745" s="1" t="s">
        <v>32</v>
      </c>
      <c r="C745" s="1" t="s">
        <v>25</v>
      </c>
      <c r="D745" s="8">
        <v>2.0</v>
      </c>
      <c r="E745" s="8">
        <v>10.0</v>
      </c>
      <c r="F745" s="8">
        <v>113.0</v>
      </c>
      <c r="G745" s="1" t="s">
        <v>1342</v>
      </c>
      <c r="H745" s="1" t="str">
        <f t="shared" si="1"/>
        <v>Jack</v>
      </c>
      <c r="I745" s="1" t="str">
        <f t="shared" si="2"/>
        <v>Doyle</v>
      </c>
      <c r="J745" s="1" t="str">
        <f t="shared" si="3"/>
        <v>#N/A</v>
      </c>
      <c r="K745" s="1" t="str">
        <f>IFERROR(VLOOKUP($J745,Players!$D:$E,2,FALSE),VLOOKUP($G745,Players!A:E,5,FALSE))</f>
        <v>TE</v>
      </c>
    </row>
    <row r="746" ht="15.75" customHeight="1">
      <c r="A746" s="1">
        <v>2017.0</v>
      </c>
      <c r="B746" s="1" t="s">
        <v>32</v>
      </c>
      <c r="C746" s="1" t="s">
        <v>25</v>
      </c>
      <c r="D746" s="8">
        <v>2.0</v>
      </c>
      <c r="E746" s="8">
        <v>11.0</v>
      </c>
      <c r="F746" s="8">
        <v>128.0</v>
      </c>
      <c r="G746" s="1" t="s">
        <v>891</v>
      </c>
      <c r="H746" s="1" t="str">
        <f t="shared" si="1"/>
        <v>Stephen</v>
      </c>
      <c r="I746" s="1" t="str">
        <f t="shared" si="2"/>
        <v>Gostkowski</v>
      </c>
      <c r="J746" s="1" t="str">
        <f t="shared" si="3"/>
        <v>#N/A</v>
      </c>
      <c r="K746" s="1" t="str">
        <f>IFERROR(VLOOKUP($J746,Players!$D:$E,2,FALSE),VLOOKUP($G746,Players!A:E,5,FALSE))</f>
        <v>K</v>
      </c>
    </row>
    <row r="747" ht="15.75" customHeight="1">
      <c r="A747" s="1">
        <v>2017.0</v>
      </c>
      <c r="B747" s="1" t="s">
        <v>32</v>
      </c>
      <c r="C747" s="1" t="s">
        <v>25</v>
      </c>
      <c r="D747" s="8">
        <v>2.0</v>
      </c>
      <c r="E747" s="8">
        <v>12.0</v>
      </c>
      <c r="F747" s="8">
        <v>137.0</v>
      </c>
      <c r="G747" s="1" t="s">
        <v>368</v>
      </c>
      <c r="H747" s="1" t="str">
        <f t="shared" si="1"/>
        <v>#VALUE!</v>
      </c>
      <c r="I747" s="1" t="str">
        <f t="shared" si="2"/>
        <v>#VALUE!</v>
      </c>
      <c r="J747" s="1" t="str">
        <f t="shared" si="3"/>
        <v>#N/A</v>
      </c>
      <c r="K747" s="1" t="str">
        <f>IFERROR(VLOOKUP($J747,Players!$D:$E,2,FALSE),VLOOKUP($G747,Players!A:E,5,FALSE))</f>
        <v>DEF</v>
      </c>
    </row>
    <row r="748" ht="15.75" customHeight="1">
      <c r="A748" s="1">
        <v>2017.0</v>
      </c>
      <c r="B748" s="1" t="s">
        <v>32</v>
      </c>
      <c r="C748" s="1" t="s">
        <v>25</v>
      </c>
      <c r="D748" s="8">
        <v>2.0</v>
      </c>
      <c r="E748" s="8">
        <v>13.0</v>
      </c>
      <c r="F748" s="8">
        <v>152.0</v>
      </c>
      <c r="G748" s="1" t="s">
        <v>1555</v>
      </c>
      <c r="H748" s="1" t="str">
        <f t="shared" si="1"/>
        <v>Vernon</v>
      </c>
      <c r="I748" s="1" t="str">
        <f t="shared" si="2"/>
        <v>Davis</v>
      </c>
      <c r="J748" s="1" t="str">
        <f t="shared" si="3"/>
        <v>#N/A</v>
      </c>
      <c r="K748" s="1" t="str">
        <f>IFERROR(VLOOKUP($J748,Players!$D:$E,2,FALSE),VLOOKUP($G748,Players!A:E,5,FALSE))</f>
        <v>TE</v>
      </c>
    </row>
    <row r="749" ht="15.75" customHeight="1">
      <c r="A749" s="1">
        <v>2017.0</v>
      </c>
      <c r="B749" s="1" t="s">
        <v>32</v>
      </c>
      <c r="C749" s="1" t="s">
        <v>25</v>
      </c>
      <c r="D749" s="8">
        <v>2.0</v>
      </c>
      <c r="E749" s="8">
        <v>14.0</v>
      </c>
      <c r="F749" s="8">
        <v>161.0</v>
      </c>
      <c r="G749" s="1" t="s">
        <v>1556</v>
      </c>
      <c r="H749" s="1" t="str">
        <f t="shared" si="1"/>
        <v>Torrey</v>
      </c>
      <c r="I749" s="1" t="str">
        <f t="shared" si="2"/>
        <v>Smith</v>
      </c>
      <c r="J749" s="1" t="str">
        <f t="shared" si="3"/>
        <v>#N/A</v>
      </c>
      <c r="K749" s="1" t="str">
        <f>IFERROR(VLOOKUP($J749,Players!$D:$E,2,FALSE),VLOOKUP($G749,Players!A:E,5,FALSE))</f>
        <v>WR</v>
      </c>
    </row>
    <row r="750" ht="15.75" customHeight="1">
      <c r="A750" s="1">
        <v>2017.0</v>
      </c>
      <c r="B750" s="1" t="s">
        <v>32</v>
      </c>
      <c r="C750" s="1" t="s">
        <v>25</v>
      </c>
      <c r="D750" s="8">
        <v>2.0</v>
      </c>
      <c r="E750" s="8">
        <v>15.0</v>
      </c>
      <c r="F750" s="8">
        <v>176.0</v>
      </c>
      <c r="G750" s="1" t="s">
        <v>1558</v>
      </c>
      <c r="H750" s="1" t="str">
        <f t="shared" si="1"/>
        <v>Dwayne</v>
      </c>
      <c r="I750" s="1" t="str">
        <f t="shared" si="2"/>
        <v>Allen</v>
      </c>
      <c r="J750" s="1" t="str">
        <f t="shared" si="3"/>
        <v>#N/A</v>
      </c>
      <c r="K750" s="1" t="str">
        <f>IFERROR(VLOOKUP($J750,Players!$D:$E,2,FALSE),VLOOKUP($G750,Players!A:E,5,FALSE))</f>
        <v>#N/A</v>
      </c>
    </row>
    <row r="751" ht="15.75" customHeight="1">
      <c r="A751" s="1">
        <v>2017.0</v>
      </c>
      <c r="B751" s="1" t="s">
        <v>57</v>
      </c>
      <c r="C751" s="1" t="s">
        <v>10</v>
      </c>
      <c r="D751" s="8">
        <v>4.0</v>
      </c>
      <c r="E751" s="8">
        <v>1.0</v>
      </c>
      <c r="F751" s="8">
        <v>2.0</v>
      </c>
      <c r="G751" s="1" t="s">
        <v>788</v>
      </c>
      <c r="H751" s="1" t="str">
        <f t="shared" si="1"/>
        <v>Le'Veon</v>
      </c>
      <c r="I751" s="1" t="str">
        <f t="shared" si="2"/>
        <v>Bell</v>
      </c>
      <c r="J751" s="1" t="str">
        <f t="shared" si="3"/>
        <v>#N/A</v>
      </c>
      <c r="K751" s="1" t="str">
        <f>IFERROR(VLOOKUP($J751,Players!$D:$E,2,FALSE),VLOOKUP($G751,Players!A:E,5,FALSE))</f>
        <v>RB</v>
      </c>
    </row>
    <row r="752" ht="15.75" customHeight="1">
      <c r="A752" s="1">
        <v>2017.0</v>
      </c>
      <c r="B752" s="1" t="s">
        <v>57</v>
      </c>
      <c r="C752" s="1" t="s">
        <v>10</v>
      </c>
      <c r="D752" s="8">
        <v>4.0</v>
      </c>
      <c r="E752" s="8">
        <v>2.0</v>
      </c>
      <c r="F752" s="8">
        <v>23.0</v>
      </c>
      <c r="G752" s="1" t="s">
        <v>654</v>
      </c>
      <c r="H752" s="1" t="str">
        <f t="shared" si="1"/>
        <v>Rob</v>
      </c>
      <c r="I752" s="1" t="str">
        <f t="shared" si="2"/>
        <v>Gronkowski</v>
      </c>
      <c r="J752" s="1" t="str">
        <f t="shared" si="3"/>
        <v>#N/A</v>
      </c>
      <c r="K752" s="1" t="str">
        <f>IFERROR(VLOOKUP($J752,Players!$D:$E,2,FALSE),VLOOKUP($G752,Players!A:E,5,FALSE))</f>
        <v>TE</v>
      </c>
    </row>
    <row r="753" ht="15.75" customHeight="1">
      <c r="A753" s="1">
        <v>2017.0</v>
      </c>
      <c r="B753" s="1" t="s">
        <v>57</v>
      </c>
      <c r="C753" s="1" t="s">
        <v>10</v>
      </c>
      <c r="D753" s="8">
        <v>4.0</v>
      </c>
      <c r="E753" s="8">
        <v>3.0</v>
      </c>
      <c r="F753" s="8">
        <v>26.0</v>
      </c>
      <c r="G753" s="1" t="s">
        <v>822</v>
      </c>
      <c r="H753" s="1" t="str">
        <f t="shared" si="1"/>
        <v>TY</v>
      </c>
      <c r="I753" s="1" t="str">
        <f t="shared" si="2"/>
        <v>Hilton</v>
      </c>
      <c r="J753" s="1" t="str">
        <f t="shared" si="3"/>
        <v>#N/A</v>
      </c>
      <c r="K753" s="1" t="str">
        <f>IFERROR(VLOOKUP($J753,Players!$D:$E,2,FALSE),VLOOKUP($G753,Players!A:E,5,FALSE))</f>
        <v>WR</v>
      </c>
    </row>
    <row r="754" ht="15.75" customHeight="1">
      <c r="A754" s="1">
        <v>2017.0</v>
      </c>
      <c r="B754" s="1" t="s">
        <v>57</v>
      </c>
      <c r="C754" s="1" t="s">
        <v>10</v>
      </c>
      <c r="D754" s="8">
        <v>4.0</v>
      </c>
      <c r="E754" s="8">
        <v>4.0</v>
      </c>
      <c r="F754" s="8">
        <v>47.0</v>
      </c>
      <c r="G754" s="1" t="s">
        <v>94</v>
      </c>
      <c r="H754" s="1" t="str">
        <f t="shared" si="1"/>
        <v>Joe</v>
      </c>
      <c r="I754" s="1" t="str">
        <f t="shared" si="2"/>
        <v>Mixon</v>
      </c>
      <c r="J754" s="1" t="str">
        <f t="shared" si="3"/>
        <v>#N/A</v>
      </c>
      <c r="K754" s="1" t="str">
        <f>IFERROR(VLOOKUP($J754,Players!$D:$E,2,FALSE),VLOOKUP($G754,Players!A:E,5,FALSE))</f>
        <v>RB</v>
      </c>
    </row>
    <row r="755" ht="15.75" customHeight="1">
      <c r="A755" s="1">
        <v>2017.0</v>
      </c>
      <c r="B755" s="1" t="s">
        <v>57</v>
      </c>
      <c r="C755" s="1" t="s">
        <v>10</v>
      </c>
      <c r="D755" s="8">
        <v>4.0</v>
      </c>
      <c r="E755" s="8">
        <v>5.0</v>
      </c>
      <c r="F755" s="8">
        <v>50.0</v>
      </c>
      <c r="G755" s="1" t="s">
        <v>775</v>
      </c>
      <c r="H755" s="1" t="str">
        <f t="shared" si="1"/>
        <v>Larry</v>
      </c>
      <c r="I755" s="1" t="str">
        <f t="shared" si="2"/>
        <v>Fitzgerald</v>
      </c>
      <c r="J755" s="1" t="str">
        <f t="shared" si="3"/>
        <v>#N/A</v>
      </c>
      <c r="K755" s="1" t="str">
        <f>IFERROR(VLOOKUP($J755,Players!$D:$E,2,FALSE),VLOOKUP($G755,Players!A:E,5,FALSE))</f>
        <v>WR</v>
      </c>
    </row>
    <row r="756" ht="15.75" customHeight="1">
      <c r="A756" s="1">
        <v>2017.0</v>
      </c>
      <c r="B756" s="1" t="s">
        <v>57</v>
      </c>
      <c r="C756" s="1" t="s">
        <v>10</v>
      </c>
      <c r="D756" s="8">
        <v>4.0</v>
      </c>
      <c r="E756" s="8">
        <v>6.0</v>
      </c>
      <c r="F756" s="8">
        <v>71.0</v>
      </c>
      <c r="G756" s="1" t="s">
        <v>1312</v>
      </c>
      <c r="H756" s="1" t="str">
        <f t="shared" si="1"/>
        <v>Pierre</v>
      </c>
      <c r="I756" s="1" t="str">
        <f t="shared" si="2"/>
        <v>Garcon</v>
      </c>
      <c r="J756" s="1" t="str">
        <f t="shared" si="3"/>
        <v>#N/A</v>
      </c>
      <c r="K756" s="1" t="str">
        <f>IFERROR(VLOOKUP($J756,Players!$D:$E,2,FALSE),VLOOKUP($G756,Players!A:E,5,FALSE))</f>
        <v>WR</v>
      </c>
    </row>
    <row r="757" ht="15.75" customHeight="1">
      <c r="A757" s="1">
        <v>2017.0</v>
      </c>
      <c r="B757" s="1" t="s">
        <v>57</v>
      </c>
      <c r="C757" s="1" t="s">
        <v>10</v>
      </c>
      <c r="D757" s="8">
        <v>4.0</v>
      </c>
      <c r="E757" s="8">
        <v>7.0</v>
      </c>
      <c r="F757" s="8">
        <v>74.0</v>
      </c>
      <c r="G757" s="1" t="s">
        <v>1237</v>
      </c>
      <c r="H757" s="1" t="str">
        <f t="shared" si="1"/>
        <v>Doug</v>
      </c>
      <c r="I757" s="1" t="str">
        <f t="shared" si="2"/>
        <v>Martin</v>
      </c>
      <c r="J757" s="1" t="str">
        <f t="shared" si="3"/>
        <v>#N/A</v>
      </c>
      <c r="K757" s="1" t="str">
        <f>IFERROR(VLOOKUP($J757,Players!$D:$E,2,FALSE),VLOOKUP($G757,Players!A:E,5,FALSE))</f>
        <v>RB</v>
      </c>
    </row>
    <row r="758" ht="15.75" customHeight="1">
      <c r="A758" s="1">
        <v>2017.0</v>
      </c>
      <c r="B758" s="1" t="s">
        <v>57</v>
      </c>
      <c r="C758" s="1" t="s">
        <v>10</v>
      </c>
      <c r="D758" s="8">
        <v>4.0</v>
      </c>
      <c r="E758" s="8">
        <v>8.0</v>
      </c>
      <c r="F758" s="8">
        <v>95.0</v>
      </c>
      <c r="G758" s="1" t="s">
        <v>1564</v>
      </c>
      <c r="H758" s="1" t="str">
        <f t="shared" si="1"/>
        <v>Rob</v>
      </c>
      <c r="I758" s="1" t="str">
        <f t="shared" si="2"/>
        <v>Kelley</v>
      </c>
      <c r="J758" s="1" t="str">
        <f t="shared" si="3"/>
        <v>#N/A</v>
      </c>
      <c r="K758" s="1" t="str">
        <f>IFERROR(VLOOKUP($J758,Players!$D:$E,2,FALSE),VLOOKUP($G758,Players!A:E,5,FALSE))</f>
        <v>RB</v>
      </c>
    </row>
    <row r="759" ht="15.75" customHeight="1">
      <c r="A759" s="1">
        <v>2017.0</v>
      </c>
      <c r="B759" s="1" t="s">
        <v>57</v>
      </c>
      <c r="C759" s="1" t="s">
        <v>10</v>
      </c>
      <c r="D759" s="8">
        <v>4.0</v>
      </c>
      <c r="E759" s="8">
        <v>9.0</v>
      </c>
      <c r="F759" s="8">
        <v>98.0</v>
      </c>
      <c r="G759" s="1" t="s">
        <v>862</v>
      </c>
      <c r="H759" s="1" t="str">
        <f t="shared" si="1"/>
        <v>Philip</v>
      </c>
      <c r="I759" s="1" t="str">
        <f t="shared" si="2"/>
        <v>Rivers</v>
      </c>
      <c r="J759" s="1" t="str">
        <f t="shared" si="3"/>
        <v>#N/A</v>
      </c>
      <c r="K759" s="1" t="str">
        <f>IFERROR(VLOOKUP($J759,Players!$D:$E,2,FALSE),VLOOKUP($G759,Players!A:E,5,FALSE))</f>
        <v>QB</v>
      </c>
    </row>
    <row r="760" ht="15.75" customHeight="1">
      <c r="A760" s="1">
        <v>2017.0</v>
      </c>
      <c r="B760" s="1" t="s">
        <v>57</v>
      </c>
      <c r="C760" s="1" t="s">
        <v>10</v>
      </c>
      <c r="D760" s="8">
        <v>4.0</v>
      </c>
      <c r="E760" s="8">
        <v>10.0</v>
      </c>
      <c r="F760" s="8">
        <v>119.0</v>
      </c>
      <c r="G760" s="1" t="s">
        <v>1566</v>
      </c>
      <c r="H760" s="1" t="str">
        <f t="shared" si="1"/>
        <v>Kevin</v>
      </c>
      <c r="I760" s="1" t="str">
        <f t="shared" si="2"/>
        <v>White</v>
      </c>
      <c r="J760" s="1" t="str">
        <f t="shared" si="3"/>
        <v>#N/A</v>
      </c>
      <c r="K760" s="1" t="str">
        <f>IFERROR(VLOOKUP($J760,Players!$D:$E,2,FALSE),VLOOKUP($G760,Players!A:E,5,FALSE))</f>
        <v>WR</v>
      </c>
    </row>
    <row r="761" ht="15.75" customHeight="1">
      <c r="A761" s="1">
        <v>2017.0</v>
      </c>
      <c r="B761" s="1" t="s">
        <v>57</v>
      </c>
      <c r="C761" s="1" t="s">
        <v>10</v>
      </c>
      <c r="D761" s="8">
        <v>4.0</v>
      </c>
      <c r="E761" s="8">
        <v>11.0</v>
      </c>
      <c r="F761" s="8">
        <v>122.0</v>
      </c>
      <c r="G761" s="1" t="s">
        <v>1568</v>
      </c>
      <c r="H761" s="1" t="str">
        <f t="shared" si="1"/>
        <v>Zay</v>
      </c>
      <c r="I761" s="1" t="str">
        <f t="shared" si="2"/>
        <v>Jones</v>
      </c>
      <c r="J761" s="1" t="str">
        <f t="shared" si="3"/>
        <v>#N/A</v>
      </c>
      <c r="K761" s="1" t="str">
        <f>IFERROR(VLOOKUP($J761,Players!$D:$E,2,FALSE),VLOOKUP($G761,Players!A:E,5,FALSE))</f>
        <v>WR</v>
      </c>
    </row>
    <row r="762" ht="15.75" customHeight="1">
      <c r="A762" s="1">
        <v>2017.0</v>
      </c>
      <c r="B762" s="1" t="s">
        <v>57</v>
      </c>
      <c r="C762" s="1" t="s">
        <v>10</v>
      </c>
      <c r="D762" s="8">
        <v>4.0</v>
      </c>
      <c r="E762" s="8">
        <v>12.0</v>
      </c>
      <c r="F762" s="8">
        <v>143.0</v>
      </c>
      <c r="G762" s="1" t="s">
        <v>1082</v>
      </c>
      <c r="H762" s="1" t="str">
        <f t="shared" si="1"/>
        <v>Derek</v>
      </c>
      <c r="I762" s="1" t="str">
        <f t="shared" si="2"/>
        <v>Carr</v>
      </c>
      <c r="J762" s="1" t="str">
        <f t="shared" si="3"/>
        <v>#N/A</v>
      </c>
      <c r="K762" s="1" t="str">
        <f>IFERROR(VLOOKUP($J762,Players!$D:$E,2,FALSE),VLOOKUP($G762,Players!A:E,5,FALSE))</f>
        <v>QB</v>
      </c>
    </row>
    <row r="763" ht="15.75" customHeight="1">
      <c r="A763" s="1">
        <v>2017.0</v>
      </c>
      <c r="B763" s="1" t="s">
        <v>57</v>
      </c>
      <c r="C763" s="1" t="s">
        <v>10</v>
      </c>
      <c r="D763" s="8">
        <v>4.0</v>
      </c>
      <c r="E763" s="8">
        <v>13.0</v>
      </c>
      <c r="F763" s="8">
        <v>146.0</v>
      </c>
      <c r="G763" s="1" t="s">
        <v>1537</v>
      </c>
      <c r="H763" s="1" t="str">
        <f t="shared" si="1"/>
        <v>Jacquizz</v>
      </c>
      <c r="I763" s="1" t="str">
        <f t="shared" si="2"/>
        <v>Rodgers</v>
      </c>
      <c r="J763" s="1" t="str">
        <f t="shared" si="3"/>
        <v>#N/A</v>
      </c>
      <c r="K763" s="1" t="str">
        <f>IFERROR(VLOOKUP($J763,Players!$D:$E,2,FALSE),VLOOKUP($G763,Players!A:E,5,FALSE))</f>
        <v>RB</v>
      </c>
    </row>
    <row r="764" ht="15.75" customHeight="1">
      <c r="A764" s="1">
        <v>2017.0</v>
      </c>
      <c r="B764" s="1" t="s">
        <v>57</v>
      </c>
      <c r="C764" s="1" t="s">
        <v>10</v>
      </c>
      <c r="D764" s="8">
        <v>4.0</v>
      </c>
      <c r="E764" s="8">
        <v>14.0</v>
      </c>
      <c r="F764" s="8">
        <v>167.0</v>
      </c>
      <c r="G764" s="1" t="s">
        <v>1571</v>
      </c>
      <c r="H764" s="1" t="str">
        <f t="shared" si="1"/>
        <v>Las</v>
      </c>
      <c r="I764" s="1" t="str">
        <f t="shared" si="2"/>
        <v>Vegas</v>
      </c>
      <c r="J764" s="1" t="str">
        <f t="shared" si="3"/>
        <v>#N/A</v>
      </c>
      <c r="K764" s="1" t="str">
        <f>IFERROR(VLOOKUP($J764,Players!$D:$E,2,FALSE),VLOOKUP($G764,Players!A:E,5,FALSE))</f>
        <v>DEF</v>
      </c>
    </row>
    <row r="765" ht="15.75" customHeight="1">
      <c r="A765" s="1">
        <v>2017.0</v>
      </c>
      <c r="B765" s="1" t="s">
        <v>57</v>
      </c>
      <c r="C765" s="1" t="s">
        <v>10</v>
      </c>
      <c r="D765" s="8">
        <v>4.0</v>
      </c>
      <c r="E765" s="8">
        <v>15.0</v>
      </c>
      <c r="F765" s="8">
        <v>170.0</v>
      </c>
      <c r="G765" s="1" t="s">
        <v>1573</v>
      </c>
      <c r="H765" s="1" t="str">
        <f t="shared" si="1"/>
        <v>Sebastian</v>
      </c>
      <c r="I765" s="1" t="str">
        <f t="shared" si="2"/>
        <v>Janikowski</v>
      </c>
      <c r="J765" s="1" t="str">
        <f t="shared" si="3"/>
        <v>#N/A</v>
      </c>
      <c r="K765" s="1" t="str">
        <f>IFERROR(VLOOKUP($J765,Players!$D:$E,2,FALSE),VLOOKUP($G765,Players!A:E,5,FALSE))</f>
        <v>K</v>
      </c>
    </row>
    <row r="766" ht="15.75" customHeight="1">
      <c r="A766" s="1">
        <v>2017.0</v>
      </c>
      <c r="B766" s="1" t="s">
        <v>49</v>
      </c>
      <c r="C766" s="1" t="s">
        <v>19</v>
      </c>
      <c r="D766" s="8">
        <v>1.0</v>
      </c>
      <c r="E766" s="8">
        <v>1.0</v>
      </c>
      <c r="F766" s="8">
        <v>5.0</v>
      </c>
      <c r="G766" s="1" t="s">
        <v>1504</v>
      </c>
      <c r="H766" s="1" t="str">
        <f t="shared" si="1"/>
        <v>Jordy</v>
      </c>
      <c r="I766" s="1" t="str">
        <f t="shared" si="2"/>
        <v>Nelson</v>
      </c>
      <c r="J766" s="1" t="str">
        <f t="shared" si="3"/>
        <v>#N/A</v>
      </c>
      <c r="K766" s="1" t="str">
        <f>IFERROR(VLOOKUP($J766,Players!$D:$E,2,FALSE),VLOOKUP($G766,Players!A:E,5,FALSE))</f>
        <v>WR</v>
      </c>
    </row>
    <row r="767" ht="15.75" customHeight="1">
      <c r="A767" s="1">
        <v>2017.0</v>
      </c>
      <c r="B767" s="1" t="s">
        <v>49</v>
      </c>
      <c r="C767" s="1" t="s">
        <v>19</v>
      </c>
      <c r="D767" s="8">
        <v>1.0</v>
      </c>
      <c r="E767" s="8">
        <v>2.0</v>
      </c>
      <c r="F767" s="8">
        <v>20.0</v>
      </c>
      <c r="G767" s="1" t="s">
        <v>1387</v>
      </c>
      <c r="H767" s="1" t="str">
        <f t="shared" si="1"/>
        <v>Jay</v>
      </c>
      <c r="I767" s="1" t="str">
        <f t="shared" si="2"/>
        <v>Ajayi</v>
      </c>
      <c r="J767" s="1" t="str">
        <f t="shared" si="3"/>
        <v>#N/A</v>
      </c>
      <c r="K767" s="1" t="str">
        <f>IFERROR(VLOOKUP($J767,Players!$D:$E,2,FALSE),VLOOKUP($G767,Players!A:E,5,FALSE))</f>
        <v>RB</v>
      </c>
    </row>
    <row r="768" ht="15.75" customHeight="1">
      <c r="A768" s="1">
        <v>2017.0</v>
      </c>
      <c r="B768" s="1" t="s">
        <v>49</v>
      </c>
      <c r="C768" s="1" t="s">
        <v>19</v>
      </c>
      <c r="D768" s="8">
        <v>1.0</v>
      </c>
      <c r="E768" s="8">
        <v>3.0</v>
      </c>
      <c r="F768" s="8">
        <v>29.0</v>
      </c>
      <c r="G768" s="1" t="s">
        <v>1465</v>
      </c>
      <c r="H768" s="1" t="str">
        <f t="shared" si="1"/>
        <v>Lamar</v>
      </c>
      <c r="I768" s="1" t="str">
        <f t="shared" si="2"/>
        <v>Miller</v>
      </c>
      <c r="J768" s="1" t="str">
        <f t="shared" si="3"/>
        <v>#N/A</v>
      </c>
      <c r="K768" s="1" t="str">
        <f>IFERROR(VLOOKUP($J768,Players!$D:$E,2,FALSE),VLOOKUP($G768,Players!A:E,5,FALSE))</f>
        <v>RB</v>
      </c>
    </row>
    <row r="769" ht="15.75" customHeight="1">
      <c r="A769" s="1">
        <v>2017.0</v>
      </c>
      <c r="B769" s="1" t="s">
        <v>49</v>
      </c>
      <c r="C769" s="1" t="s">
        <v>19</v>
      </c>
      <c r="D769" s="8">
        <v>1.0</v>
      </c>
      <c r="E769" s="8">
        <v>4.0</v>
      </c>
      <c r="F769" s="8">
        <v>44.0</v>
      </c>
      <c r="G769" s="1" t="s">
        <v>944</v>
      </c>
      <c r="H769" s="1" t="str">
        <f t="shared" si="1"/>
        <v>Golden</v>
      </c>
      <c r="I769" s="1" t="str">
        <f t="shared" si="2"/>
        <v>Tate</v>
      </c>
      <c r="J769" s="1" t="str">
        <f t="shared" si="3"/>
        <v>#N/A</v>
      </c>
      <c r="K769" s="1" t="str">
        <f>IFERROR(VLOOKUP($J769,Players!$D:$E,2,FALSE),VLOOKUP($G769,Players!A:E,5,FALSE))</f>
        <v>WR</v>
      </c>
    </row>
    <row r="770" ht="15.75" customHeight="1">
      <c r="A770" s="1">
        <v>2017.0</v>
      </c>
      <c r="B770" s="1" t="s">
        <v>49</v>
      </c>
      <c r="C770" s="1" t="s">
        <v>19</v>
      </c>
      <c r="D770" s="8">
        <v>1.0</v>
      </c>
      <c r="E770" s="8">
        <v>5.0</v>
      </c>
      <c r="F770" s="8">
        <v>53.0</v>
      </c>
      <c r="G770" s="1" t="s">
        <v>422</v>
      </c>
      <c r="H770" s="1" t="str">
        <f t="shared" si="1"/>
        <v>Stefon</v>
      </c>
      <c r="I770" s="1" t="str">
        <f t="shared" si="2"/>
        <v>Diggs</v>
      </c>
      <c r="J770" s="1" t="str">
        <f t="shared" si="3"/>
        <v>#N/A</v>
      </c>
      <c r="K770" s="1" t="str">
        <f>IFERROR(VLOOKUP($J770,Players!$D:$E,2,FALSE),VLOOKUP($G770,Players!A:E,5,FALSE))</f>
        <v>WR</v>
      </c>
    </row>
    <row r="771" ht="15.75" customHeight="1">
      <c r="A771" s="1">
        <v>2017.0</v>
      </c>
      <c r="B771" s="1" t="s">
        <v>49</v>
      </c>
      <c r="C771" s="1" t="s">
        <v>19</v>
      </c>
      <c r="D771" s="8">
        <v>1.0</v>
      </c>
      <c r="E771" s="8">
        <v>6.0</v>
      </c>
      <c r="F771" s="8">
        <v>68.0</v>
      </c>
      <c r="G771" s="1" t="s">
        <v>1578</v>
      </c>
      <c r="H771" s="1" t="str">
        <f t="shared" si="1"/>
        <v>Willie</v>
      </c>
      <c r="I771" s="1" t="str">
        <f t="shared" si="2"/>
        <v>Snead IV</v>
      </c>
      <c r="J771" s="1" t="str">
        <f t="shared" si="3"/>
        <v>#N/A</v>
      </c>
      <c r="K771" s="1" t="str">
        <f>IFERROR(VLOOKUP($J771,Players!$D:$E,2,FALSE),VLOOKUP($G771,Players!A:E,5,FALSE))</f>
        <v>#N/A</v>
      </c>
    </row>
    <row r="772" ht="15.75" customHeight="1">
      <c r="A772" s="1">
        <v>2017.0</v>
      </c>
      <c r="B772" s="1" t="s">
        <v>49</v>
      </c>
      <c r="C772" s="1" t="s">
        <v>19</v>
      </c>
      <c r="D772" s="8">
        <v>1.0</v>
      </c>
      <c r="E772" s="8">
        <v>7.0</v>
      </c>
      <c r="F772" s="8">
        <v>77.0</v>
      </c>
      <c r="G772" s="1" t="s">
        <v>983</v>
      </c>
      <c r="H772" s="1" t="str">
        <f t="shared" si="1"/>
        <v>Danny</v>
      </c>
      <c r="I772" s="1" t="str">
        <f t="shared" si="2"/>
        <v>Woodhead</v>
      </c>
      <c r="J772" s="1" t="str">
        <f t="shared" si="3"/>
        <v>#N/A</v>
      </c>
      <c r="K772" s="1" t="str">
        <f>IFERROR(VLOOKUP($J772,Players!$D:$E,2,FALSE),VLOOKUP($G772,Players!A:E,5,FALSE))</f>
        <v>RB</v>
      </c>
    </row>
    <row r="773" ht="15.75" customHeight="1">
      <c r="A773" s="1">
        <v>2017.0</v>
      </c>
      <c r="B773" s="1" t="s">
        <v>49</v>
      </c>
      <c r="C773" s="1" t="s">
        <v>19</v>
      </c>
      <c r="D773" s="8">
        <v>1.0</v>
      </c>
      <c r="E773" s="8">
        <v>8.0</v>
      </c>
      <c r="F773" s="8">
        <v>92.0</v>
      </c>
      <c r="G773" s="1" t="s">
        <v>1350</v>
      </c>
      <c r="H773" s="1" t="str">
        <f t="shared" si="1"/>
        <v>Frank</v>
      </c>
      <c r="I773" s="1" t="str">
        <f t="shared" si="2"/>
        <v>Gore</v>
      </c>
      <c r="J773" s="1" t="str">
        <f t="shared" si="3"/>
        <v>#N/A</v>
      </c>
      <c r="K773" s="1" t="str">
        <f>IFERROR(VLOOKUP($J773,Players!$D:$E,2,FALSE),VLOOKUP($G773,Players!A:E,5,FALSE))</f>
        <v>RB</v>
      </c>
    </row>
    <row r="774" ht="15.75" customHeight="1">
      <c r="A774" s="1">
        <v>2017.0</v>
      </c>
      <c r="B774" s="1" t="s">
        <v>49</v>
      </c>
      <c r="C774" s="1" t="s">
        <v>19</v>
      </c>
      <c r="D774" s="8">
        <v>1.0</v>
      </c>
      <c r="E774" s="8">
        <v>9.0</v>
      </c>
      <c r="F774" s="8">
        <v>101.0</v>
      </c>
      <c r="G774" s="1" t="s">
        <v>1308</v>
      </c>
      <c r="H774" s="1" t="str">
        <f t="shared" si="1"/>
        <v>Kyle</v>
      </c>
      <c r="I774" s="1" t="str">
        <f t="shared" si="2"/>
        <v>Rudolph</v>
      </c>
      <c r="J774" s="1" t="str">
        <f t="shared" si="3"/>
        <v>#N/A</v>
      </c>
      <c r="K774" s="1" t="str">
        <f>IFERROR(VLOOKUP($J774,Players!$D:$E,2,FALSE),VLOOKUP($G774,Players!A:E,5,FALSE))</f>
        <v>TE</v>
      </c>
    </row>
    <row r="775" ht="15.75" customHeight="1">
      <c r="A775" s="1">
        <v>2017.0</v>
      </c>
      <c r="B775" s="1" t="s">
        <v>49</v>
      </c>
      <c r="C775" s="1" t="s">
        <v>19</v>
      </c>
      <c r="D775" s="8">
        <v>1.0</v>
      </c>
      <c r="E775" s="8">
        <v>10.0</v>
      </c>
      <c r="F775" s="8">
        <v>116.0</v>
      </c>
      <c r="G775" s="1" t="s">
        <v>366</v>
      </c>
      <c r="H775" s="1" t="str">
        <f t="shared" si="1"/>
        <v>Matthew</v>
      </c>
      <c r="I775" s="1" t="str">
        <f t="shared" si="2"/>
        <v>Stafford</v>
      </c>
      <c r="J775" s="1" t="str">
        <f t="shared" si="3"/>
        <v>#N/A</v>
      </c>
      <c r="K775" s="1" t="str">
        <f>IFERROR(VLOOKUP($J775,Players!$D:$E,2,FALSE),VLOOKUP($G775,Players!A:E,5,FALSE))</f>
        <v>QB</v>
      </c>
    </row>
    <row r="776" ht="15.75" customHeight="1">
      <c r="A776" s="1">
        <v>2017.0</v>
      </c>
      <c r="B776" s="1" t="s">
        <v>49</v>
      </c>
      <c r="C776" s="1" t="s">
        <v>19</v>
      </c>
      <c r="D776" s="8">
        <v>1.0</v>
      </c>
      <c r="E776" s="8">
        <v>11.0</v>
      </c>
      <c r="F776" s="8">
        <v>125.0</v>
      </c>
      <c r="G776" s="1" t="s">
        <v>99</v>
      </c>
      <c r="H776" s="1" t="str">
        <f t="shared" si="1"/>
        <v>Robbie</v>
      </c>
      <c r="I776" s="1" t="str">
        <f t="shared" si="2"/>
        <v>Anderson</v>
      </c>
      <c r="J776" s="1" t="str">
        <f t="shared" si="3"/>
        <v>#N/A</v>
      </c>
      <c r="K776" s="1" t="str">
        <f>IFERROR(VLOOKUP($J776,Players!$D:$E,2,FALSE),VLOOKUP($G776,Players!A:E,5,FALSE))</f>
        <v>WR</v>
      </c>
    </row>
    <row r="777" ht="15.75" customHeight="1">
      <c r="A777" s="1">
        <v>2017.0</v>
      </c>
      <c r="B777" s="1" t="s">
        <v>49</v>
      </c>
      <c r="C777" s="1" t="s">
        <v>19</v>
      </c>
      <c r="D777" s="8">
        <v>1.0</v>
      </c>
      <c r="E777" s="8">
        <v>12.0</v>
      </c>
      <c r="F777" s="8">
        <v>140.0</v>
      </c>
      <c r="G777" s="1" t="s">
        <v>653</v>
      </c>
      <c r="H777" s="1" t="str">
        <f t="shared" si="1"/>
        <v>CJ</v>
      </c>
      <c r="I777" s="1" t="str">
        <f t="shared" si="2"/>
        <v>Prosise</v>
      </c>
      <c r="J777" s="1" t="str">
        <f t="shared" si="3"/>
        <v>#N/A</v>
      </c>
      <c r="K777" s="1" t="str">
        <f>IFERROR(VLOOKUP($J777,Players!$D:$E,2,FALSE),VLOOKUP($G777,Players!A:E,5,FALSE))</f>
        <v>RB</v>
      </c>
    </row>
    <row r="778" ht="15.75" customHeight="1">
      <c r="A778" s="1">
        <v>2017.0</v>
      </c>
      <c r="B778" s="1" t="s">
        <v>49</v>
      </c>
      <c r="C778" s="1" t="s">
        <v>19</v>
      </c>
      <c r="D778" s="8">
        <v>1.0</v>
      </c>
      <c r="E778" s="8">
        <v>13.0</v>
      </c>
      <c r="F778" s="8">
        <v>149.0</v>
      </c>
      <c r="G778" s="1" t="s">
        <v>108</v>
      </c>
      <c r="H778" s="1" t="str">
        <f t="shared" si="1"/>
        <v>Alvin</v>
      </c>
      <c r="I778" s="1" t="str">
        <f t="shared" si="2"/>
        <v>Kamara</v>
      </c>
      <c r="J778" s="1" t="str">
        <f t="shared" si="3"/>
        <v>#N/A</v>
      </c>
      <c r="K778" s="1" t="str">
        <f>IFERROR(VLOOKUP($J778,Players!$D:$E,2,FALSE),VLOOKUP($G778,Players!A:E,5,FALSE))</f>
        <v>RB</v>
      </c>
    </row>
    <row r="779" ht="15.75" customHeight="1">
      <c r="A779" s="1">
        <v>2017.0</v>
      </c>
      <c r="B779" s="1" t="s">
        <v>49</v>
      </c>
      <c r="C779" s="1" t="s">
        <v>19</v>
      </c>
      <c r="D779" s="8">
        <v>1.0</v>
      </c>
      <c r="E779" s="8">
        <v>14.0</v>
      </c>
      <c r="F779" s="8">
        <v>164.0</v>
      </c>
      <c r="G779" s="1" t="s">
        <v>573</v>
      </c>
      <c r="H779" s="1" t="str">
        <f t="shared" si="1"/>
        <v>#VALUE!</v>
      </c>
      <c r="I779" s="1" t="str">
        <f t="shared" si="2"/>
        <v>#VALUE!</v>
      </c>
      <c r="J779" s="1" t="str">
        <f t="shared" si="3"/>
        <v>#N/A</v>
      </c>
      <c r="K779" s="1" t="str">
        <f>IFERROR(VLOOKUP($J779,Players!$D:$E,2,FALSE),VLOOKUP($G779,Players!A:E,5,FALSE))</f>
        <v>DEF</v>
      </c>
    </row>
    <row r="780" ht="15.75" customHeight="1">
      <c r="A780" s="1">
        <v>2017.0</v>
      </c>
      <c r="B780" s="1" t="s">
        <v>49</v>
      </c>
      <c r="C780" s="1" t="s">
        <v>19</v>
      </c>
      <c r="D780" s="8">
        <v>1.0</v>
      </c>
      <c r="E780" s="8">
        <v>15.0</v>
      </c>
      <c r="F780" s="8">
        <v>173.0</v>
      </c>
      <c r="G780" s="1" t="s">
        <v>1586</v>
      </c>
      <c r="H780" s="1" t="str">
        <f t="shared" si="1"/>
        <v>Wil</v>
      </c>
      <c r="I780" s="1" t="str">
        <f t="shared" si="2"/>
        <v>Lutz</v>
      </c>
      <c r="J780" s="1" t="str">
        <f t="shared" si="3"/>
        <v>#N/A</v>
      </c>
      <c r="K780" s="1" t="str">
        <f>IFERROR(VLOOKUP($J780,Players!$D:$E,2,FALSE),VLOOKUP($G780,Players!A:E,5,FALSE))</f>
        <v>K</v>
      </c>
    </row>
    <row r="781" ht="15.75" customHeight="1">
      <c r="A781" s="1">
        <v>2017.0</v>
      </c>
      <c r="B781" s="1" t="s">
        <v>30</v>
      </c>
      <c r="C781" s="1" t="s">
        <v>31</v>
      </c>
      <c r="D781" s="8">
        <v>3.0</v>
      </c>
      <c r="E781" s="8">
        <v>1.0</v>
      </c>
      <c r="F781" s="8">
        <v>1.0</v>
      </c>
      <c r="G781" s="1" t="s">
        <v>133</v>
      </c>
      <c r="H781" s="1" t="str">
        <f t="shared" si="1"/>
        <v>David</v>
      </c>
      <c r="I781" s="1" t="str">
        <f t="shared" si="2"/>
        <v>Johnson</v>
      </c>
      <c r="J781" s="1" t="str">
        <f t="shared" si="3"/>
        <v>#N/A</v>
      </c>
      <c r="K781" s="1" t="str">
        <f>IFERROR(VLOOKUP($J781,Players!$D:$E,2,FALSE),VLOOKUP($G781,Players!A:E,5,FALSE))</f>
        <v>RB</v>
      </c>
    </row>
    <row r="782" ht="15.75" customHeight="1">
      <c r="A782" s="1">
        <v>2017.0</v>
      </c>
      <c r="B782" s="1" t="s">
        <v>30</v>
      </c>
      <c r="C782" s="1" t="s">
        <v>31</v>
      </c>
      <c r="D782" s="8">
        <v>3.0</v>
      </c>
      <c r="E782" s="8">
        <v>2.0</v>
      </c>
      <c r="F782" s="8">
        <v>24.0</v>
      </c>
      <c r="G782" s="1" t="s">
        <v>298</v>
      </c>
      <c r="H782" s="1" t="str">
        <f t="shared" si="1"/>
        <v>DeAndre</v>
      </c>
      <c r="I782" s="1" t="str">
        <f t="shared" si="2"/>
        <v>Hopkins</v>
      </c>
      <c r="J782" s="1" t="str">
        <f t="shared" si="3"/>
        <v>#N/A</v>
      </c>
      <c r="K782" s="1" t="str">
        <f>IFERROR(VLOOKUP($J782,Players!$D:$E,2,FALSE),VLOOKUP($G782,Players!A:E,5,FALSE))</f>
        <v>WR</v>
      </c>
    </row>
    <row r="783" ht="15.75" customHeight="1">
      <c r="A783" s="1">
        <v>2017.0</v>
      </c>
      <c r="B783" s="1" t="s">
        <v>30</v>
      </c>
      <c r="C783" s="1" t="s">
        <v>31</v>
      </c>
      <c r="D783" s="8">
        <v>3.0</v>
      </c>
      <c r="E783" s="8">
        <v>3.0</v>
      </c>
      <c r="F783" s="8">
        <v>25.0</v>
      </c>
      <c r="G783" s="1" t="s">
        <v>267</v>
      </c>
      <c r="H783" s="1" t="str">
        <f t="shared" si="1"/>
        <v>Tom</v>
      </c>
      <c r="I783" s="1" t="str">
        <f t="shared" si="2"/>
        <v>Brady</v>
      </c>
      <c r="J783" s="1" t="str">
        <f t="shared" si="3"/>
        <v>#N/A</v>
      </c>
      <c r="K783" s="1" t="str">
        <f>IFERROR(VLOOKUP($J783,Players!$D:$E,2,FALSE),VLOOKUP($G783,Players!A:E,5,FALSE))</f>
        <v>QB</v>
      </c>
    </row>
    <row r="784" ht="15.75" customHeight="1">
      <c r="A784" s="1">
        <v>2017.0</v>
      </c>
      <c r="B784" s="1" t="s">
        <v>30</v>
      </c>
      <c r="C784" s="1" t="s">
        <v>31</v>
      </c>
      <c r="D784" s="8">
        <v>3.0</v>
      </c>
      <c r="E784" s="8">
        <v>4.0</v>
      </c>
      <c r="F784" s="8">
        <v>48.0</v>
      </c>
      <c r="G784" s="1" t="s">
        <v>1315</v>
      </c>
      <c r="H784" s="1" t="str">
        <f t="shared" si="1"/>
        <v>Kelvin</v>
      </c>
      <c r="I784" s="1" t="str">
        <f t="shared" si="2"/>
        <v>Benjamin</v>
      </c>
      <c r="J784" s="1" t="str">
        <f t="shared" si="3"/>
        <v>#N/A</v>
      </c>
      <c r="K784" s="1" t="str">
        <f>IFERROR(VLOOKUP($J784,Players!$D:$E,2,FALSE),VLOOKUP($G784,Players!A:E,5,FALSE))</f>
        <v>WR</v>
      </c>
    </row>
    <row r="785" ht="15.75" customHeight="1">
      <c r="A785" s="1">
        <v>2017.0</v>
      </c>
      <c r="B785" s="1" t="s">
        <v>30</v>
      </c>
      <c r="C785" s="1" t="s">
        <v>31</v>
      </c>
      <c r="D785" s="8">
        <v>3.0</v>
      </c>
      <c r="E785" s="8">
        <v>5.0</v>
      </c>
      <c r="F785" s="8">
        <v>49.0</v>
      </c>
      <c r="G785" s="1" t="s">
        <v>835</v>
      </c>
      <c r="H785" s="1" t="str">
        <f t="shared" si="1"/>
        <v>Sammy</v>
      </c>
      <c r="I785" s="1" t="str">
        <f t="shared" si="2"/>
        <v>Watkins</v>
      </c>
      <c r="J785" s="1" t="str">
        <f t="shared" si="3"/>
        <v>#N/A</v>
      </c>
      <c r="K785" s="1" t="str">
        <f>IFERROR(VLOOKUP($J785,Players!$D:$E,2,FALSE),VLOOKUP($G785,Players!A:E,5,FALSE))</f>
        <v>WR</v>
      </c>
    </row>
    <row r="786" ht="15.75" customHeight="1">
      <c r="A786" s="1">
        <v>2017.0</v>
      </c>
      <c r="B786" s="1" t="s">
        <v>30</v>
      </c>
      <c r="C786" s="1" t="s">
        <v>31</v>
      </c>
      <c r="D786" s="8">
        <v>3.0</v>
      </c>
      <c r="E786" s="8">
        <v>6.0</v>
      </c>
      <c r="F786" s="8">
        <v>72.0</v>
      </c>
      <c r="G786" s="1" t="s">
        <v>1592</v>
      </c>
      <c r="H786" s="1" t="str">
        <f t="shared" si="1"/>
        <v>Mike</v>
      </c>
      <c r="I786" s="1" t="str">
        <f t="shared" si="2"/>
        <v>Gillislee</v>
      </c>
      <c r="J786" s="1" t="str">
        <f t="shared" si="3"/>
        <v>#N/A</v>
      </c>
      <c r="K786" s="1" t="str">
        <f>IFERROR(VLOOKUP($J786,Players!$D:$E,2,FALSE),VLOOKUP($G786,Players!A:E,5,FALSE))</f>
        <v>RB</v>
      </c>
    </row>
    <row r="787" ht="15.75" customHeight="1">
      <c r="A787" s="1">
        <v>2017.0</v>
      </c>
      <c r="B787" s="1" t="s">
        <v>30</v>
      </c>
      <c r="C787" s="1" t="s">
        <v>31</v>
      </c>
      <c r="D787" s="8">
        <v>3.0</v>
      </c>
      <c r="E787" s="8">
        <v>7.0</v>
      </c>
      <c r="F787" s="8">
        <v>73.0</v>
      </c>
      <c r="G787" s="1" t="s">
        <v>701</v>
      </c>
      <c r="H787" s="1" t="str">
        <f t="shared" si="1"/>
        <v>DeSean</v>
      </c>
      <c r="I787" s="1" t="str">
        <f t="shared" si="2"/>
        <v>Jackson</v>
      </c>
      <c r="J787" s="1" t="str">
        <f t="shared" si="3"/>
        <v>#N/A</v>
      </c>
      <c r="K787" s="1" t="str">
        <f>IFERROR(VLOOKUP($J787,Players!$D:$E,2,FALSE),VLOOKUP($G787,Players!A:E,5,FALSE))</f>
        <v>WR</v>
      </c>
    </row>
    <row r="788" ht="15.75" customHeight="1">
      <c r="A788" s="1">
        <v>2017.0</v>
      </c>
      <c r="B788" s="1" t="s">
        <v>30</v>
      </c>
      <c r="C788" s="1" t="s">
        <v>31</v>
      </c>
      <c r="D788" s="8">
        <v>3.0</v>
      </c>
      <c r="E788" s="8">
        <v>8.0</v>
      </c>
      <c r="F788" s="8">
        <v>96.0</v>
      </c>
      <c r="G788" s="1" t="s">
        <v>932</v>
      </c>
      <c r="H788" s="1" t="str">
        <f t="shared" si="1"/>
        <v>OJ</v>
      </c>
      <c r="I788" s="1" t="str">
        <f t="shared" si="2"/>
        <v>Howard</v>
      </c>
      <c r="J788" s="1" t="str">
        <f t="shared" si="3"/>
        <v>#N/A</v>
      </c>
      <c r="K788" s="1" t="str">
        <f>IFERROR(VLOOKUP($J788,Players!$D:$E,2,FALSE),VLOOKUP($G788,Players!A:E,5,FALSE))</f>
        <v>TE</v>
      </c>
    </row>
    <row r="789" ht="15.75" customHeight="1">
      <c r="A789" s="1">
        <v>2017.0</v>
      </c>
      <c r="B789" s="1" t="s">
        <v>30</v>
      </c>
      <c r="C789" s="1" t="s">
        <v>31</v>
      </c>
      <c r="D789" s="8">
        <v>3.0</v>
      </c>
      <c r="E789" s="8">
        <v>9.0</v>
      </c>
      <c r="F789" s="8">
        <v>97.0</v>
      </c>
      <c r="G789" s="1" t="s">
        <v>819</v>
      </c>
      <c r="H789" s="1" t="str">
        <f t="shared" si="1"/>
        <v>Zach</v>
      </c>
      <c r="I789" s="1" t="str">
        <f t="shared" si="2"/>
        <v>Ertz</v>
      </c>
      <c r="J789" s="1" t="str">
        <f t="shared" si="3"/>
        <v>#N/A</v>
      </c>
      <c r="K789" s="1" t="str">
        <f>IFERROR(VLOOKUP($J789,Players!$D:$E,2,FALSE),VLOOKUP($G789,Players!A:E,5,FALSE))</f>
        <v>TE</v>
      </c>
    </row>
    <row r="790" ht="15.75" customHeight="1">
      <c r="A790" s="1">
        <v>2017.0</v>
      </c>
      <c r="B790" s="1" t="s">
        <v>30</v>
      </c>
      <c r="C790" s="1" t="s">
        <v>31</v>
      </c>
      <c r="D790" s="8">
        <v>3.0</v>
      </c>
      <c r="E790" s="8">
        <v>10.0</v>
      </c>
      <c r="F790" s="8">
        <v>120.0</v>
      </c>
      <c r="G790" s="1" t="s">
        <v>1597</v>
      </c>
      <c r="H790" s="1" t="str">
        <f t="shared" si="1"/>
        <v>Matt</v>
      </c>
      <c r="I790" s="1" t="str">
        <f t="shared" si="2"/>
        <v>Forte</v>
      </c>
      <c r="J790" s="1" t="str">
        <f t="shared" si="3"/>
        <v>#N/A</v>
      </c>
      <c r="K790" s="1" t="str">
        <f>IFERROR(VLOOKUP($J790,Players!$D:$E,2,FALSE),VLOOKUP($G790,Players!A:E,5,FALSE))</f>
        <v>RB</v>
      </c>
    </row>
    <row r="791" ht="15.75" customHeight="1">
      <c r="A791" s="1">
        <v>2017.0</v>
      </c>
      <c r="B791" s="1" t="s">
        <v>30</v>
      </c>
      <c r="C791" s="1" t="s">
        <v>31</v>
      </c>
      <c r="D791" s="8">
        <v>3.0</v>
      </c>
      <c r="E791" s="8">
        <v>11.0</v>
      </c>
      <c r="F791" s="8">
        <v>121.0</v>
      </c>
      <c r="G791" s="1" t="s">
        <v>485</v>
      </c>
      <c r="H791" s="1" t="str">
        <f t="shared" si="1"/>
        <v>John</v>
      </c>
      <c r="I791" s="1" t="str">
        <f t="shared" si="2"/>
        <v>Brown</v>
      </c>
      <c r="J791" s="1" t="str">
        <f t="shared" si="3"/>
        <v>#N/A</v>
      </c>
      <c r="K791" s="1" t="str">
        <f>IFERROR(VLOOKUP($J791,Players!$D:$E,2,FALSE),VLOOKUP($G791,Players!A:E,5,FALSE))</f>
        <v>WR</v>
      </c>
    </row>
    <row r="792" ht="15.75" customHeight="1">
      <c r="A792" s="1">
        <v>2017.0</v>
      </c>
      <c r="B792" s="1" t="s">
        <v>30</v>
      </c>
      <c r="C792" s="1" t="s">
        <v>31</v>
      </c>
      <c r="D792" s="8">
        <v>3.0</v>
      </c>
      <c r="E792" s="8">
        <v>12.0</v>
      </c>
      <c r="F792" s="8">
        <v>144.0</v>
      </c>
      <c r="G792" s="1" t="s">
        <v>1598</v>
      </c>
      <c r="H792" s="1" t="str">
        <f t="shared" si="1"/>
        <v>New</v>
      </c>
      <c r="I792" s="1" t="str">
        <f t="shared" si="2"/>
        <v>York</v>
      </c>
      <c r="J792" s="1" t="str">
        <f t="shared" si="3"/>
        <v>#N/A</v>
      </c>
      <c r="K792" s="1" t="str">
        <f>IFERROR(VLOOKUP($J792,Players!$D:$E,2,FALSE),VLOOKUP($G792,Players!A:E,5,FALSE))</f>
        <v>DEF</v>
      </c>
    </row>
    <row r="793" ht="15.75" customHeight="1">
      <c r="A793" s="1">
        <v>2017.0</v>
      </c>
      <c r="B793" s="1" t="s">
        <v>30</v>
      </c>
      <c r="C793" s="1" t="s">
        <v>31</v>
      </c>
      <c r="D793" s="8">
        <v>3.0</v>
      </c>
      <c r="E793" s="8">
        <v>13.0</v>
      </c>
      <c r="F793" s="8">
        <v>145.0</v>
      </c>
      <c r="G793" s="1" t="s">
        <v>188</v>
      </c>
      <c r="H793" s="1" t="str">
        <f t="shared" si="1"/>
        <v>Adam</v>
      </c>
      <c r="I793" s="1" t="str">
        <f t="shared" si="2"/>
        <v>Vinatieri</v>
      </c>
      <c r="J793" s="1" t="str">
        <f t="shared" si="3"/>
        <v>#N/A</v>
      </c>
      <c r="K793" s="1" t="str">
        <f>IFERROR(VLOOKUP($J793,Players!$D:$E,2,FALSE),VLOOKUP($G793,Players!A:E,5,FALSE))</f>
        <v>K</v>
      </c>
    </row>
    <row r="794" ht="15.75" customHeight="1">
      <c r="A794" s="1">
        <v>2017.0</v>
      </c>
      <c r="B794" s="1" t="s">
        <v>30</v>
      </c>
      <c r="C794" s="1" t="s">
        <v>31</v>
      </c>
      <c r="D794" s="8">
        <v>3.0</v>
      </c>
      <c r="E794" s="8">
        <v>14.0</v>
      </c>
      <c r="F794" s="8">
        <v>168.0</v>
      </c>
      <c r="G794" s="1" t="s">
        <v>705</v>
      </c>
      <c r="H794" s="1" t="str">
        <f t="shared" si="1"/>
        <v>Carson</v>
      </c>
      <c r="I794" s="1" t="str">
        <f t="shared" si="2"/>
        <v>Palmer</v>
      </c>
      <c r="J794" s="1" t="str">
        <f t="shared" si="3"/>
        <v>#N/A</v>
      </c>
      <c r="K794" s="1" t="str">
        <f>IFERROR(VLOOKUP($J794,Players!$D:$E,2,FALSE),VLOOKUP($G794,Players!A:E,5,FALSE))</f>
        <v>QB</v>
      </c>
    </row>
    <row r="795" ht="15.75" customHeight="1">
      <c r="A795" s="1">
        <v>2017.0</v>
      </c>
      <c r="B795" s="1" t="s">
        <v>30</v>
      </c>
      <c r="C795" s="1" t="s">
        <v>31</v>
      </c>
      <c r="D795" s="8">
        <v>3.0</v>
      </c>
      <c r="E795" s="8">
        <v>15.0</v>
      </c>
      <c r="F795" s="8">
        <v>169.0</v>
      </c>
      <c r="G795" s="1" t="s">
        <v>509</v>
      </c>
      <c r="H795" s="1" t="str">
        <f t="shared" si="1"/>
        <v>Matt</v>
      </c>
      <c r="I795" s="1" t="str">
        <f t="shared" si="2"/>
        <v>Prater</v>
      </c>
      <c r="J795" s="1" t="str">
        <f t="shared" si="3"/>
        <v>#N/A</v>
      </c>
      <c r="K795" s="1" t="str">
        <f>IFERROR(VLOOKUP($J795,Players!$D:$E,2,FALSE),VLOOKUP($G795,Players!A:E,5,FALSE))</f>
        <v>K</v>
      </c>
    </row>
    <row r="796" ht="15.75" customHeight="1">
      <c r="A796" s="1">
        <v>2017.0</v>
      </c>
      <c r="B796" s="1" t="s">
        <v>46</v>
      </c>
      <c r="C796" s="1" t="s">
        <v>13</v>
      </c>
      <c r="D796" s="8">
        <v>9.0</v>
      </c>
      <c r="E796" s="8">
        <v>1.0</v>
      </c>
      <c r="F796" s="8">
        <v>10.0</v>
      </c>
      <c r="G796" s="1" t="s">
        <v>841</v>
      </c>
      <c r="H796" s="1" t="str">
        <f t="shared" si="1"/>
        <v>Devonta</v>
      </c>
      <c r="I796" s="1" t="str">
        <f t="shared" si="2"/>
        <v>Freeman</v>
      </c>
      <c r="J796" s="1" t="str">
        <f t="shared" si="3"/>
        <v>#N/A</v>
      </c>
      <c r="K796" s="1" t="str">
        <f>IFERROR(VLOOKUP($J796,Players!$D:$E,2,FALSE),VLOOKUP($G796,Players!A:E,5,FALSE))</f>
        <v>RB</v>
      </c>
    </row>
    <row r="797" ht="15.75" customHeight="1">
      <c r="A797" s="1">
        <v>2017.0</v>
      </c>
      <c r="B797" s="1" t="s">
        <v>46</v>
      </c>
      <c r="C797" s="1" t="s">
        <v>13</v>
      </c>
      <c r="D797" s="8">
        <v>9.0</v>
      </c>
      <c r="E797" s="8">
        <v>2.0</v>
      </c>
      <c r="F797" s="8">
        <v>15.0</v>
      </c>
      <c r="G797" s="1" t="s">
        <v>263</v>
      </c>
      <c r="H797" s="1" t="str">
        <f t="shared" si="1"/>
        <v>Amari</v>
      </c>
      <c r="I797" s="1" t="str">
        <f t="shared" si="2"/>
        <v>Cooper</v>
      </c>
      <c r="J797" s="1" t="str">
        <f t="shared" si="3"/>
        <v>#N/A</v>
      </c>
      <c r="K797" s="1" t="str">
        <f>IFERROR(VLOOKUP($J797,Players!$D:$E,2,FALSE),VLOOKUP($G797,Players!A:E,5,FALSE))</f>
        <v>WR</v>
      </c>
    </row>
    <row r="798" ht="15.75" customHeight="1">
      <c r="A798" s="1">
        <v>2017.0</v>
      </c>
      <c r="B798" s="1" t="s">
        <v>46</v>
      </c>
      <c r="C798" s="1" t="s">
        <v>13</v>
      </c>
      <c r="D798" s="8">
        <v>9.0</v>
      </c>
      <c r="E798" s="8">
        <v>3.0</v>
      </c>
      <c r="F798" s="8">
        <v>34.0</v>
      </c>
      <c r="G798" s="1" t="s">
        <v>260</v>
      </c>
      <c r="H798" s="1" t="str">
        <f t="shared" si="1"/>
        <v>Alshon</v>
      </c>
      <c r="I798" s="1" t="str">
        <f t="shared" si="2"/>
        <v>Jeffery</v>
      </c>
      <c r="J798" s="1" t="str">
        <f t="shared" si="3"/>
        <v>#N/A</v>
      </c>
      <c r="K798" s="1" t="str">
        <f>IFERROR(VLOOKUP($J798,Players!$D:$E,2,FALSE),VLOOKUP($G798,Players!A:E,5,FALSE))</f>
        <v>WR</v>
      </c>
    </row>
    <row r="799" ht="15.75" customHeight="1">
      <c r="A799" s="1">
        <v>2017.0</v>
      </c>
      <c r="B799" s="1" t="s">
        <v>46</v>
      </c>
      <c r="C799" s="1" t="s">
        <v>13</v>
      </c>
      <c r="D799" s="8">
        <v>9.0</v>
      </c>
      <c r="E799" s="8">
        <v>4.0</v>
      </c>
      <c r="F799" s="8">
        <v>39.0</v>
      </c>
      <c r="G799" s="1" t="s">
        <v>1604</v>
      </c>
      <c r="H799" s="1" t="str">
        <f t="shared" si="1"/>
        <v>Ty</v>
      </c>
      <c r="I799" s="1" t="str">
        <f t="shared" si="2"/>
        <v>Montgomery</v>
      </c>
      <c r="J799" s="1" t="str">
        <f t="shared" si="3"/>
        <v>#N/A</v>
      </c>
      <c r="K799" s="1" t="str">
        <f>IFERROR(VLOOKUP($J799,Players!$D:$E,2,FALSE),VLOOKUP($G799,Players!A:E,5,FALSE))</f>
        <v>RB</v>
      </c>
    </row>
    <row r="800" ht="15.75" customHeight="1">
      <c r="A800" s="1">
        <v>2017.0</v>
      </c>
      <c r="B800" s="1" t="s">
        <v>46</v>
      </c>
      <c r="C800" s="1" t="s">
        <v>13</v>
      </c>
      <c r="D800" s="8">
        <v>9.0</v>
      </c>
      <c r="E800" s="8">
        <v>5.0</v>
      </c>
      <c r="F800" s="8">
        <v>58.0</v>
      </c>
      <c r="G800" s="1" t="s">
        <v>1443</v>
      </c>
      <c r="H800" s="1" t="str">
        <f t="shared" si="1"/>
        <v>Jordan</v>
      </c>
      <c r="I800" s="1" t="str">
        <f t="shared" si="2"/>
        <v>Reed</v>
      </c>
      <c r="J800" s="1" t="str">
        <f t="shared" si="3"/>
        <v>#N/A</v>
      </c>
      <c r="K800" s="1" t="str">
        <f>IFERROR(VLOOKUP($J800,Players!$D:$E,2,FALSE),VLOOKUP($G800,Players!A:E,5,FALSE))</f>
        <v>TE</v>
      </c>
    </row>
    <row r="801" ht="15.75" customHeight="1">
      <c r="A801" s="1">
        <v>2017.0</v>
      </c>
      <c r="B801" s="1" t="s">
        <v>46</v>
      </c>
      <c r="C801" s="1" t="s">
        <v>13</v>
      </c>
      <c r="D801" s="8">
        <v>9.0</v>
      </c>
      <c r="E801" s="8">
        <v>6.0</v>
      </c>
      <c r="F801" s="8">
        <v>63.0</v>
      </c>
      <c r="G801" s="1" t="s">
        <v>117</v>
      </c>
      <c r="H801" s="1" t="str">
        <f t="shared" si="1"/>
        <v>Jarvis</v>
      </c>
      <c r="I801" s="1" t="str">
        <f t="shared" si="2"/>
        <v>Landry</v>
      </c>
      <c r="J801" s="1" t="str">
        <f t="shared" si="3"/>
        <v>#N/A</v>
      </c>
      <c r="K801" s="1" t="str">
        <f>IFERROR(VLOOKUP($J801,Players!$D:$E,2,FALSE),VLOOKUP($G801,Players!A:E,5,FALSE))</f>
        <v>WR</v>
      </c>
    </row>
    <row r="802" ht="15.75" customHeight="1">
      <c r="A802" s="1">
        <v>2017.0</v>
      </c>
      <c r="B802" s="1" t="s">
        <v>46</v>
      </c>
      <c r="C802" s="1" t="s">
        <v>13</v>
      </c>
      <c r="D802" s="8">
        <v>9.0</v>
      </c>
      <c r="E802" s="8">
        <v>7.0</v>
      </c>
      <c r="F802" s="8">
        <v>82.0</v>
      </c>
      <c r="G802" s="1" t="s">
        <v>1610</v>
      </c>
      <c r="H802" s="1" t="str">
        <f t="shared" si="1"/>
        <v>Marcus</v>
      </c>
      <c r="I802" s="1" t="str">
        <f t="shared" si="2"/>
        <v>Mariota</v>
      </c>
      <c r="J802" s="1" t="str">
        <f t="shared" si="3"/>
        <v>#N/A</v>
      </c>
      <c r="K802" s="1" t="str">
        <f>IFERROR(VLOOKUP($J802,Players!$D:$E,2,FALSE),VLOOKUP($G802,Players!A:E,5,FALSE))</f>
        <v>QB</v>
      </c>
    </row>
    <row r="803" ht="15.75" customHeight="1">
      <c r="A803" s="1">
        <v>2017.0</v>
      </c>
      <c r="B803" s="1" t="s">
        <v>46</v>
      </c>
      <c r="C803" s="1" t="s">
        <v>13</v>
      </c>
      <c r="D803" s="8">
        <v>9.0</v>
      </c>
      <c r="E803" s="8">
        <v>8.0</v>
      </c>
      <c r="F803" s="8">
        <v>87.0</v>
      </c>
      <c r="G803" s="1" t="s">
        <v>741</v>
      </c>
      <c r="H803" s="1" t="str">
        <f t="shared" si="1"/>
        <v>Emmanuel</v>
      </c>
      <c r="I803" s="1" t="str">
        <f t="shared" si="2"/>
        <v>Sanders</v>
      </c>
      <c r="J803" s="1" t="str">
        <f t="shared" si="3"/>
        <v>#N/A</v>
      </c>
      <c r="K803" s="1" t="str">
        <f>IFERROR(VLOOKUP($J803,Players!$D:$E,2,FALSE),VLOOKUP($G803,Players!A:E,5,FALSE))</f>
        <v>WR</v>
      </c>
    </row>
    <row r="804" ht="15.75" customHeight="1">
      <c r="A804" s="1">
        <v>2017.0</v>
      </c>
      <c r="B804" s="1" t="s">
        <v>46</v>
      </c>
      <c r="C804" s="1" t="s">
        <v>13</v>
      </c>
      <c r="D804" s="8">
        <v>9.0</v>
      </c>
      <c r="E804" s="8">
        <v>9.0</v>
      </c>
      <c r="F804" s="8">
        <v>106.0</v>
      </c>
      <c r="G804" s="1" t="s">
        <v>331</v>
      </c>
      <c r="H804" s="1" t="str">
        <f t="shared" si="1"/>
        <v>Kansas</v>
      </c>
      <c r="I804" s="1" t="str">
        <f t="shared" si="2"/>
        <v>City</v>
      </c>
      <c r="J804" s="1" t="str">
        <f t="shared" si="3"/>
        <v>#N/A</v>
      </c>
      <c r="K804" s="1" t="str">
        <f>IFERROR(VLOOKUP($J804,Players!$D:$E,2,FALSE),VLOOKUP($G804,Players!A:E,5,FALSE))</f>
        <v>DEF</v>
      </c>
    </row>
    <row r="805" ht="15.75" customHeight="1">
      <c r="A805" s="1">
        <v>2017.0</v>
      </c>
      <c r="B805" s="1" t="s">
        <v>46</v>
      </c>
      <c r="C805" s="1" t="s">
        <v>13</v>
      </c>
      <c r="D805" s="8">
        <v>9.0</v>
      </c>
      <c r="E805" s="8">
        <v>10.0</v>
      </c>
      <c r="F805" s="8">
        <v>111.0</v>
      </c>
      <c r="G805" s="1" t="s">
        <v>498</v>
      </c>
      <c r="H805" s="1" t="str">
        <f t="shared" si="1"/>
        <v>Duke</v>
      </c>
      <c r="I805" s="1" t="str">
        <f t="shared" si="2"/>
        <v>Johnson</v>
      </c>
      <c r="J805" s="1" t="str">
        <f t="shared" si="3"/>
        <v>#N/A</v>
      </c>
      <c r="K805" s="1" t="str">
        <f>IFERROR(VLOOKUP($J805,Players!$D:$E,2,FALSE),VLOOKUP($G805,Players!A:E,5,FALSE))</f>
        <v>RB</v>
      </c>
    </row>
    <row r="806" ht="15.75" customHeight="1">
      <c r="A806" s="1">
        <v>2017.0</v>
      </c>
      <c r="B806" s="1" t="s">
        <v>46</v>
      </c>
      <c r="C806" s="1" t="s">
        <v>13</v>
      </c>
      <c r="D806" s="8">
        <v>9.0</v>
      </c>
      <c r="E806" s="8">
        <v>11.0</v>
      </c>
      <c r="F806" s="8">
        <v>130.0</v>
      </c>
      <c r="G806" s="1" t="s">
        <v>430</v>
      </c>
      <c r="H806" s="1" t="str">
        <f t="shared" si="1"/>
        <v>Cooper</v>
      </c>
      <c r="I806" s="1" t="str">
        <f t="shared" si="2"/>
        <v>Kupp</v>
      </c>
      <c r="J806" s="1" t="str">
        <f t="shared" si="3"/>
        <v>#N/A</v>
      </c>
      <c r="K806" s="1" t="str">
        <f>IFERROR(VLOOKUP($J806,Players!$D:$E,2,FALSE),VLOOKUP($G806,Players!A:E,5,FALSE))</f>
        <v>WR</v>
      </c>
    </row>
    <row r="807" ht="15.75" customHeight="1">
      <c r="A807" s="1">
        <v>2017.0</v>
      </c>
      <c r="B807" s="1" t="s">
        <v>46</v>
      </c>
      <c r="C807" s="1" t="s">
        <v>13</v>
      </c>
      <c r="D807" s="8">
        <v>9.0</v>
      </c>
      <c r="E807" s="8">
        <v>12.0</v>
      </c>
      <c r="F807" s="8">
        <v>135.0</v>
      </c>
      <c r="G807" s="1" t="s">
        <v>318</v>
      </c>
      <c r="H807" s="1" t="str">
        <f t="shared" si="1"/>
        <v>Will</v>
      </c>
      <c r="I807" s="1" t="str">
        <f t="shared" si="2"/>
        <v>Fuller V</v>
      </c>
      <c r="J807" s="1" t="str">
        <f t="shared" si="3"/>
        <v>#N/A</v>
      </c>
      <c r="K807" s="1" t="str">
        <f>IFERROR(VLOOKUP($J807,Players!$D:$E,2,FALSE),VLOOKUP($G807,Players!A:E,5,FALSE))</f>
        <v>#N/A</v>
      </c>
    </row>
    <row r="808" ht="15.75" customHeight="1">
      <c r="A808" s="1">
        <v>2017.0</v>
      </c>
      <c r="B808" s="1" t="s">
        <v>46</v>
      </c>
      <c r="C808" s="1" t="s">
        <v>13</v>
      </c>
      <c r="D808" s="8">
        <v>9.0</v>
      </c>
      <c r="E808" s="8">
        <v>13.0</v>
      </c>
      <c r="F808" s="8">
        <v>154.0</v>
      </c>
      <c r="G808" s="1" t="s">
        <v>1403</v>
      </c>
      <c r="H808" s="1" t="str">
        <f t="shared" si="1"/>
        <v>Mason</v>
      </c>
      <c r="I808" s="1" t="str">
        <f t="shared" si="2"/>
        <v>Crosby</v>
      </c>
      <c r="J808" s="1" t="str">
        <f t="shared" si="3"/>
        <v>#N/A</v>
      </c>
      <c r="K808" s="1" t="str">
        <f>IFERROR(VLOOKUP($J808,Players!$D:$E,2,FALSE),VLOOKUP($G808,Players!A:E,5,FALSE))</f>
        <v>K</v>
      </c>
    </row>
    <row r="809" ht="15.75" customHeight="1">
      <c r="A809" s="1">
        <v>2017.0</v>
      </c>
      <c r="B809" s="1" t="s">
        <v>46</v>
      </c>
      <c r="C809" s="1" t="s">
        <v>13</v>
      </c>
      <c r="D809" s="8">
        <v>9.0</v>
      </c>
      <c r="E809" s="8">
        <v>14.0</v>
      </c>
      <c r="F809" s="8">
        <v>159.0</v>
      </c>
      <c r="G809" s="1" t="s">
        <v>1623</v>
      </c>
      <c r="H809" s="1" t="str">
        <f t="shared" si="1"/>
        <v>Wendell</v>
      </c>
      <c r="I809" s="1" t="str">
        <f t="shared" si="2"/>
        <v>Smallwood</v>
      </c>
      <c r="J809" s="1" t="str">
        <f t="shared" si="3"/>
        <v>#N/A</v>
      </c>
      <c r="K809" s="1" t="str">
        <f>IFERROR(VLOOKUP($J809,Players!$D:$E,2,FALSE),VLOOKUP($G809,Players!A:E,5,FALSE))</f>
        <v>RB</v>
      </c>
    </row>
    <row r="810" ht="15.75" customHeight="1">
      <c r="A810" s="1">
        <v>2017.0</v>
      </c>
      <c r="B810" s="1" t="s">
        <v>46</v>
      </c>
      <c r="C810" s="1" t="s">
        <v>13</v>
      </c>
      <c r="D810" s="8">
        <v>9.0</v>
      </c>
      <c r="E810" s="8">
        <v>15.0</v>
      </c>
      <c r="F810" s="8">
        <v>178.0</v>
      </c>
      <c r="G810" s="1" t="s">
        <v>1625</v>
      </c>
      <c r="H810" s="1" t="str">
        <f t="shared" si="1"/>
        <v>Mike</v>
      </c>
      <c r="I810" s="1" t="str">
        <f t="shared" si="2"/>
        <v>Williams</v>
      </c>
      <c r="J810" s="1" t="str">
        <f t="shared" si="3"/>
        <v>#N/A</v>
      </c>
      <c r="K810" s="1" t="str">
        <f>IFERROR(VLOOKUP($J810,Players!$D:$E,2,FALSE),VLOOKUP($G810,Players!A:E,5,FALSE))</f>
        <v>#N/A</v>
      </c>
    </row>
    <row r="811" ht="15.75" customHeight="1">
      <c r="A811" s="1">
        <v>2017.0</v>
      </c>
      <c r="B811" s="1" t="s">
        <v>44</v>
      </c>
      <c r="C811" s="1" t="s">
        <v>23</v>
      </c>
      <c r="D811" s="8">
        <v>10.0</v>
      </c>
      <c r="E811" s="8">
        <v>1.0</v>
      </c>
      <c r="F811" s="8">
        <v>3.0</v>
      </c>
      <c r="G811" s="1" t="s">
        <v>229</v>
      </c>
      <c r="H811" s="1" t="str">
        <f t="shared" si="1"/>
        <v>Antonio</v>
      </c>
      <c r="I811" s="1" t="str">
        <f t="shared" si="2"/>
        <v>Brown</v>
      </c>
      <c r="J811" s="1" t="str">
        <f t="shared" si="3"/>
        <v>#N/A</v>
      </c>
      <c r="K811" s="1" t="str">
        <f>IFERROR(VLOOKUP($J811,Players!$D:$E,2,FALSE),VLOOKUP($G811,Players!A:E,5,FALSE))</f>
        <v>WR</v>
      </c>
    </row>
    <row r="812" ht="15.75" customHeight="1">
      <c r="A812" s="1">
        <v>2017.0</v>
      </c>
      <c r="B812" s="1" t="s">
        <v>44</v>
      </c>
      <c r="C812" s="1" t="s">
        <v>23</v>
      </c>
      <c r="D812" s="8">
        <v>10.0</v>
      </c>
      <c r="E812" s="8">
        <v>2.0</v>
      </c>
      <c r="F812" s="8">
        <v>22.0</v>
      </c>
      <c r="G812" s="1" t="s">
        <v>176</v>
      </c>
      <c r="H812" s="1" t="str">
        <f t="shared" si="1"/>
        <v>Aaron</v>
      </c>
      <c r="I812" s="1" t="str">
        <f t="shared" si="2"/>
        <v>Rodgers</v>
      </c>
      <c r="J812" s="1" t="str">
        <f t="shared" si="3"/>
        <v>#N/A</v>
      </c>
      <c r="K812" s="1" t="str">
        <f>IFERROR(VLOOKUP($J812,Players!$D:$E,2,FALSE),VLOOKUP($G812,Players!A:E,5,FALSE))</f>
        <v>QB</v>
      </c>
    </row>
    <row r="813" ht="15.75" customHeight="1">
      <c r="A813" s="1">
        <v>2017.0</v>
      </c>
      <c r="B813" s="1" t="s">
        <v>44</v>
      </c>
      <c r="C813" s="1" t="s">
        <v>23</v>
      </c>
      <c r="D813" s="8">
        <v>10.0</v>
      </c>
      <c r="E813" s="8">
        <v>3.0</v>
      </c>
      <c r="F813" s="8">
        <v>27.0</v>
      </c>
      <c r="G813" s="1" t="s">
        <v>402</v>
      </c>
      <c r="H813" s="1" t="str">
        <f t="shared" si="1"/>
        <v>Leonard</v>
      </c>
      <c r="I813" s="1" t="str">
        <f t="shared" si="2"/>
        <v>Fournette</v>
      </c>
      <c r="J813" s="1" t="str">
        <f t="shared" si="3"/>
        <v>#N/A</v>
      </c>
      <c r="K813" s="1" t="str">
        <f>IFERROR(VLOOKUP($J813,Players!$D:$E,2,FALSE),VLOOKUP($G813,Players!A:E,5,FALSE))</f>
        <v>RB</v>
      </c>
    </row>
    <row r="814" ht="15.75" customHeight="1">
      <c r="A814" s="1">
        <v>2017.0</v>
      </c>
      <c r="B814" s="1" t="s">
        <v>44</v>
      </c>
      <c r="C814" s="1" t="s">
        <v>23</v>
      </c>
      <c r="D814" s="8">
        <v>10.0</v>
      </c>
      <c r="E814" s="8">
        <v>4.0</v>
      </c>
      <c r="F814" s="8">
        <v>46.0</v>
      </c>
      <c r="G814" s="1" t="s">
        <v>271</v>
      </c>
      <c r="H814" s="1" t="str">
        <f t="shared" si="1"/>
        <v>Ameer</v>
      </c>
      <c r="I814" s="1" t="str">
        <f t="shared" si="2"/>
        <v>Abdullah</v>
      </c>
      <c r="J814" s="1" t="str">
        <f t="shared" si="3"/>
        <v>#N/A</v>
      </c>
      <c r="K814" s="1" t="str">
        <f>IFERROR(VLOOKUP($J814,Players!$D:$E,2,FALSE),VLOOKUP($G814,Players!A:E,5,FALSE))</f>
        <v>RB</v>
      </c>
    </row>
    <row r="815" ht="15.75" customHeight="1">
      <c r="A815" s="1">
        <v>2017.0</v>
      </c>
      <c r="B815" s="1" t="s">
        <v>44</v>
      </c>
      <c r="C815" s="1" t="s">
        <v>23</v>
      </c>
      <c r="D815" s="8">
        <v>10.0</v>
      </c>
      <c r="E815" s="8">
        <v>5.0</v>
      </c>
      <c r="F815" s="8">
        <v>51.0</v>
      </c>
      <c r="G815" s="1" t="s">
        <v>1028</v>
      </c>
      <c r="H815" s="1" t="str">
        <f t="shared" si="1"/>
        <v>Greg</v>
      </c>
      <c r="I815" s="1" t="str">
        <f t="shared" si="2"/>
        <v>Olsen</v>
      </c>
      <c r="J815" s="1" t="str">
        <f t="shared" si="3"/>
        <v>#N/A</v>
      </c>
      <c r="K815" s="1" t="str">
        <f>IFERROR(VLOOKUP($J815,Players!$D:$E,2,FALSE),VLOOKUP($G815,Players!A:E,5,FALSE))</f>
        <v>TE</v>
      </c>
    </row>
    <row r="816" ht="15.75" customHeight="1">
      <c r="A816" s="1">
        <v>2017.0</v>
      </c>
      <c r="B816" s="1" t="s">
        <v>44</v>
      </c>
      <c r="C816" s="1" t="s">
        <v>23</v>
      </c>
      <c r="D816" s="8">
        <v>10.0</v>
      </c>
      <c r="E816" s="8">
        <v>6.0</v>
      </c>
      <c r="F816" s="8">
        <v>70.0</v>
      </c>
      <c r="G816" s="1" t="s">
        <v>536</v>
      </c>
      <c r="H816" s="1" t="str">
        <f t="shared" si="1"/>
        <v>Brandon</v>
      </c>
      <c r="I816" s="1" t="str">
        <f t="shared" si="2"/>
        <v>Marshall</v>
      </c>
      <c r="J816" s="1" t="str">
        <f t="shared" si="3"/>
        <v>#N/A</v>
      </c>
      <c r="K816" s="1" t="str">
        <f>IFERROR(VLOOKUP($J816,Players!$D:$E,2,FALSE),VLOOKUP($G816,Players!A:E,5,FALSE))</f>
        <v>WR</v>
      </c>
    </row>
    <row r="817" ht="15.75" customHeight="1">
      <c r="A817" s="1">
        <v>2017.0</v>
      </c>
      <c r="B817" s="1" t="s">
        <v>44</v>
      </c>
      <c r="C817" s="1" t="s">
        <v>23</v>
      </c>
      <c r="D817" s="8">
        <v>10.0</v>
      </c>
      <c r="E817" s="8">
        <v>7.0</v>
      </c>
      <c r="F817" s="8">
        <v>75.0</v>
      </c>
      <c r="G817" s="1" t="s">
        <v>790</v>
      </c>
      <c r="H817" s="1" t="str">
        <f t="shared" si="1"/>
        <v>Chris</v>
      </c>
      <c r="I817" s="1" t="str">
        <f t="shared" si="2"/>
        <v>Hogan</v>
      </c>
      <c r="J817" s="1" t="str">
        <f t="shared" si="3"/>
        <v>#N/A</v>
      </c>
      <c r="K817" s="1" t="str">
        <f>IFERROR(VLOOKUP($J817,Players!$D:$E,2,FALSE),VLOOKUP($G817,Players!A:E,5,FALSE))</f>
        <v>WR</v>
      </c>
    </row>
    <row r="818" ht="15.75" customHeight="1">
      <c r="A818" s="1">
        <v>2017.0</v>
      </c>
      <c r="B818" s="1" t="s">
        <v>44</v>
      </c>
      <c r="C818" s="1" t="s">
        <v>23</v>
      </c>
      <c r="D818" s="8">
        <v>10.0</v>
      </c>
      <c r="E818" s="8">
        <v>8.0</v>
      </c>
      <c r="F818" s="8">
        <v>94.0</v>
      </c>
      <c r="G818" s="1" t="s">
        <v>197</v>
      </c>
      <c r="H818" s="1" t="str">
        <f t="shared" si="1"/>
        <v>Adrian</v>
      </c>
      <c r="I818" s="1" t="str">
        <f t="shared" si="2"/>
        <v>Peterson</v>
      </c>
      <c r="J818" s="1" t="str">
        <f t="shared" si="3"/>
        <v>#N/A</v>
      </c>
      <c r="K818" s="1" t="str">
        <f>IFERROR(VLOOKUP($J818,Players!$D:$E,2,FALSE),VLOOKUP($G818,Players!A:E,5,FALSE))</f>
        <v>RB</v>
      </c>
    </row>
    <row r="819" ht="15.75" customHeight="1">
      <c r="A819" s="1">
        <v>2017.0</v>
      </c>
      <c r="B819" s="1" t="s">
        <v>44</v>
      </c>
      <c r="C819" s="1" t="s">
        <v>23</v>
      </c>
      <c r="D819" s="8">
        <v>10.0</v>
      </c>
      <c r="E819" s="8">
        <v>9.0</v>
      </c>
      <c r="F819" s="8">
        <v>99.0</v>
      </c>
      <c r="G819" s="1" t="s">
        <v>335</v>
      </c>
      <c r="H819" s="1" t="str">
        <f t="shared" si="1"/>
        <v>Randall</v>
      </c>
      <c r="I819" s="1" t="str">
        <f t="shared" si="2"/>
        <v>Cobb</v>
      </c>
      <c r="J819" s="1" t="str">
        <f t="shared" si="3"/>
        <v>#N/A</v>
      </c>
      <c r="K819" s="1" t="str">
        <f>IFERROR(VLOOKUP($J819,Players!$D:$E,2,FALSE),VLOOKUP($G819,Players!A:E,5,FALSE))</f>
        <v>WR</v>
      </c>
    </row>
    <row r="820" ht="15.75" customHeight="1">
      <c r="A820" s="1">
        <v>2017.0</v>
      </c>
      <c r="B820" s="1" t="s">
        <v>44</v>
      </c>
      <c r="C820" s="1" t="s">
        <v>23</v>
      </c>
      <c r="D820" s="8">
        <v>10.0</v>
      </c>
      <c r="E820" s="8">
        <v>10.0</v>
      </c>
      <c r="F820" s="8">
        <v>118.0</v>
      </c>
      <c r="G820" s="1" t="s">
        <v>864</v>
      </c>
      <c r="H820" s="1" t="str">
        <f t="shared" si="1"/>
        <v>Mohamed</v>
      </c>
      <c r="I820" s="1" t="str">
        <f t="shared" si="2"/>
        <v>Sanu Sr</v>
      </c>
      <c r="J820" s="1" t="str">
        <f t="shared" si="3"/>
        <v>#N/A</v>
      </c>
      <c r="K820" s="1" t="str">
        <f>IFERROR(VLOOKUP($J820,Players!$D:$E,2,FALSE),VLOOKUP($G820,Players!A:E,5,FALSE))</f>
        <v>#N/A</v>
      </c>
    </row>
    <row r="821" ht="15.75" customHeight="1">
      <c r="A821" s="1">
        <v>2017.0</v>
      </c>
      <c r="B821" s="1" t="s">
        <v>44</v>
      </c>
      <c r="C821" s="1" t="s">
        <v>23</v>
      </c>
      <c r="D821" s="8">
        <v>10.0</v>
      </c>
      <c r="E821" s="8">
        <v>11.0</v>
      </c>
      <c r="F821" s="8">
        <v>123.0</v>
      </c>
      <c r="G821" s="1" t="s">
        <v>502</v>
      </c>
      <c r="H821" s="1" t="str">
        <f t="shared" si="1"/>
        <v>#VALUE!</v>
      </c>
      <c r="I821" s="1" t="str">
        <f t="shared" si="2"/>
        <v>#VALUE!</v>
      </c>
      <c r="J821" s="1" t="str">
        <f t="shared" si="3"/>
        <v>#N/A</v>
      </c>
      <c r="K821" s="1" t="str">
        <f>IFERROR(VLOOKUP($J821,Players!$D:$E,2,FALSE),VLOOKUP($G821,Players!A:E,5,FALSE))</f>
        <v>DEF</v>
      </c>
    </row>
    <row r="822" ht="15.75" customHeight="1">
      <c r="A822" s="1">
        <v>2017.0</v>
      </c>
      <c r="B822" s="1" t="s">
        <v>44</v>
      </c>
      <c r="C822" s="1" t="s">
        <v>23</v>
      </c>
      <c r="D822" s="8">
        <v>10.0</v>
      </c>
      <c r="E822" s="8">
        <v>12.0</v>
      </c>
      <c r="F822" s="8">
        <v>142.0</v>
      </c>
      <c r="G822" s="1" t="s">
        <v>1647</v>
      </c>
      <c r="H822" s="1" t="str">
        <f t="shared" si="1"/>
        <v>Jason</v>
      </c>
      <c r="I822" s="1" t="str">
        <f t="shared" si="2"/>
        <v>Witten</v>
      </c>
      <c r="J822" s="1" t="str">
        <f t="shared" si="3"/>
        <v>#N/A</v>
      </c>
      <c r="K822" s="1" t="str">
        <f>IFERROR(VLOOKUP($J822,Players!$D:$E,2,FALSE),VLOOKUP($G822,Players!A:E,5,FALSE))</f>
        <v>TE</v>
      </c>
    </row>
    <row r="823" ht="15.75" customHeight="1">
      <c r="A823" s="1">
        <v>2017.0</v>
      </c>
      <c r="B823" s="1" t="s">
        <v>44</v>
      </c>
      <c r="C823" s="1" t="s">
        <v>23</v>
      </c>
      <c r="D823" s="8">
        <v>10.0</v>
      </c>
      <c r="E823" s="8">
        <v>13.0</v>
      </c>
      <c r="F823" s="8">
        <v>147.0</v>
      </c>
      <c r="G823" s="1" t="s">
        <v>306</v>
      </c>
      <c r="H823" s="1" t="str">
        <f t="shared" si="1"/>
        <v>Dak</v>
      </c>
      <c r="I823" s="1" t="str">
        <f t="shared" si="2"/>
        <v>Prescott</v>
      </c>
      <c r="J823" s="1" t="str">
        <f t="shared" si="3"/>
        <v>#N/A</v>
      </c>
      <c r="K823" s="1" t="str">
        <f>IFERROR(VLOOKUP($J823,Players!$D:$E,2,FALSE),VLOOKUP($G823,Players!A:E,5,FALSE))</f>
        <v>QB</v>
      </c>
    </row>
    <row r="824" ht="15.75" customHeight="1">
      <c r="A824" s="1">
        <v>2017.0</v>
      </c>
      <c r="B824" s="1" t="s">
        <v>44</v>
      </c>
      <c r="C824" s="1" t="s">
        <v>23</v>
      </c>
      <c r="D824" s="8">
        <v>10.0</v>
      </c>
      <c r="E824" s="8">
        <v>14.0</v>
      </c>
      <c r="F824" s="8">
        <v>166.0</v>
      </c>
      <c r="G824" s="1" t="s">
        <v>674</v>
      </c>
      <c r="H824" s="1" t="str">
        <f t="shared" si="1"/>
        <v>Caleb</v>
      </c>
      <c r="I824" s="1" t="str">
        <f t="shared" si="2"/>
        <v>Sturgis</v>
      </c>
      <c r="J824" s="1" t="str">
        <f t="shared" si="3"/>
        <v>#N/A</v>
      </c>
      <c r="K824" s="1" t="str">
        <f>IFERROR(VLOOKUP($J824,Players!$D:$E,2,FALSE),VLOOKUP($G824,Players!A:E,5,FALSE))</f>
        <v>K</v>
      </c>
    </row>
    <row r="825" ht="15.75" customHeight="1">
      <c r="A825" s="1">
        <v>2017.0</v>
      </c>
      <c r="B825" s="1" t="s">
        <v>44</v>
      </c>
      <c r="C825" s="1" t="s">
        <v>23</v>
      </c>
      <c r="D825" s="8">
        <v>10.0</v>
      </c>
      <c r="E825" s="8">
        <v>15.0</v>
      </c>
      <c r="F825" s="8">
        <v>171.0</v>
      </c>
      <c r="G825" s="1" t="s">
        <v>1651</v>
      </c>
      <c r="H825" s="1" t="str">
        <f t="shared" si="1"/>
        <v>Jonathan</v>
      </c>
      <c r="I825" s="1" t="str">
        <f t="shared" si="2"/>
        <v>Stewart</v>
      </c>
      <c r="J825" s="1" t="str">
        <f t="shared" si="3"/>
        <v>#N/A</v>
      </c>
      <c r="K825" s="1" t="str">
        <f>IFERROR(VLOOKUP($J825,Players!$D:$E,2,FALSE),VLOOKUP($G825,Players!A:E,5,FALSE))</f>
        <v>RB</v>
      </c>
    </row>
    <row r="826" ht="15.75" customHeight="1">
      <c r="A826" s="1">
        <v>2017.0</v>
      </c>
      <c r="B826" s="1" t="s">
        <v>50</v>
      </c>
      <c r="C826" s="1" t="s">
        <v>8</v>
      </c>
      <c r="D826" s="8">
        <v>7.0</v>
      </c>
      <c r="E826" s="8">
        <v>1.0</v>
      </c>
      <c r="F826" s="8">
        <v>12.0</v>
      </c>
      <c r="G826" s="1" t="s">
        <v>270</v>
      </c>
      <c r="H826" s="1" t="str">
        <f t="shared" si="1"/>
        <v>Michael</v>
      </c>
      <c r="I826" s="1" t="str">
        <f t="shared" si="2"/>
        <v>Thomas</v>
      </c>
      <c r="J826" s="1" t="str">
        <f t="shared" si="3"/>
        <v>#N/A</v>
      </c>
      <c r="K826" s="1" t="str">
        <f>IFERROR(VLOOKUP($J826,Players!$D:$E,2,FALSE),VLOOKUP($G826,Players!A:E,5,FALSE))</f>
        <v>WR</v>
      </c>
    </row>
    <row r="827" ht="15.75" customHeight="1">
      <c r="A827" s="1">
        <v>2017.0</v>
      </c>
      <c r="B827" s="1" t="s">
        <v>50</v>
      </c>
      <c r="C827" s="1" t="s">
        <v>8</v>
      </c>
      <c r="D827" s="8">
        <v>7.0</v>
      </c>
      <c r="E827" s="8">
        <v>2.0</v>
      </c>
      <c r="F827" s="8">
        <v>13.0</v>
      </c>
      <c r="G827" s="1" t="s">
        <v>360</v>
      </c>
      <c r="H827" s="1" t="str">
        <f t="shared" si="1"/>
        <v>Melvin</v>
      </c>
      <c r="I827" s="1" t="str">
        <f t="shared" si="2"/>
        <v>Gordon III</v>
      </c>
      <c r="J827" s="1" t="str">
        <f t="shared" si="3"/>
        <v>#N/A</v>
      </c>
      <c r="K827" s="1" t="str">
        <f>IFERROR(VLOOKUP($J827,Players!$D:$E,2,FALSE),VLOOKUP($G827,Players!A:E,5,FALSE))</f>
        <v>#N/A</v>
      </c>
    </row>
    <row r="828" ht="15.75" customHeight="1">
      <c r="A828" s="1">
        <v>2017.0</v>
      </c>
      <c r="B828" s="1" t="s">
        <v>50</v>
      </c>
      <c r="C828" s="1" t="s">
        <v>8</v>
      </c>
      <c r="D828" s="8">
        <v>7.0</v>
      </c>
      <c r="E828" s="8">
        <v>3.0</v>
      </c>
      <c r="F828" s="8">
        <v>36.0</v>
      </c>
      <c r="G828" s="1" t="s">
        <v>209</v>
      </c>
      <c r="H828" s="1" t="str">
        <f t="shared" si="1"/>
        <v>Carlos</v>
      </c>
      <c r="I828" s="1" t="str">
        <f t="shared" si="2"/>
        <v>Hyde</v>
      </c>
      <c r="J828" s="1" t="str">
        <f t="shared" si="3"/>
        <v>#N/A</v>
      </c>
      <c r="K828" s="1" t="str">
        <f>IFERROR(VLOOKUP($J828,Players!$D:$E,2,FALSE),VLOOKUP($G828,Players!A:E,5,FALSE))</f>
        <v>RB</v>
      </c>
    </row>
    <row r="829" ht="15.75" customHeight="1">
      <c r="A829" s="1">
        <v>2017.0</v>
      </c>
      <c r="B829" s="1" t="s">
        <v>50</v>
      </c>
      <c r="C829" s="1" t="s">
        <v>8</v>
      </c>
      <c r="D829" s="8">
        <v>7.0</v>
      </c>
      <c r="E829" s="8">
        <v>4.0</v>
      </c>
      <c r="F829" s="8">
        <v>37.0</v>
      </c>
      <c r="G829" s="1" t="s">
        <v>714</v>
      </c>
      <c r="H829" s="1" t="str">
        <f t="shared" si="1"/>
        <v>Drew</v>
      </c>
      <c r="I829" s="1" t="str">
        <f t="shared" si="2"/>
        <v>Brees</v>
      </c>
      <c r="J829" s="1" t="str">
        <f t="shared" si="3"/>
        <v>#N/A</v>
      </c>
      <c r="K829" s="1" t="str">
        <f>IFERROR(VLOOKUP($J829,Players!$D:$E,2,FALSE),VLOOKUP($G829,Players!A:E,5,FALSE))</f>
        <v>QB</v>
      </c>
    </row>
    <row r="830" ht="15.75" customHeight="1">
      <c r="A830" s="1">
        <v>2017.0</v>
      </c>
      <c r="B830" s="1" t="s">
        <v>50</v>
      </c>
      <c r="C830" s="1" t="s">
        <v>8</v>
      </c>
      <c r="D830" s="8">
        <v>7.0</v>
      </c>
      <c r="E830" s="8">
        <v>5.0</v>
      </c>
      <c r="F830" s="8">
        <v>60.0</v>
      </c>
      <c r="G830" s="1" t="s">
        <v>478</v>
      </c>
      <c r="H830" s="1" t="str">
        <f t="shared" si="1"/>
        <v>DeVante</v>
      </c>
      <c r="I830" s="1" t="str">
        <f t="shared" si="2"/>
        <v>Parker</v>
      </c>
      <c r="J830" s="1" t="str">
        <f t="shared" si="3"/>
        <v>#N/A</v>
      </c>
      <c r="K830" s="1" t="str">
        <f>IFERROR(VLOOKUP($J830,Players!$D:$E,2,FALSE),VLOOKUP($G830,Players!A:E,5,FALSE))</f>
        <v>WR</v>
      </c>
    </row>
    <row r="831" ht="15.75" customHeight="1">
      <c r="A831" s="1">
        <v>2017.0</v>
      </c>
      <c r="B831" s="1" t="s">
        <v>50</v>
      </c>
      <c r="C831" s="1" t="s">
        <v>8</v>
      </c>
      <c r="D831" s="8">
        <v>7.0</v>
      </c>
      <c r="E831" s="8">
        <v>6.0</v>
      </c>
      <c r="F831" s="8">
        <v>61.0</v>
      </c>
      <c r="G831" s="1" t="s">
        <v>488</v>
      </c>
      <c r="H831" s="1" t="str">
        <f t="shared" si="1"/>
        <v>Jamison</v>
      </c>
      <c r="I831" s="1" t="str">
        <f t="shared" si="2"/>
        <v>Crowder</v>
      </c>
      <c r="J831" s="1" t="str">
        <f t="shared" si="3"/>
        <v>#N/A</v>
      </c>
      <c r="K831" s="1" t="str">
        <f>IFERROR(VLOOKUP($J831,Players!$D:$E,2,FALSE),VLOOKUP($G831,Players!A:E,5,FALSE))</f>
        <v>WR</v>
      </c>
    </row>
    <row r="832" ht="15.75" customHeight="1">
      <c r="A832" s="1">
        <v>2017.0</v>
      </c>
      <c r="B832" s="1" t="s">
        <v>50</v>
      </c>
      <c r="C832" s="1" t="s">
        <v>8</v>
      </c>
      <c r="D832" s="8">
        <v>7.0</v>
      </c>
      <c r="E832" s="8">
        <v>7.0</v>
      </c>
      <c r="F832" s="8">
        <v>84.0</v>
      </c>
      <c r="G832" s="1" t="s">
        <v>1661</v>
      </c>
      <c r="H832" s="1" t="str">
        <f t="shared" si="1"/>
        <v>Martellus</v>
      </c>
      <c r="I832" s="1" t="str">
        <f t="shared" si="2"/>
        <v>Bennett</v>
      </c>
      <c r="J832" s="1" t="str">
        <f t="shared" si="3"/>
        <v>#N/A</v>
      </c>
      <c r="K832" s="1" t="str">
        <f>IFERROR(VLOOKUP($J832,Players!$D:$E,2,FALSE),VLOOKUP($G832,Players!A:E,5,FALSE))</f>
        <v>TE</v>
      </c>
    </row>
    <row r="833" ht="15.75" customHeight="1">
      <c r="A833" s="1">
        <v>2017.0</v>
      </c>
      <c r="B833" s="1" t="s">
        <v>50</v>
      </c>
      <c r="C833" s="1" t="s">
        <v>8</v>
      </c>
      <c r="D833" s="8">
        <v>7.0</v>
      </c>
      <c r="E833" s="8">
        <v>8.0</v>
      </c>
      <c r="F833" s="8">
        <v>85.0</v>
      </c>
      <c r="G833" s="1" t="s">
        <v>1016</v>
      </c>
      <c r="H833" s="1" t="str">
        <f t="shared" si="1"/>
        <v>Darren</v>
      </c>
      <c r="I833" s="1" t="str">
        <f t="shared" si="2"/>
        <v>Sproles</v>
      </c>
      <c r="J833" s="1" t="str">
        <f t="shared" si="3"/>
        <v>#N/A</v>
      </c>
      <c r="K833" s="1" t="str">
        <f>IFERROR(VLOOKUP($J833,Players!$D:$E,2,FALSE),VLOOKUP($G833,Players!A:E,5,FALSE))</f>
        <v>RB</v>
      </c>
    </row>
    <row r="834" ht="15.75" customHeight="1">
      <c r="A834" s="1">
        <v>2017.0</v>
      </c>
      <c r="B834" s="1" t="s">
        <v>50</v>
      </c>
      <c r="C834" s="1" t="s">
        <v>8</v>
      </c>
      <c r="D834" s="8">
        <v>7.0</v>
      </c>
      <c r="E834" s="8">
        <v>9.0</v>
      </c>
      <c r="F834" s="8">
        <v>108.0</v>
      </c>
      <c r="G834" s="1" t="s">
        <v>91</v>
      </c>
      <c r="H834" s="1" t="str">
        <f t="shared" si="1"/>
        <v>Tyrell</v>
      </c>
      <c r="I834" s="1" t="str">
        <f t="shared" si="2"/>
        <v>Williams</v>
      </c>
      <c r="J834" s="1" t="str">
        <f t="shared" si="3"/>
        <v>#N/A</v>
      </c>
      <c r="K834" s="1" t="str">
        <f>IFERROR(VLOOKUP($J834,Players!$D:$E,2,FALSE),VLOOKUP($G834,Players!A:E,5,FALSE))</f>
        <v>WR</v>
      </c>
    </row>
    <row r="835" ht="15.75" customHeight="1">
      <c r="A835" s="1">
        <v>2017.0</v>
      </c>
      <c r="B835" s="1" t="s">
        <v>50</v>
      </c>
      <c r="C835" s="1" t="s">
        <v>8</v>
      </c>
      <c r="D835" s="8">
        <v>7.0</v>
      </c>
      <c r="E835" s="8">
        <v>10.0</v>
      </c>
      <c r="F835" s="8">
        <v>109.0</v>
      </c>
      <c r="G835" s="1" t="s">
        <v>1665</v>
      </c>
      <c r="H835" s="1" t="str">
        <f t="shared" si="1"/>
        <v>Jordan</v>
      </c>
      <c r="I835" s="1" t="str">
        <f t="shared" si="2"/>
        <v>Matthews</v>
      </c>
      <c r="J835" s="1" t="str">
        <f t="shared" si="3"/>
        <v>#N/A</v>
      </c>
      <c r="K835" s="1" t="str">
        <f>IFERROR(VLOOKUP($J835,Players!$D:$E,2,FALSE),VLOOKUP($G835,Players!A:E,5,FALSE))</f>
        <v>TE</v>
      </c>
    </row>
    <row r="836" ht="15.75" customHeight="1">
      <c r="A836" s="1">
        <v>2017.0</v>
      </c>
      <c r="B836" s="1" t="s">
        <v>50</v>
      </c>
      <c r="C836" s="1" t="s">
        <v>8</v>
      </c>
      <c r="D836" s="8">
        <v>7.0</v>
      </c>
      <c r="E836" s="8">
        <v>11.0</v>
      </c>
      <c r="F836" s="8">
        <v>132.0</v>
      </c>
      <c r="G836" s="1" t="s">
        <v>369</v>
      </c>
      <c r="H836" s="1" t="str">
        <f t="shared" si="1"/>
        <v>New</v>
      </c>
      <c r="I836" s="1" t="str">
        <f t="shared" si="2"/>
        <v>England</v>
      </c>
      <c r="J836" s="1" t="str">
        <f t="shared" si="3"/>
        <v>#N/A</v>
      </c>
      <c r="K836" s="1" t="str">
        <f>IFERROR(VLOOKUP($J836,Players!$D:$E,2,FALSE),VLOOKUP($G836,Players!A:E,5,FALSE))</f>
        <v>DEF</v>
      </c>
    </row>
    <row r="837" ht="15.75" customHeight="1">
      <c r="A837" s="1">
        <v>2017.0</v>
      </c>
      <c r="B837" s="1" t="s">
        <v>50</v>
      </c>
      <c r="C837" s="1" t="s">
        <v>8</v>
      </c>
      <c r="D837" s="8">
        <v>7.0</v>
      </c>
      <c r="E837" s="8">
        <v>12.0</v>
      </c>
      <c r="F837" s="8">
        <v>133.0</v>
      </c>
      <c r="G837" s="1" t="s">
        <v>130</v>
      </c>
      <c r="H837" s="1" t="str">
        <f t="shared" si="1"/>
        <v>Kenny</v>
      </c>
      <c r="I837" s="1" t="str">
        <f t="shared" si="2"/>
        <v>Golladay</v>
      </c>
      <c r="J837" s="1" t="str">
        <f t="shared" si="3"/>
        <v>#N/A</v>
      </c>
      <c r="K837" s="1" t="str">
        <f>IFERROR(VLOOKUP($J837,Players!$D:$E,2,FALSE),VLOOKUP($G837,Players!A:E,5,FALSE))</f>
        <v>WR</v>
      </c>
    </row>
    <row r="838" ht="15.75" customHeight="1">
      <c r="A838" s="1">
        <v>2017.0</v>
      </c>
      <c r="B838" s="1" t="s">
        <v>50</v>
      </c>
      <c r="C838" s="1" t="s">
        <v>8</v>
      </c>
      <c r="D838" s="8">
        <v>7.0</v>
      </c>
      <c r="E838" s="8">
        <v>13.0</v>
      </c>
      <c r="F838" s="8">
        <v>156.0</v>
      </c>
      <c r="G838" s="1" t="s">
        <v>1276</v>
      </c>
      <c r="H838" s="1" t="str">
        <f t="shared" si="1"/>
        <v>Rex</v>
      </c>
      <c r="I838" s="1" t="str">
        <f t="shared" si="2"/>
        <v>Burkhead</v>
      </c>
      <c r="J838" s="1" t="str">
        <f t="shared" si="3"/>
        <v>#N/A</v>
      </c>
      <c r="K838" s="1" t="str">
        <f>IFERROR(VLOOKUP($J838,Players!$D:$E,2,FALSE),VLOOKUP($G838,Players!A:E,5,FALSE))</f>
        <v>RB</v>
      </c>
    </row>
    <row r="839" ht="15.75" customHeight="1">
      <c r="A839" s="1">
        <v>2017.0</v>
      </c>
      <c r="B839" s="1" t="s">
        <v>50</v>
      </c>
      <c r="C839" s="1" t="s">
        <v>8</v>
      </c>
      <c r="D839" s="8">
        <v>7.0</v>
      </c>
      <c r="E839" s="8">
        <v>14.0</v>
      </c>
      <c r="F839" s="8">
        <v>157.0</v>
      </c>
      <c r="G839" s="1" t="s">
        <v>307</v>
      </c>
      <c r="H839" s="1" t="str">
        <f t="shared" si="1"/>
        <v>Andy</v>
      </c>
      <c r="I839" s="1" t="str">
        <f t="shared" si="2"/>
        <v>Dalton</v>
      </c>
      <c r="J839" s="1" t="str">
        <f t="shared" si="3"/>
        <v>#N/A</v>
      </c>
      <c r="K839" s="1" t="str">
        <f>IFERROR(VLOOKUP($J839,Players!$D:$E,2,FALSE),VLOOKUP($G839,Players!A:E,5,FALSE))</f>
        <v>QB</v>
      </c>
    </row>
    <row r="840" ht="15.75" customHeight="1">
      <c r="A840" s="1">
        <v>2017.0</v>
      </c>
      <c r="B840" s="1" t="s">
        <v>50</v>
      </c>
      <c r="C840" s="1" t="s">
        <v>8</v>
      </c>
      <c r="D840" s="8">
        <v>7.0</v>
      </c>
      <c r="E840" s="8">
        <v>15.0</v>
      </c>
      <c r="F840" s="8">
        <v>180.0</v>
      </c>
      <c r="G840" s="1" t="s">
        <v>537</v>
      </c>
      <c r="H840" s="1" t="str">
        <f t="shared" si="1"/>
        <v>Brandon</v>
      </c>
      <c r="I840" s="1" t="str">
        <f t="shared" si="2"/>
        <v>McManus</v>
      </c>
      <c r="J840" s="1" t="str">
        <f t="shared" si="3"/>
        <v>#N/A</v>
      </c>
      <c r="K840" s="1" t="str">
        <f>IFERROR(VLOOKUP($J840,Players!$D:$E,2,FALSE),VLOOKUP($G840,Players!A:E,5,FALSE))</f>
        <v>K</v>
      </c>
    </row>
    <row r="841" ht="15.75" customHeight="1">
      <c r="A841" s="1">
        <v>2017.0</v>
      </c>
      <c r="B841" s="1" t="s">
        <v>16</v>
      </c>
      <c r="C841" s="1" t="s">
        <v>15</v>
      </c>
      <c r="D841" s="8">
        <v>8.0</v>
      </c>
      <c r="E841" s="8">
        <v>1.0</v>
      </c>
      <c r="F841" s="8">
        <v>9.0</v>
      </c>
      <c r="G841" s="1" t="s">
        <v>751</v>
      </c>
      <c r="H841" s="1" t="str">
        <f t="shared" si="1"/>
        <v>LeSean</v>
      </c>
      <c r="I841" s="1" t="str">
        <f t="shared" si="2"/>
        <v>McCoy</v>
      </c>
      <c r="J841" s="1" t="str">
        <f t="shared" si="3"/>
        <v>#N/A</v>
      </c>
      <c r="K841" s="1" t="str">
        <f>IFERROR(VLOOKUP($J841,Players!$D:$E,2,FALSE),VLOOKUP($G841,Players!A:E,5,FALSE))</f>
        <v>RB</v>
      </c>
    </row>
    <row r="842" ht="15.75" customHeight="1">
      <c r="A842" s="1">
        <v>2017.0</v>
      </c>
      <c r="B842" s="1" t="s">
        <v>16</v>
      </c>
      <c r="C842" s="1" t="s">
        <v>15</v>
      </c>
      <c r="D842" s="8">
        <v>8.0</v>
      </c>
      <c r="E842" s="8">
        <v>2.0</v>
      </c>
      <c r="F842" s="8">
        <v>16.0</v>
      </c>
      <c r="G842" s="1" t="s">
        <v>147</v>
      </c>
      <c r="H842" s="1" t="str">
        <f t="shared" si="1"/>
        <v>Brandin</v>
      </c>
      <c r="I842" s="1" t="str">
        <f t="shared" si="2"/>
        <v>Cooks</v>
      </c>
      <c r="J842" s="1" t="str">
        <f t="shared" si="3"/>
        <v>#N/A</v>
      </c>
      <c r="K842" s="1" t="str">
        <f>IFERROR(VLOOKUP($J842,Players!$D:$E,2,FALSE),VLOOKUP($G842,Players!A:E,5,FALSE))</f>
        <v>WR</v>
      </c>
    </row>
    <row r="843" ht="15.75" customHeight="1">
      <c r="A843" s="1">
        <v>2017.0</v>
      </c>
      <c r="B843" s="1" t="s">
        <v>16</v>
      </c>
      <c r="C843" s="1" t="s">
        <v>15</v>
      </c>
      <c r="D843" s="8">
        <v>8.0</v>
      </c>
      <c r="E843" s="8">
        <v>3.0</v>
      </c>
      <c r="F843" s="8">
        <v>33.0</v>
      </c>
      <c r="G843" s="1" t="s">
        <v>78</v>
      </c>
      <c r="H843" s="1" t="str">
        <f t="shared" si="1"/>
        <v>Christian</v>
      </c>
      <c r="I843" s="1" t="str">
        <f t="shared" si="2"/>
        <v>McCaffrey</v>
      </c>
      <c r="J843" s="1" t="str">
        <f t="shared" si="3"/>
        <v>#N/A</v>
      </c>
      <c r="K843" s="1" t="str">
        <f>IFERROR(VLOOKUP($J843,Players!$D:$E,2,FALSE),VLOOKUP($G843,Players!A:E,5,FALSE))</f>
        <v>RB</v>
      </c>
    </row>
    <row r="844" ht="15.75" customHeight="1">
      <c r="A844" s="1">
        <v>2017.0</v>
      </c>
      <c r="B844" s="1" t="s">
        <v>16</v>
      </c>
      <c r="C844" s="1" t="s">
        <v>15</v>
      </c>
      <c r="D844" s="8">
        <v>8.0</v>
      </c>
      <c r="E844" s="8">
        <v>4.0</v>
      </c>
      <c r="F844" s="8">
        <v>40.0</v>
      </c>
      <c r="G844" s="1" t="s">
        <v>80</v>
      </c>
      <c r="H844" s="1" t="str">
        <f t="shared" si="1"/>
        <v>Keenan</v>
      </c>
      <c r="I844" s="1" t="str">
        <f t="shared" si="2"/>
        <v>Allen</v>
      </c>
      <c r="J844" s="1" t="str">
        <f t="shared" si="3"/>
        <v>#N/A</v>
      </c>
      <c r="K844" s="1" t="str">
        <f>IFERROR(VLOOKUP($J844,Players!$D:$E,2,FALSE),VLOOKUP($G844,Players!A:E,5,FALSE))</f>
        <v>WR</v>
      </c>
    </row>
    <row r="845" ht="15.75" customHeight="1">
      <c r="A845" s="1">
        <v>2017.0</v>
      </c>
      <c r="B845" s="1" t="s">
        <v>16</v>
      </c>
      <c r="C845" s="1" t="s">
        <v>15</v>
      </c>
      <c r="D845" s="8">
        <v>8.0</v>
      </c>
      <c r="E845" s="8">
        <v>5.0</v>
      </c>
      <c r="F845" s="8">
        <v>57.0</v>
      </c>
      <c r="G845" s="1" t="s">
        <v>1682</v>
      </c>
      <c r="H845" s="1" t="str">
        <f t="shared" si="1"/>
        <v>Jeremy</v>
      </c>
      <c r="I845" s="1" t="str">
        <f t="shared" si="2"/>
        <v>Maclin</v>
      </c>
      <c r="J845" s="1" t="str">
        <f t="shared" si="3"/>
        <v>#N/A</v>
      </c>
      <c r="K845" s="1" t="str">
        <f>IFERROR(VLOOKUP($J845,Players!$D:$E,2,FALSE),VLOOKUP($G845,Players!A:E,5,FALSE))</f>
        <v>WR</v>
      </c>
    </row>
    <row r="846" ht="15.75" customHeight="1">
      <c r="A846" s="1">
        <v>2017.0</v>
      </c>
      <c r="B846" s="1" t="s">
        <v>16</v>
      </c>
      <c r="C846" s="1" t="s">
        <v>15</v>
      </c>
      <c r="D846" s="8">
        <v>8.0</v>
      </c>
      <c r="E846" s="8">
        <v>6.0</v>
      </c>
      <c r="F846" s="8">
        <v>64.0</v>
      </c>
      <c r="G846" s="1" t="s">
        <v>888</v>
      </c>
      <c r="H846" s="1" t="str">
        <f t="shared" si="1"/>
        <v>Corey</v>
      </c>
      <c r="I846" s="1" t="str">
        <f t="shared" si="2"/>
        <v>Coleman</v>
      </c>
      <c r="J846" s="1" t="str">
        <f t="shared" si="3"/>
        <v>#N/A</v>
      </c>
      <c r="K846" s="1" t="str">
        <f>IFERROR(VLOOKUP($J846,Players!$D:$E,2,FALSE),VLOOKUP($G846,Players!A:E,5,FALSE))</f>
        <v>WR</v>
      </c>
    </row>
    <row r="847" ht="15.75" customHeight="1">
      <c r="A847" s="1">
        <v>2017.0</v>
      </c>
      <c r="B847" s="1" t="s">
        <v>16</v>
      </c>
      <c r="C847" s="1" t="s">
        <v>15</v>
      </c>
      <c r="D847" s="8">
        <v>8.0</v>
      </c>
      <c r="E847" s="8">
        <v>7.0</v>
      </c>
      <c r="F847" s="8">
        <v>81.0</v>
      </c>
      <c r="G847" s="1" t="s">
        <v>1105</v>
      </c>
      <c r="H847" s="1" t="str">
        <f t="shared" si="1"/>
        <v>Jameis</v>
      </c>
      <c r="I847" s="1" t="str">
        <f t="shared" si="2"/>
        <v>Winston</v>
      </c>
      <c r="J847" s="1" t="str">
        <f t="shared" si="3"/>
        <v>#N/A</v>
      </c>
      <c r="K847" s="1" t="str">
        <f>IFERROR(VLOOKUP($J847,Players!$D:$E,2,FALSE),VLOOKUP($G847,Players!A:E,5,FALSE))</f>
        <v>QB</v>
      </c>
    </row>
    <row r="848" ht="15.75" customHeight="1">
      <c r="A848" s="1">
        <v>2017.0</v>
      </c>
      <c r="B848" s="1" t="s">
        <v>16</v>
      </c>
      <c r="C848" s="1" t="s">
        <v>15</v>
      </c>
      <c r="D848" s="8">
        <v>8.0</v>
      </c>
      <c r="E848" s="8">
        <v>8.0</v>
      </c>
      <c r="F848" s="8">
        <v>88.0</v>
      </c>
      <c r="G848" s="1" t="s">
        <v>527</v>
      </c>
      <c r="H848" s="1" t="str">
        <f t="shared" si="1"/>
        <v>Hunter</v>
      </c>
      <c r="I848" s="1" t="str">
        <f t="shared" si="2"/>
        <v>Henry</v>
      </c>
      <c r="J848" s="1" t="str">
        <f t="shared" si="3"/>
        <v>#N/A</v>
      </c>
      <c r="K848" s="1" t="str">
        <f>IFERROR(VLOOKUP($J848,Players!$D:$E,2,FALSE),VLOOKUP($G848,Players!A:E,5,FALSE))</f>
        <v>TE</v>
      </c>
    </row>
    <row r="849" ht="15.75" customHeight="1">
      <c r="A849" s="1">
        <v>2017.0</v>
      </c>
      <c r="B849" s="1" t="s">
        <v>16</v>
      </c>
      <c r="C849" s="1" t="s">
        <v>15</v>
      </c>
      <c r="D849" s="8">
        <v>8.0</v>
      </c>
      <c r="E849" s="8">
        <v>9.0</v>
      </c>
      <c r="F849" s="8">
        <v>105.0</v>
      </c>
      <c r="G849" s="1" t="s">
        <v>168</v>
      </c>
      <c r="H849" s="1" t="str">
        <f t="shared" si="1"/>
        <v>Derrick</v>
      </c>
      <c r="I849" s="1" t="str">
        <f t="shared" si="2"/>
        <v>Henry</v>
      </c>
      <c r="J849" s="1" t="str">
        <f t="shared" si="3"/>
        <v>#N/A</v>
      </c>
      <c r="K849" s="1" t="str">
        <f>IFERROR(VLOOKUP($J849,Players!$D:$E,2,FALSE),VLOOKUP($G849,Players!A:E,5,FALSE))</f>
        <v>RB</v>
      </c>
    </row>
    <row r="850" ht="15.75" customHeight="1">
      <c r="A850" s="1">
        <v>2017.0</v>
      </c>
      <c r="B850" s="1" t="s">
        <v>16</v>
      </c>
      <c r="C850" s="1" t="s">
        <v>15</v>
      </c>
      <c r="D850" s="8">
        <v>8.0</v>
      </c>
      <c r="E850" s="8">
        <v>10.0</v>
      </c>
      <c r="F850" s="8">
        <v>112.0</v>
      </c>
      <c r="G850" s="1" t="s">
        <v>273</v>
      </c>
      <c r="H850" s="1" t="str">
        <f t="shared" si="1"/>
        <v>Corey</v>
      </c>
      <c r="I850" s="1" t="str">
        <f t="shared" si="2"/>
        <v>Davis</v>
      </c>
      <c r="J850" s="1" t="str">
        <f t="shared" si="3"/>
        <v>#N/A</v>
      </c>
      <c r="K850" s="1" t="str">
        <f>IFERROR(VLOOKUP($J850,Players!$D:$E,2,FALSE),VLOOKUP($G850,Players!A:E,5,FALSE))</f>
        <v>WR</v>
      </c>
    </row>
    <row r="851" ht="15.75" customHeight="1">
      <c r="A851" s="1">
        <v>2017.0</v>
      </c>
      <c r="B851" s="1" t="s">
        <v>16</v>
      </c>
      <c r="C851" s="1" t="s">
        <v>15</v>
      </c>
      <c r="D851" s="8">
        <v>8.0</v>
      </c>
      <c r="E851" s="8">
        <v>11.0</v>
      </c>
      <c r="F851" s="8">
        <v>129.0</v>
      </c>
      <c r="G851" s="1" t="s">
        <v>196</v>
      </c>
      <c r="H851" s="1" t="str">
        <f t="shared" si="1"/>
        <v>Curtis</v>
      </c>
      <c r="I851" s="1" t="str">
        <f t="shared" si="2"/>
        <v>Samuel</v>
      </c>
      <c r="J851" s="1" t="str">
        <f t="shared" si="3"/>
        <v>#N/A</v>
      </c>
      <c r="K851" s="1" t="str">
        <f>IFERROR(VLOOKUP($J851,Players!$D:$E,2,FALSE),VLOOKUP($G851,Players!A:E,5,FALSE))</f>
        <v>WR</v>
      </c>
    </row>
    <row r="852" ht="15.75" customHeight="1">
      <c r="A852" s="1">
        <v>2017.0</v>
      </c>
      <c r="B852" s="1" t="s">
        <v>16</v>
      </c>
      <c r="C852" s="1" t="s">
        <v>15</v>
      </c>
      <c r="D852" s="8">
        <v>8.0</v>
      </c>
      <c r="E852" s="8">
        <v>12.0</v>
      </c>
      <c r="F852" s="8">
        <v>136.0</v>
      </c>
      <c r="G852" s="1" t="s">
        <v>703</v>
      </c>
      <c r="H852" s="1" t="str">
        <f t="shared" si="1"/>
        <v>#VALUE!</v>
      </c>
      <c r="I852" s="1" t="str">
        <f t="shared" si="2"/>
        <v>#VALUE!</v>
      </c>
      <c r="J852" s="1" t="str">
        <f t="shared" si="3"/>
        <v>#N/A</v>
      </c>
      <c r="K852" s="1" t="str">
        <f>IFERROR(VLOOKUP($J852,Players!$D:$E,2,FALSE),VLOOKUP($G852,Players!A:E,5,FALSE))</f>
        <v>DEF</v>
      </c>
    </row>
    <row r="853" ht="15.75" customHeight="1">
      <c r="A853" s="1">
        <v>2017.0</v>
      </c>
      <c r="B853" s="1" t="s">
        <v>16</v>
      </c>
      <c r="C853" s="1" t="s">
        <v>15</v>
      </c>
      <c r="D853" s="8">
        <v>8.0</v>
      </c>
      <c r="E853" s="8">
        <v>13.0</v>
      </c>
      <c r="F853" s="8">
        <v>153.0</v>
      </c>
      <c r="G853" s="1" t="s">
        <v>959</v>
      </c>
      <c r="H853" s="1" t="str">
        <f t="shared" si="1"/>
        <v>Dan</v>
      </c>
      <c r="I853" s="1" t="str">
        <f t="shared" si="2"/>
        <v>Bailey</v>
      </c>
      <c r="J853" s="1" t="str">
        <f t="shared" si="3"/>
        <v>#N/A</v>
      </c>
      <c r="K853" s="1" t="str">
        <f>IFERROR(VLOOKUP($J853,Players!$D:$E,2,FALSE),VLOOKUP($G853,Players!A:E,5,FALSE))</f>
        <v>K</v>
      </c>
    </row>
    <row r="854" ht="15.75" customHeight="1">
      <c r="A854" s="1">
        <v>2017.0</v>
      </c>
      <c r="B854" s="1" t="s">
        <v>16</v>
      </c>
      <c r="C854" s="1" t="s">
        <v>15</v>
      </c>
      <c r="D854" s="8">
        <v>8.0</v>
      </c>
      <c r="E854" s="8">
        <v>14.0</v>
      </c>
      <c r="F854" s="8">
        <v>160.0</v>
      </c>
      <c r="G854" s="1" t="s">
        <v>687</v>
      </c>
      <c r="H854" s="1" t="str">
        <f t="shared" si="1"/>
        <v>Cameron</v>
      </c>
      <c r="I854" s="1" t="str">
        <f t="shared" si="2"/>
        <v>Brate</v>
      </c>
      <c r="J854" s="1" t="str">
        <f t="shared" si="3"/>
        <v>#N/A</v>
      </c>
      <c r="K854" s="1" t="str">
        <f>IFERROR(VLOOKUP($J854,Players!$D:$E,2,FALSE),VLOOKUP($G854,Players!A:E,5,FALSE))</f>
        <v>TE</v>
      </c>
    </row>
    <row r="855" ht="15.75" customHeight="1">
      <c r="A855" s="1">
        <v>2017.0</v>
      </c>
      <c r="B855" s="1" t="s">
        <v>16</v>
      </c>
      <c r="C855" s="1" t="s">
        <v>15</v>
      </c>
      <c r="D855" s="8">
        <v>8.0</v>
      </c>
      <c r="E855" s="8">
        <v>15.0</v>
      </c>
      <c r="F855" s="8">
        <v>177.0</v>
      </c>
      <c r="G855" s="1" t="s">
        <v>1695</v>
      </c>
      <c r="H855" s="1" t="str">
        <f t="shared" si="1"/>
        <v>Tyrod</v>
      </c>
      <c r="I855" s="1" t="str">
        <f t="shared" si="2"/>
        <v>Taylor</v>
      </c>
      <c r="J855" s="1" t="str">
        <f t="shared" si="3"/>
        <v>#N/A</v>
      </c>
      <c r="K855" s="1" t="str">
        <f>IFERROR(VLOOKUP($J855,Players!$D:$E,2,FALSE),VLOOKUP($G855,Players!A:E,5,FALSE))</f>
        <v>QB</v>
      </c>
    </row>
    <row r="856" ht="15.75" customHeight="1">
      <c r="A856" s="1">
        <v>2017.0</v>
      </c>
      <c r="B856" s="1" t="s">
        <v>67</v>
      </c>
      <c r="C856" s="1" t="s">
        <v>22</v>
      </c>
      <c r="D856" s="8">
        <v>12.0</v>
      </c>
      <c r="E856" s="8">
        <v>1.0</v>
      </c>
      <c r="F856" s="8">
        <v>7.0</v>
      </c>
      <c r="G856" s="1" t="s">
        <v>181</v>
      </c>
      <c r="H856" s="1" t="str">
        <f t="shared" si="1"/>
        <v>Odell</v>
      </c>
      <c r="I856" s="1" t="str">
        <f t="shared" si="2"/>
        <v>Beckham Jr</v>
      </c>
      <c r="J856" s="1" t="str">
        <f t="shared" si="3"/>
        <v>#N/A</v>
      </c>
      <c r="K856" s="1" t="str">
        <f>IFERROR(VLOOKUP($J856,Players!$D:$E,2,FALSE),VLOOKUP($G856,Players!A:E,5,FALSE))</f>
        <v>#N/A</v>
      </c>
    </row>
    <row r="857" ht="15.75" customHeight="1">
      <c r="A857" s="1">
        <v>2017.0</v>
      </c>
      <c r="B857" s="1" t="s">
        <v>67</v>
      </c>
      <c r="C857" s="1" t="s">
        <v>22</v>
      </c>
      <c r="D857" s="8">
        <v>12.0</v>
      </c>
      <c r="E857" s="8">
        <v>2.0</v>
      </c>
      <c r="F857" s="8">
        <v>18.0</v>
      </c>
      <c r="G857" s="1" t="s">
        <v>760</v>
      </c>
      <c r="H857" s="1" t="str">
        <f t="shared" si="1"/>
        <v>Todd</v>
      </c>
      <c r="I857" s="1" t="str">
        <f t="shared" si="2"/>
        <v>Gurley II</v>
      </c>
      <c r="J857" s="1" t="str">
        <f t="shared" si="3"/>
        <v>#N/A</v>
      </c>
      <c r="K857" s="1" t="str">
        <f>IFERROR(VLOOKUP($J857,Players!$D:$E,2,FALSE),VLOOKUP($G857,Players!A:E,5,FALSE))</f>
        <v>#N/A</v>
      </c>
    </row>
    <row r="858" ht="15.75" customHeight="1">
      <c r="A858" s="1">
        <v>2017.0</v>
      </c>
      <c r="B858" s="1" t="s">
        <v>67</v>
      </c>
      <c r="C858" s="1" t="s">
        <v>22</v>
      </c>
      <c r="D858" s="8">
        <v>12.0</v>
      </c>
      <c r="E858" s="8">
        <v>3.0</v>
      </c>
      <c r="F858" s="8">
        <v>31.0</v>
      </c>
      <c r="G858" s="1" t="s">
        <v>1096</v>
      </c>
      <c r="H858" s="1" t="str">
        <f t="shared" si="1"/>
        <v>Demaryius</v>
      </c>
      <c r="I858" s="1" t="str">
        <f t="shared" si="2"/>
        <v>Thomas</v>
      </c>
      <c r="J858" s="1" t="str">
        <f t="shared" si="3"/>
        <v>#N/A</v>
      </c>
      <c r="K858" s="1" t="str">
        <f>IFERROR(VLOOKUP($J858,Players!$D:$E,2,FALSE),VLOOKUP($G858,Players!A:E,5,FALSE))</f>
        <v>WR</v>
      </c>
    </row>
    <row r="859" ht="15.75" customHeight="1">
      <c r="A859" s="1">
        <v>2017.0</v>
      </c>
      <c r="B859" s="1" t="s">
        <v>67</v>
      </c>
      <c r="C859" s="1" t="s">
        <v>22</v>
      </c>
      <c r="D859" s="8">
        <v>12.0</v>
      </c>
      <c r="E859" s="8">
        <v>4.0</v>
      </c>
      <c r="F859" s="8">
        <v>42.0</v>
      </c>
      <c r="G859" s="1" t="s">
        <v>1336</v>
      </c>
      <c r="H859" s="1" t="str">
        <f t="shared" si="1"/>
        <v>Marshawn</v>
      </c>
      <c r="I859" s="1" t="str">
        <f t="shared" si="2"/>
        <v>Lynch</v>
      </c>
      <c r="J859" s="1" t="str">
        <f t="shared" si="3"/>
        <v>#N/A</v>
      </c>
      <c r="K859" s="1" t="str">
        <f>IFERROR(VLOOKUP($J859,Players!$D:$E,2,FALSE),VLOOKUP($G859,Players!A:E,5,FALSE))</f>
        <v>RB</v>
      </c>
    </row>
    <row r="860" ht="15.75" customHeight="1">
      <c r="A860" s="1">
        <v>2017.0</v>
      </c>
      <c r="B860" s="1" t="s">
        <v>67</v>
      </c>
      <c r="C860" s="1" t="s">
        <v>22</v>
      </c>
      <c r="D860" s="8">
        <v>12.0</v>
      </c>
      <c r="E860" s="8">
        <v>5.0</v>
      </c>
      <c r="F860" s="8">
        <v>55.0</v>
      </c>
      <c r="G860" s="1" t="s">
        <v>1467</v>
      </c>
      <c r="H860" s="1" t="str">
        <f t="shared" si="1"/>
        <v>Jimmy</v>
      </c>
      <c r="I860" s="1" t="str">
        <f t="shared" si="2"/>
        <v>Graham</v>
      </c>
      <c r="J860" s="1" t="str">
        <f t="shared" si="3"/>
        <v>#N/A</v>
      </c>
      <c r="K860" s="1" t="str">
        <f>IFERROR(VLOOKUP($J860,Players!$D:$E,2,FALSE),VLOOKUP($G860,Players!A:E,5,FALSE))</f>
        <v>TE</v>
      </c>
    </row>
    <row r="861" ht="15.75" customHeight="1">
      <c r="A861" s="1">
        <v>2017.0</v>
      </c>
      <c r="B861" s="1" t="s">
        <v>67</v>
      </c>
      <c r="C861" s="1" t="s">
        <v>22</v>
      </c>
      <c r="D861" s="8">
        <v>12.0</v>
      </c>
      <c r="E861" s="8">
        <v>6.0</v>
      </c>
      <c r="F861" s="8">
        <v>66.0</v>
      </c>
      <c r="G861" s="1" t="s">
        <v>1703</v>
      </c>
      <c r="H861" s="1" t="str">
        <f t="shared" si="1"/>
        <v>Paul</v>
      </c>
      <c r="I861" s="1" t="str">
        <f t="shared" si="2"/>
        <v>Perkins</v>
      </c>
      <c r="J861" s="1" t="str">
        <f t="shared" si="3"/>
        <v>#N/A</v>
      </c>
      <c r="K861" s="1" t="str">
        <f>IFERROR(VLOOKUP($J861,Players!$D:$E,2,FALSE),VLOOKUP($G861,Players!A:E,5,FALSE))</f>
        <v>RB</v>
      </c>
    </row>
    <row r="862" ht="15.75" customHeight="1">
      <c r="A862" s="1">
        <v>2017.0</v>
      </c>
      <c r="B862" s="1" t="s">
        <v>67</v>
      </c>
      <c r="C862" s="1" t="s">
        <v>22</v>
      </c>
      <c r="D862" s="8">
        <v>12.0</v>
      </c>
      <c r="E862" s="8">
        <v>7.0</v>
      </c>
      <c r="F862" s="8">
        <v>79.0</v>
      </c>
      <c r="G862" s="1" t="s">
        <v>972</v>
      </c>
      <c r="H862" s="1" t="str">
        <f t="shared" si="1"/>
        <v>Donte</v>
      </c>
      <c r="I862" s="1" t="str">
        <f t="shared" si="2"/>
        <v>Moncrief</v>
      </c>
      <c r="J862" s="1" t="str">
        <f t="shared" si="3"/>
        <v>#N/A</v>
      </c>
      <c r="K862" s="1" t="str">
        <f>IFERROR(VLOOKUP($J862,Players!$D:$E,2,FALSE),VLOOKUP($G862,Players!A:E,5,FALSE))</f>
        <v>WR</v>
      </c>
    </row>
    <row r="863" ht="15.75" customHeight="1">
      <c r="A863" s="1">
        <v>2017.0</v>
      </c>
      <c r="B863" s="1" t="s">
        <v>67</v>
      </c>
      <c r="C863" s="1" t="s">
        <v>22</v>
      </c>
      <c r="D863" s="8">
        <v>12.0</v>
      </c>
      <c r="E863" s="8">
        <v>8.0</v>
      </c>
      <c r="F863" s="8">
        <v>90.0</v>
      </c>
      <c r="G863" s="1" t="s">
        <v>299</v>
      </c>
      <c r="H863" s="1" t="str">
        <f t="shared" si="1"/>
        <v>Andrew</v>
      </c>
      <c r="I863" s="1" t="str">
        <f t="shared" si="2"/>
        <v>Luck</v>
      </c>
      <c r="J863" s="1" t="str">
        <f t="shared" si="3"/>
        <v>#N/A</v>
      </c>
      <c r="K863" s="1" t="str">
        <f>IFERROR(VLOOKUP($J863,Players!$D:$E,2,FALSE),VLOOKUP($G863,Players!A:E,5,FALSE))</f>
        <v>QB</v>
      </c>
    </row>
    <row r="864" ht="15.75" customHeight="1">
      <c r="A864" s="1">
        <v>2017.0</v>
      </c>
      <c r="B864" s="1" t="s">
        <v>67</v>
      </c>
      <c r="C864" s="1" t="s">
        <v>22</v>
      </c>
      <c r="D864" s="8">
        <v>12.0</v>
      </c>
      <c r="E864" s="8">
        <v>9.0</v>
      </c>
      <c r="F864" s="8">
        <v>103.0</v>
      </c>
      <c r="G864" s="1" t="s">
        <v>1314</v>
      </c>
      <c r="H864" s="1" t="str">
        <f t="shared" si="1"/>
        <v>Eric</v>
      </c>
      <c r="I864" s="1" t="str">
        <f t="shared" si="2"/>
        <v>Decker</v>
      </c>
      <c r="J864" s="1" t="str">
        <f t="shared" si="3"/>
        <v>#N/A</v>
      </c>
      <c r="K864" s="1" t="str">
        <f>IFERROR(VLOOKUP($J864,Players!$D:$E,2,FALSE),VLOOKUP($G864,Players!A:E,5,FALSE))</f>
        <v>WR</v>
      </c>
    </row>
    <row r="865" ht="15.75" customHeight="1">
      <c r="A865" s="1">
        <v>2017.0</v>
      </c>
      <c r="B865" s="1" t="s">
        <v>67</v>
      </c>
      <c r="C865" s="1" t="s">
        <v>22</v>
      </c>
      <c r="D865" s="8">
        <v>12.0</v>
      </c>
      <c r="E865" s="8">
        <v>10.0</v>
      </c>
      <c r="F865" s="8">
        <v>114.0</v>
      </c>
      <c r="G865" s="1" t="s">
        <v>1706</v>
      </c>
      <c r="H865" s="1" t="str">
        <f t="shared" si="1"/>
        <v>Terrance</v>
      </c>
      <c r="I865" s="1" t="str">
        <f t="shared" si="2"/>
        <v>West</v>
      </c>
      <c r="J865" s="1" t="str">
        <f t="shared" si="3"/>
        <v>#N/A</v>
      </c>
      <c r="K865" s="1" t="str">
        <f>IFERROR(VLOOKUP($J865,Players!$D:$E,2,FALSE),VLOOKUP($G865,Players!A:E,5,FALSE))</f>
        <v>RB</v>
      </c>
    </row>
    <row r="866" ht="15.75" customHeight="1">
      <c r="A866" s="1">
        <v>2017.0</v>
      </c>
      <c r="B866" s="1" t="s">
        <v>67</v>
      </c>
      <c r="C866" s="1" t="s">
        <v>22</v>
      </c>
      <c r="D866" s="8">
        <v>12.0</v>
      </c>
      <c r="E866" s="8">
        <v>11.0</v>
      </c>
      <c r="F866" s="8">
        <v>127.0</v>
      </c>
      <c r="G866" s="1" t="s">
        <v>1291</v>
      </c>
      <c r="H866" s="1" t="str">
        <f t="shared" si="1"/>
        <v>Eli</v>
      </c>
      <c r="I866" s="1" t="str">
        <f t="shared" si="2"/>
        <v>Manning</v>
      </c>
      <c r="J866" s="1" t="str">
        <f t="shared" si="3"/>
        <v>#N/A</v>
      </c>
      <c r="K866" s="1" t="str">
        <f>IFERROR(VLOOKUP($J866,Players!$D:$E,2,FALSE),VLOOKUP($G866,Players!A:E,5,FALSE))</f>
        <v>QB</v>
      </c>
    </row>
    <row r="867" ht="15.75" customHeight="1">
      <c r="A867" s="1">
        <v>2017.0</v>
      </c>
      <c r="B867" s="1" t="s">
        <v>67</v>
      </c>
      <c r="C867" s="1" t="s">
        <v>22</v>
      </c>
      <c r="D867" s="8">
        <v>12.0</v>
      </c>
      <c r="E867" s="8">
        <v>12.0</v>
      </c>
      <c r="F867" s="8">
        <v>138.0</v>
      </c>
      <c r="G867" s="1" t="s">
        <v>1707</v>
      </c>
      <c r="H867" s="1" t="str">
        <f t="shared" si="1"/>
        <v>Jeremy</v>
      </c>
      <c r="I867" s="1" t="str">
        <f t="shared" si="2"/>
        <v>Hill</v>
      </c>
      <c r="J867" s="1" t="str">
        <f t="shared" si="3"/>
        <v>#N/A</v>
      </c>
      <c r="K867" s="1" t="str">
        <f>IFERROR(VLOOKUP($J867,Players!$D:$E,2,FALSE),VLOOKUP($G867,Players!A:E,5,FALSE))</f>
        <v>RB</v>
      </c>
    </row>
    <row r="868" ht="15.75" customHeight="1">
      <c r="A868" s="1">
        <v>2017.0</v>
      </c>
      <c r="B868" s="1" t="s">
        <v>67</v>
      </c>
      <c r="C868" s="1" t="s">
        <v>22</v>
      </c>
      <c r="D868" s="8">
        <v>12.0</v>
      </c>
      <c r="E868" s="8">
        <v>13.0</v>
      </c>
      <c r="F868" s="8">
        <v>151.0</v>
      </c>
      <c r="G868" s="1" t="s">
        <v>1709</v>
      </c>
      <c r="H868" s="1" t="str">
        <f t="shared" si="1"/>
        <v>Josh</v>
      </c>
      <c r="I868" s="1" t="str">
        <f t="shared" si="2"/>
        <v>Doctson</v>
      </c>
      <c r="J868" s="1" t="str">
        <f t="shared" si="3"/>
        <v>#N/A</v>
      </c>
      <c r="K868" s="1" t="str">
        <f>IFERROR(VLOOKUP($J868,Players!$D:$E,2,FALSE),VLOOKUP($G868,Players!A:E,5,FALSE))</f>
        <v>WR</v>
      </c>
    </row>
    <row r="869" ht="15.75" customHeight="1">
      <c r="A869" s="1">
        <v>2017.0</v>
      </c>
      <c r="B869" s="1" t="s">
        <v>67</v>
      </c>
      <c r="C869" s="1" t="s">
        <v>22</v>
      </c>
      <c r="D869" s="8">
        <v>12.0</v>
      </c>
      <c r="E869" s="8">
        <v>14.0</v>
      </c>
      <c r="F869" s="8">
        <v>162.0</v>
      </c>
      <c r="G869" s="1" t="s">
        <v>132</v>
      </c>
      <c r="H869" s="1" t="str">
        <f t="shared" si="1"/>
        <v>#VALUE!</v>
      </c>
      <c r="I869" s="1" t="str">
        <f t="shared" si="2"/>
        <v>#VALUE!</v>
      </c>
      <c r="J869" s="1" t="str">
        <f t="shared" si="3"/>
        <v>#N/A</v>
      </c>
      <c r="K869" s="1" t="str">
        <f>IFERROR(VLOOKUP($J869,Players!$D:$E,2,FALSE),VLOOKUP($G869,Players!A:E,5,FALSE))</f>
        <v>DEF</v>
      </c>
    </row>
    <row r="870" ht="15.75" customHeight="1">
      <c r="A870" s="1">
        <v>2017.0</v>
      </c>
      <c r="B870" s="1" t="s">
        <v>67</v>
      </c>
      <c r="C870" s="1" t="s">
        <v>22</v>
      </c>
      <c r="D870" s="8">
        <v>12.0</v>
      </c>
      <c r="E870" s="8">
        <v>15.0</v>
      </c>
      <c r="F870" s="8">
        <v>175.0</v>
      </c>
      <c r="G870" s="1" t="s">
        <v>771</v>
      </c>
      <c r="H870" s="1" t="str">
        <f t="shared" si="1"/>
        <v>Chris</v>
      </c>
      <c r="I870" s="1" t="str">
        <f t="shared" si="2"/>
        <v>Boswell</v>
      </c>
      <c r="J870" s="1" t="str">
        <f t="shared" si="3"/>
        <v>#N/A</v>
      </c>
      <c r="K870" s="1" t="str">
        <f>IFERROR(VLOOKUP($J870,Players!$D:$E,2,FALSE),VLOOKUP($G870,Players!A:E,5,FALSE))</f>
        <v>K</v>
      </c>
    </row>
    <row r="871" ht="15.75" customHeight="1">
      <c r="A871" s="1">
        <v>2017.0</v>
      </c>
      <c r="B871" s="1" t="s">
        <v>41</v>
      </c>
      <c r="C871" s="1" t="s">
        <v>26</v>
      </c>
      <c r="D871" s="8">
        <v>11.0</v>
      </c>
      <c r="E871" s="8">
        <v>1.0</v>
      </c>
      <c r="F871" s="8">
        <v>6.0</v>
      </c>
      <c r="G871" s="1" t="s">
        <v>391</v>
      </c>
      <c r="H871" s="1" t="str">
        <f t="shared" si="1"/>
        <v>Mike</v>
      </c>
      <c r="I871" s="1" t="str">
        <f t="shared" si="2"/>
        <v>Evans</v>
      </c>
      <c r="J871" s="1" t="str">
        <f t="shared" si="3"/>
        <v>#N/A</v>
      </c>
      <c r="K871" s="1" t="str">
        <f>IFERROR(VLOOKUP($J871,Players!$D:$E,2,FALSE),VLOOKUP($G871,Players!A:E,5,FALSE))</f>
        <v>WR</v>
      </c>
    </row>
    <row r="872" ht="15.75" customHeight="1">
      <c r="A872" s="1">
        <v>2017.0</v>
      </c>
      <c r="B872" s="1" t="s">
        <v>41</v>
      </c>
      <c r="C872" s="1" t="s">
        <v>26</v>
      </c>
      <c r="D872" s="8">
        <v>11.0</v>
      </c>
      <c r="E872" s="8">
        <v>2.0</v>
      </c>
      <c r="F872" s="8">
        <v>19.0</v>
      </c>
      <c r="G872" s="1" t="s">
        <v>1092</v>
      </c>
      <c r="H872" s="1" t="str">
        <f t="shared" si="1"/>
        <v>DeMarco</v>
      </c>
      <c r="I872" s="1" t="str">
        <f t="shared" si="2"/>
        <v>Murray</v>
      </c>
      <c r="J872" s="1" t="str">
        <f t="shared" si="3"/>
        <v>#N/A</v>
      </c>
      <c r="K872" s="1" t="str">
        <f>IFERROR(VLOOKUP($J872,Players!$D:$E,2,FALSE),VLOOKUP($G872,Players!A:E,5,FALSE))</f>
        <v>RB</v>
      </c>
    </row>
    <row r="873" ht="15.75" customHeight="1">
      <c r="A873" s="1">
        <v>2017.0</v>
      </c>
      <c r="B873" s="1" t="s">
        <v>41</v>
      </c>
      <c r="C873" s="1" t="s">
        <v>26</v>
      </c>
      <c r="D873" s="8">
        <v>11.0</v>
      </c>
      <c r="E873" s="8">
        <v>3.0</v>
      </c>
      <c r="F873" s="8">
        <v>30.0</v>
      </c>
      <c r="G873" s="1" t="s">
        <v>524</v>
      </c>
      <c r="H873" s="1" t="str">
        <f t="shared" si="1"/>
        <v>Matt</v>
      </c>
      <c r="I873" s="1" t="str">
        <f t="shared" si="2"/>
        <v>Ryan</v>
      </c>
      <c r="J873" s="1" t="str">
        <f t="shared" si="3"/>
        <v>#N/A</v>
      </c>
      <c r="K873" s="1" t="str">
        <f>IFERROR(VLOOKUP($J873,Players!$D:$E,2,FALSE),VLOOKUP($G873,Players!A:E,5,FALSE))</f>
        <v>QB</v>
      </c>
    </row>
    <row r="874" ht="15.75" customHeight="1">
      <c r="A874" s="1">
        <v>2017.0</v>
      </c>
      <c r="B874" s="1" t="s">
        <v>41</v>
      </c>
      <c r="C874" s="1" t="s">
        <v>26</v>
      </c>
      <c r="D874" s="8">
        <v>11.0</v>
      </c>
      <c r="E874" s="8">
        <v>4.0</v>
      </c>
      <c r="F874" s="8">
        <v>43.0</v>
      </c>
      <c r="G874" s="1" t="s">
        <v>1390</v>
      </c>
      <c r="H874" s="1" t="str">
        <f t="shared" si="1"/>
        <v>Michael</v>
      </c>
      <c r="I874" s="1" t="str">
        <f t="shared" si="2"/>
        <v>Crabtree</v>
      </c>
      <c r="J874" s="1" t="str">
        <f t="shared" si="3"/>
        <v>#N/A</v>
      </c>
      <c r="K874" s="1" t="str">
        <f>IFERROR(VLOOKUP($J874,Players!$D:$E,2,FALSE),VLOOKUP($G874,Players!A:E,5,FALSE))</f>
        <v>WR</v>
      </c>
    </row>
    <row r="875" ht="15.75" customHeight="1">
      <c r="A875" s="1">
        <v>2017.0</v>
      </c>
      <c r="B875" s="1" t="s">
        <v>41</v>
      </c>
      <c r="C875" s="1" t="s">
        <v>26</v>
      </c>
      <c r="D875" s="8">
        <v>11.0</v>
      </c>
      <c r="E875" s="8">
        <v>5.0</v>
      </c>
      <c r="F875" s="8">
        <v>54.0</v>
      </c>
      <c r="G875" s="1" t="s">
        <v>645</v>
      </c>
      <c r="H875" s="1" t="str">
        <f t="shared" si="1"/>
        <v>CJ</v>
      </c>
      <c r="I875" s="1" t="str">
        <f t="shared" si="2"/>
        <v>Anderson</v>
      </c>
      <c r="J875" s="1" t="str">
        <f t="shared" si="3"/>
        <v>#N/A</v>
      </c>
      <c r="K875" s="1" t="str">
        <f>IFERROR(VLOOKUP($J875,Players!$D:$E,2,FALSE),VLOOKUP($G875,Players!A:E,5,FALSE))</f>
        <v>RB</v>
      </c>
    </row>
    <row r="876" ht="15.75" customHeight="1">
      <c r="A876" s="1">
        <v>2017.0</v>
      </c>
      <c r="B876" s="1" t="s">
        <v>41</v>
      </c>
      <c r="C876" s="1" t="s">
        <v>26</v>
      </c>
      <c r="D876" s="8">
        <v>11.0</v>
      </c>
      <c r="E876" s="8">
        <v>6.0</v>
      </c>
      <c r="F876" s="8">
        <v>67.0</v>
      </c>
      <c r="G876" s="1" t="s">
        <v>1720</v>
      </c>
      <c r="H876" s="1" t="str">
        <f t="shared" si="1"/>
        <v>Tyler</v>
      </c>
      <c r="I876" s="1" t="str">
        <f t="shared" si="2"/>
        <v>Eifert</v>
      </c>
      <c r="J876" s="1" t="str">
        <f t="shared" si="3"/>
        <v>#N/A</v>
      </c>
      <c r="K876" s="1" t="str">
        <f>IFERROR(VLOOKUP($J876,Players!$D:$E,2,FALSE),VLOOKUP($G876,Players!A:E,5,FALSE))</f>
        <v>TE</v>
      </c>
    </row>
    <row r="877" ht="15.75" customHeight="1">
      <c r="A877" s="1">
        <v>2017.0</v>
      </c>
      <c r="B877" s="1" t="s">
        <v>41</v>
      </c>
      <c r="C877" s="1" t="s">
        <v>26</v>
      </c>
      <c r="D877" s="8">
        <v>11.0</v>
      </c>
      <c r="E877" s="8">
        <v>7.0</v>
      </c>
      <c r="F877" s="8">
        <v>78.0</v>
      </c>
      <c r="G877" s="1" t="s">
        <v>243</v>
      </c>
      <c r="H877" s="1" t="str">
        <f t="shared" si="1"/>
        <v>Marvin</v>
      </c>
      <c r="I877" s="1" t="str">
        <f t="shared" si="2"/>
        <v>Jones Jr</v>
      </c>
      <c r="J877" s="1" t="str">
        <f t="shared" si="3"/>
        <v>#N/A</v>
      </c>
      <c r="K877" s="1" t="str">
        <f>IFERROR(VLOOKUP($J877,Players!$D:$E,2,FALSE),VLOOKUP($G877,Players!A:E,5,FALSE))</f>
        <v>#N/A</v>
      </c>
    </row>
    <row r="878" ht="15.75" customHeight="1">
      <c r="A878" s="1">
        <v>2017.0</v>
      </c>
      <c r="B878" s="1" t="s">
        <v>41</v>
      </c>
      <c r="C878" s="1" t="s">
        <v>26</v>
      </c>
      <c r="D878" s="8">
        <v>11.0</v>
      </c>
      <c r="E878" s="8">
        <v>8.0</v>
      </c>
      <c r="F878" s="8">
        <v>91.0</v>
      </c>
      <c r="G878" s="1" t="s">
        <v>160</v>
      </c>
      <c r="H878" s="1" t="str">
        <f t="shared" si="1"/>
        <v>Tevin</v>
      </c>
      <c r="I878" s="1" t="str">
        <f t="shared" si="2"/>
        <v>Coleman</v>
      </c>
      <c r="J878" s="1" t="str">
        <f t="shared" si="3"/>
        <v>#N/A</v>
      </c>
      <c r="K878" s="1" t="str">
        <f>IFERROR(VLOOKUP($J878,Players!$D:$E,2,FALSE),VLOOKUP($G878,Players!A:E,5,FALSE))</f>
        <v>RB</v>
      </c>
    </row>
    <row r="879" ht="15.75" customHeight="1">
      <c r="A879" s="1">
        <v>2017.0</v>
      </c>
      <c r="B879" s="1" t="s">
        <v>41</v>
      </c>
      <c r="C879" s="1" t="s">
        <v>26</v>
      </c>
      <c r="D879" s="8">
        <v>11.0</v>
      </c>
      <c r="E879" s="8">
        <v>9.0</v>
      </c>
      <c r="F879" s="8">
        <v>102.0</v>
      </c>
      <c r="G879" s="1" t="s">
        <v>1478</v>
      </c>
      <c r="H879" s="1" t="str">
        <f t="shared" si="1"/>
        <v>Rishard</v>
      </c>
      <c r="I879" s="1" t="str">
        <f t="shared" si="2"/>
        <v>Matthews</v>
      </c>
      <c r="J879" s="1" t="str">
        <f t="shared" si="3"/>
        <v>#N/A</v>
      </c>
      <c r="K879" s="1" t="str">
        <f>IFERROR(VLOOKUP($J879,Players!$D:$E,2,FALSE),VLOOKUP($G879,Players!A:E,5,FALSE))</f>
        <v>WR</v>
      </c>
    </row>
    <row r="880" ht="15.75" customHeight="1">
      <c r="A880" s="1">
        <v>2017.0</v>
      </c>
      <c r="B880" s="1" t="s">
        <v>41</v>
      </c>
      <c r="C880" s="1" t="s">
        <v>26</v>
      </c>
      <c r="D880" s="8">
        <v>11.0</v>
      </c>
      <c r="E880" s="8">
        <v>10.0</v>
      </c>
      <c r="F880" s="8">
        <v>115.0</v>
      </c>
      <c r="G880" s="1" t="s">
        <v>952</v>
      </c>
      <c r="H880" s="1" t="str">
        <f t="shared" si="1"/>
        <v>#VALUE!</v>
      </c>
      <c r="I880" s="1" t="str">
        <f t="shared" si="2"/>
        <v>#VALUE!</v>
      </c>
      <c r="J880" s="1" t="str">
        <f t="shared" si="3"/>
        <v>#N/A</v>
      </c>
      <c r="K880" s="1" t="str">
        <f>IFERROR(VLOOKUP($J880,Players!$D:$E,2,FALSE),VLOOKUP($G880,Players!A:E,5,FALSE))</f>
        <v>DEF</v>
      </c>
    </row>
    <row r="881" ht="15.75" customHeight="1">
      <c r="A881" s="1">
        <v>2017.0</v>
      </c>
      <c r="B881" s="1" t="s">
        <v>41</v>
      </c>
      <c r="C881" s="1" t="s">
        <v>26</v>
      </c>
      <c r="D881" s="8">
        <v>11.0</v>
      </c>
      <c r="E881" s="8">
        <v>11.0</v>
      </c>
      <c r="F881" s="8">
        <v>126.0</v>
      </c>
      <c r="G881" s="1" t="s">
        <v>1731</v>
      </c>
      <c r="H881" s="1" t="str">
        <f t="shared" si="1"/>
        <v>Julius</v>
      </c>
      <c r="I881" s="1" t="str">
        <f t="shared" si="2"/>
        <v>Thomas</v>
      </c>
      <c r="J881" s="1" t="str">
        <f t="shared" si="3"/>
        <v>#N/A</v>
      </c>
      <c r="K881" s="1" t="str">
        <f>IFERROR(VLOOKUP($J881,Players!$D:$E,2,FALSE),VLOOKUP($G881,Players!A:E,5,FALSE))</f>
        <v>TE</v>
      </c>
    </row>
    <row r="882" ht="15.75" customHeight="1">
      <c r="A882" s="1">
        <v>2017.0</v>
      </c>
      <c r="B882" s="1" t="s">
        <v>41</v>
      </c>
      <c r="C882" s="1" t="s">
        <v>26</v>
      </c>
      <c r="D882" s="8">
        <v>11.0</v>
      </c>
      <c r="E882" s="8">
        <v>12.0</v>
      </c>
      <c r="F882" s="8">
        <v>139.0</v>
      </c>
      <c r="G882" s="1" t="s">
        <v>1196</v>
      </c>
      <c r="H882" s="1" t="str">
        <f t="shared" si="1"/>
        <v>Matt</v>
      </c>
      <c r="I882" s="1" t="str">
        <f t="shared" si="2"/>
        <v>Bryant</v>
      </c>
      <c r="J882" s="1" t="str">
        <f t="shared" si="3"/>
        <v>#N/A</v>
      </c>
      <c r="K882" s="1" t="str">
        <f>IFERROR(VLOOKUP($J882,Players!$D:$E,2,FALSE),VLOOKUP($G882,Players!A:E,5,FALSE))</f>
        <v>K</v>
      </c>
    </row>
    <row r="883" ht="15.75" customHeight="1">
      <c r="A883" s="1">
        <v>2017.0</v>
      </c>
      <c r="B883" s="1" t="s">
        <v>41</v>
      </c>
      <c r="C883" s="1" t="s">
        <v>26</v>
      </c>
      <c r="D883" s="8">
        <v>11.0</v>
      </c>
      <c r="E883" s="8">
        <v>13.0</v>
      </c>
      <c r="F883" s="8">
        <v>150.0</v>
      </c>
      <c r="G883" s="1" t="s">
        <v>481</v>
      </c>
      <c r="H883" s="1" t="str">
        <f t="shared" si="1"/>
        <v>Carson</v>
      </c>
      <c r="I883" s="1" t="str">
        <f t="shared" si="2"/>
        <v>Wentz</v>
      </c>
      <c r="J883" s="1" t="str">
        <f t="shared" si="3"/>
        <v>#N/A</v>
      </c>
      <c r="K883" s="1" t="str">
        <f>IFERROR(VLOOKUP($J883,Players!$D:$E,2,FALSE),VLOOKUP($G883,Players!A:E,5,FALSE))</f>
        <v>QB</v>
      </c>
    </row>
    <row r="884" ht="15.75" customHeight="1">
      <c r="A884" s="1">
        <v>2017.0</v>
      </c>
      <c r="B884" s="1" t="s">
        <v>41</v>
      </c>
      <c r="C884" s="1" t="s">
        <v>26</v>
      </c>
      <c r="D884" s="8">
        <v>11.0</v>
      </c>
      <c r="E884" s="8">
        <v>14.0</v>
      </c>
      <c r="F884" s="8">
        <v>163.0</v>
      </c>
      <c r="G884" s="1" t="s">
        <v>1738</v>
      </c>
      <c r="H884" s="1" t="str">
        <f t="shared" si="1"/>
        <v>Samaje</v>
      </c>
      <c r="I884" s="1" t="str">
        <f t="shared" si="2"/>
        <v>Perine</v>
      </c>
      <c r="J884" s="1" t="str">
        <f t="shared" si="3"/>
        <v>#N/A</v>
      </c>
      <c r="K884" s="1" t="str">
        <f>IFERROR(VLOOKUP($J884,Players!$D:$E,2,FALSE),VLOOKUP($G884,Players!A:E,5,FALSE))</f>
        <v>RB</v>
      </c>
    </row>
    <row r="885" ht="15.75" customHeight="1">
      <c r="A885" s="1">
        <v>2017.0</v>
      </c>
      <c r="B885" s="1" t="s">
        <v>41</v>
      </c>
      <c r="C885" s="1" t="s">
        <v>26</v>
      </c>
      <c r="D885" s="8">
        <v>11.0</v>
      </c>
      <c r="E885" s="8">
        <v>15.0</v>
      </c>
      <c r="F885" s="8">
        <v>174.0</v>
      </c>
      <c r="G885" s="1" t="s">
        <v>328</v>
      </c>
      <c r="H885" s="1" t="str">
        <f t="shared" si="1"/>
        <v>Sterling</v>
      </c>
      <c r="I885" s="1" t="str">
        <f t="shared" si="2"/>
        <v>Shepard</v>
      </c>
      <c r="J885" s="1" t="str">
        <f t="shared" si="3"/>
        <v>#N/A</v>
      </c>
      <c r="K885" s="1" t="str">
        <f>IFERROR(VLOOKUP($J885,Players!$D:$E,2,FALSE),VLOOKUP($G885,Players!A:E,5,FALSE))</f>
        <v>WR</v>
      </c>
    </row>
    <row r="886" ht="15.75" customHeight="1">
      <c r="A886" s="1">
        <v>2017.0</v>
      </c>
      <c r="B886" s="1" t="s">
        <v>36</v>
      </c>
      <c r="C886" s="1" t="s">
        <v>17</v>
      </c>
      <c r="D886" s="8">
        <v>5.0</v>
      </c>
      <c r="E886" s="8">
        <v>1.0</v>
      </c>
      <c r="F886" s="8">
        <v>11.0</v>
      </c>
      <c r="G886" s="1" t="s">
        <v>1183</v>
      </c>
      <c r="H886" s="1" t="str">
        <f t="shared" si="1"/>
        <v>Dez</v>
      </c>
      <c r="I886" s="1" t="str">
        <f t="shared" si="2"/>
        <v>Bryant</v>
      </c>
      <c r="J886" s="1" t="str">
        <f t="shared" si="3"/>
        <v>#N/A</v>
      </c>
      <c r="K886" s="1" t="str">
        <f>IFERROR(VLOOKUP($J886,Players!$D:$E,2,FALSE),VLOOKUP($G886,Players!A:E,5,FALSE))</f>
        <v>WR</v>
      </c>
    </row>
    <row r="887" ht="15.75" customHeight="1">
      <c r="A887" s="1">
        <v>2017.0</v>
      </c>
      <c r="B887" s="1" t="s">
        <v>36</v>
      </c>
      <c r="C887" s="1" t="s">
        <v>17</v>
      </c>
      <c r="D887" s="8">
        <v>5.0</v>
      </c>
      <c r="E887" s="8">
        <v>2.0</v>
      </c>
      <c r="F887" s="8">
        <v>14.0</v>
      </c>
      <c r="G887" s="1" t="s">
        <v>1235</v>
      </c>
      <c r="H887" s="1" t="str">
        <f t="shared" si="1"/>
        <v>Doug</v>
      </c>
      <c r="I887" s="1" t="str">
        <f t="shared" si="2"/>
        <v>Baldwin</v>
      </c>
      <c r="J887" s="1" t="str">
        <f t="shared" si="3"/>
        <v>#N/A</v>
      </c>
      <c r="K887" s="1" t="str">
        <f>IFERROR(VLOOKUP($J887,Players!$D:$E,2,FALSE),VLOOKUP($G887,Players!A:E,5,FALSE))</f>
        <v>WR</v>
      </c>
    </row>
    <row r="888" ht="15.75" customHeight="1">
      <c r="A888" s="1">
        <v>2017.0</v>
      </c>
      <c r="B888" s="1" t="s">
        <v>36</v>
      </c>
      <c r="C888" s="1" t="s">
        <v>17</v>
      </c>
      <c r="D888" s="8">
        <v>5.0</v>
      </c>
      <c r="E888" s="8">
        <v>3.0</v>
      </c>
      <c r="F888" s="8">
        <v>35.0</v>
      </c>
      <c r="G888" s="1" t="s">
        <v>93</v>
      </c>
      <c r="H888" s="1" t="str">
        <f t="shared" si="1"/>
        <v>Dalvin</v>
      </c>
      <c r="I888" s="1" t="str">
        <f t="shared" si="2"/>
        <v>Cook</v>
      </c>
      <c r="J888" s="1" t="str">
        <f t="shared" si="3"/>
        <v>#N/A</v>
      </c>
      <c r="K888" s="1" t="str">
        <f>IFERROR(VLOOKUP($J888,Players!$D:$E,2,FALSE),VLOOKUP($G888,Players!A:E,5,FALSE))</f>
        <v>RB</v>
      </c>
    </row>
    <row r="889" ht="15.75" customHeight="1">
      <c r="A889" s="1">
        <v>2017.0</v>
      </c>
      <c r="B889" s="1" t="s">
        <v>36</v>
      </c>
      <c r="C889" s="1" t="s">
        <v>17</v>
      </c>
      <c r="D889" s="8">
        <v>5.0</v>
      </c>
      <c r="E889" s="8">
        <v>4.0</v>
      </c>
      <c r="F889" s="8">
        <v>38.0</v>
      </c>
      <c r="G889" s="1" t="s">
        <v>113</v>
      </c>
      <c r="H889" s="1" t="str">
        <f t="shared" si="1"/>
        <v>Kareem</v>
      </c>
      <c r="I889" s="1" t="str">
        <f t="shared" si="2"/>
        <v>Hunt</v>
      </c>
      <c r="J889" s="1" t="str">
        <f t="shared" si="3"/>
        <v>#N/A</v>
      </c>
      <c r="K889" s="1" t="str">
        <f>IFERROR(VLOOKUP($J889,Players!$D:$E,2,FALSE),VLOOKUP($G889,Players!A:E,5,FALSE))</f>
        <v>RB</v>
      </c>
    </row>
    <row r="890" ht="15.75" customHeight="1">
      <c r="A890" s="1">
        <v>2017.0</v>
      </c>
      <c r="B890" s="1" t="s">
        <v>36</v>
      </c>
      <c r="C890" s="1" t="s">
        <v>17</v>
      </c>
      <c r="D890" s="8">
        <v>5.0</v>
      </c>
      <c r="E890" s="8">
        <v>5.0</v>
      </c>
      <c r="F890" s="8">
        <v>59.0</v>
      </c>
      <c r="G890" s="1" t="s">
        <v>1749</v>
      </c>
      <c r="H890" s="1" t="str">
        <f t="shared" si="1"/>
        <v>Martavis</v>
      </c>
      <c r="I890" s="1" t="str">
        <f t="shared" si="2"/>
        <v>Bryant</v>
      </c>
      <c r="J890" s="1" t="str">
        <f t="shared" si="3"/>
        <v>#N/A</v>
      </c>
      <c r="K890" s="1" t="str">
        <f>IFERROR(VLOOKUP($J890,Players!$D:$E,2,FALSE),VLOOKUP($G890,Players!A:E,5,FALSE))</f>
        <v>WR</v>
      </c>
    </row>
    <row r="891" ht="15.75" customHeight="1">
      <c r="A891" s="1">
        <v>2017.0</v>
      </c>
      <c r="B891" s="1" t="s">
        <v>36</v>
      </c>
      <c r="C891" s="1" t="s">
        <v>17</v>
      </c>
      <c r="D891" s="8">
        <v>5.0</v>
      </c>
      <c r="E891" s="8">
        <v>6.0</v>
      </c>
      <c r="F891" s="8">
        <v>62.0</v>
      </c>
      <c r="G891" s="1" t="s">
        <v>339</v>
      </c>
      <c r="H891" s="1" t="str">
        <f t="shared" si="1"/>
        <v>Tyreek</v>
      </c>
      <c r="I891" s="1" t="str">
        <f t="shared" si="2"/>
        <v>Hill</v>
      </c>
      <c r="J891" s="1" t="str">
        <f t="shared" si="3"/>
        <v>#N/A</v>
      </c>
      <c r="K891" s="1" t="str">
        <f>IFERROR(VLOOKUP($J891,Players!$D:$E,2,FALSE),VLOOKUP($G891,Players!A:E,5,FALSE))</f>
        <v>WR</v>
      </c>
    </row>
    <row r="892" ht="15.75" customHeight="1">
      <c r="A892" s="1">
        <v>2017.0</v>
      </c>
      <c r="B892" s="1" t="s">
        <v>36</v>
      </c>
      <c r="C892" s="1" t="s">
        <v>17</v>
      </c>
      <c r="D892" s="8">
        <v>5.0</v>
      </c>
      <c r="E892" s="8">
        <v>7.0</v>
      </c>
      <c r="F892" s="8">
        <v>83.0</v>
      </c>
      <c r="G892" s="1" t="s">
        <v>940</v>
      </c>
      <c r="H892" s="1" t="str">
        <f t="shared" si="1"/>
        <v>Delanie</v>
      </c>
      <c r="I892" s="1" t="str">
        <f t="shared" si="2"/>
        <v>Walker</v>
      </c>
      <c r="J892" s="1" t="str">
        <f t="shared" si="3"/>
        <v>#N/A</v>
      </c>
      <c r="K892" s="1" t="str">
        <f>IFERROR(VLOOKUP($J892,Players!$D:$E,2,FALSE),VLOOKUP($G892,Players!A:E,5,FALSE))</f>
        <v>TE</v>
      </c>
    </row>
    <row r="893" ht="15.75" customHeight="1">
      <c r="A893" s="1">
        <v>2017.0</v>
      </c>
      <c r="B893" s="1" t="s">
        <v>36</v>
      </c>
      <c r="C893" s="1" t="s">
        <v>17</v>
      </c>
      <c r="D893" s="8">
        <v>5.0</v>
      </c>
      <c r="E893" s="8">
        <v>8.0</v>
      </c>
      <c r="F893" s="8">
        <v>86.0</v>
      </c>
      <c r="G893" s="1" t="s">
        <v>457</v>
      </c>
      <c r="H893" s="1" t="str">
        <f t="shared" si="1"/>
        <v>Ben</v>
      </c>
      <c r="I893" s="1" t="str">
        <f t="shared" si="2"/>
        <v>Roethlisberger</v>
      </c>
      <c r="J893" s="1" t="str">
        <f t="shared" si="3"/>
        <v>#N/A</v>
      </c>
      <c r="K893" s="1" t="str">
        <f>IFERROR(VLOOKUP($J893,Players!$D:$E,2,FALSE),VLOOKUP($G893,Players!A:E,5,FALSE))</f>
        <v>QB</v>
      </c>
    </row>
    <row r="894" ht="15.75" customHeight="1">
      <c r="A894" s="1">
        <v>2017.0</v>
      </c>
      <c r="B894" s="1" t="s">
        <v>36</v>
      </c>
      <c r="C894" s="1" t="s">
        <v>17</v>
      </c>
      <c r="D894" s="8">
        <v>5.0</v>
      </c>
      <c r="E894" s="8">
        <v>9.0</v>
      </c>
      <c r="F894" s="8">
        <v>107.0</v>
      </c>
      <c r="G894" s="1" t="s">
        <v>1288</v>
      </c>
      <c r="H894" s="1" t="str">
        <f t="shared" si="1"/>
        <v>Eddie</v>
      </c>
      <c r="I894" s="1" t="str">
        <f t="shared" si="2"/>
        <v>Lacy</v>
      </c>
      <c r="J894" s="1" t="str">
        <f t="shared" si="3"/>
        <v>#N/A</v>
      </c>
      <c r="K894" s="1" t="str">
        <f>IFERROR(VLOOKUP($J894,Players!$D:$E,2,FALSE),VLOOKUP($G894,Players!A:E,5,FALSE))</f>
        <v>RB</v>
      </c>
    </row>
    <row r="895" ht="15.75" customHeight="1">
      <c r="A895" s="1">
        <v>2017.0</v>
      </c>
      <c r="B895" s="1" t="s">
        <v>36</v>
      </c>
      <c r="C895" s="1" t="s">
        <v>17</v>
      </c>
      <c r="D895" s="8">
        <v>5.0</v>
      </c>
      <c r="E895" s="8">
        <v>10.0</v>
      </c>
      <c r="F895" s="8">
        <v>110.0</v>
      </c>
      <c r="G895" s="1" t="s">
        <v>1416</v>
      </c>
      <c r="H895" s="1" t="str">
        <f t="shared" si="1"/>
        <v>#VALUE!</v>
      </c>
      <c r="I895" s="1" t="str">
        <f t="shared" si="2"/>
        <v>#VALUE!</v>
      </c>
      <c r="J895" s="1" t="str">
        <f t="shared" si="3"/>
        <v>#N/A</v>
      </c>
      <c r="K895" s="1" t="str">
        <f>IFERROR(VLOOKUP($J895,Players!$D:$E,2,FALSE),VLOOKUP($G895,Players!A:E,5,FALSE))</f>
        <v>DEF</v>
      </c>
    </row>
    <row r="896" ht="15.75" customHeight="1">
      <c r="A896" s="1">
        <v>2017.0</v>
      </c>
      <c r="B896" s="1" t="s">
        <v>36</v>
      </c>
      <c r="C896" s="1" t="s">
        <v>17</v>
      </c>
      <c r="D896" s="8">
        <v>5.0</v>
      </c>
      <c r="E896" s="8">
        <v>11.0</v>
      </c>
      <c r="F896" s="8">
        <v>131.0</v>
      </c>
      <c r="G896" s="1" t="s">
        <v>190</v>
      </c>
      <c r="H896" s="1" t="str">
        <f t="shared" si="1"/>
        <v>Justin</v>
      </c>
      <c r="I896" s="1" t="str">
        <f t="shared" si="2"/>
        <v>Tucker</v>
      </c>
      <c r="J896" s="1" t="str">
        <f t="shared" si="3"/>
        <v>#N/A</v>
      </c>
      <c r="K896" s="1" t="str">
        <f>IFERROR(VLOOKUP($J896,Players!$D:$E,2,FALSE),VLOOKUP($G896,Players!A:E,5,FALSE))</f>
        <v>K</v>
      </c>
    </row>
    <row r="897" ht="15.75" customHeight="1">
      <c r="A897" s="1">
        <v>2017.0</v>
      </c>
      <c r="B897" s="1" t="s">
        <v>36</v>
      </c>
      <c r="C897" s="1" t="s">
        <v>17</v>
      </c>
      <c r="D897" s="8">
        <v>5.0</v>
      </c>
      <c r="E897" s="8">
        <v>12.0</v>
      </c>
      <c r="F897" s="8">
        <v>134.0</v>
      </c>
      <c r="G897" s="1" t="s">
        <v>680</v>
      </c>
      <c r="H897" s="1" t="str">
        <f t="shared" si="1"/>
        <v>Cam</v>
      </c>
      <c r="I897" s="1" t="str">
        <f t="shared" si="2"/>
        <v>Newton</v>
      </c>
      <c r="J897" s="1" t="str">
        <f t="shared" si="3"/>
        <v>#N/A</v>
      </c>
      <c r="K897" s="1" t="str">
        <f>IFERROR(VLOOKUP($J897,Players!$D:$E,2,FALSE),VLOOKUP($G897,Players!A:E,5,FALSE))</f>
        <v>QB</v>
      </c>
    </row>
    <row r="898" ht="15.75" customHeight="1">
      <c r="A898" s="1">
        <v>2017.0</v>
      </c>
      <c r="B898" s="1" t="s">
        <v>36</v>
      </c>
      <c r="C898" s="1" t="s">
        <v>17</v>
      </c>
      <c r="D898" s="8">
        <v>5.0</v>
      </c>
      <c r="E898" s="8">
        <v>13.0</v>
      </c>
      <c r="F898" s="8">
        <v>155.0</v>
      </c>
      <c r="G898" s="1" t="s">
        <v>1621</v>
      </c>
      <c r="H898" s="1" t="str">
        <f t="shared" si="1"/>
        <v>Jamaal</v>
      </c>
      <c r="I898" s="1" t="str">
        <f t="shared" si="2"/>
        <v>Charles</v>
      </c>
      <c r="J898" s="1" t="str">
        <f t="shared" si="3"/>
        <v>#N/A</v>
      </c>
      <c r="K898" s="1" t="str">
        <f>IFERROR(VLOOKUP($J898,Players!$D:$E,2,FALSE),VLOOKUP($G898,Players!A:E,5,FALSE))</f>
        <v>RB</v>
      </c>
    </row>
    <row r="899" ht="15.75" customHeight="1">
      <c r="A899" s="1">
        <v>2017.0</v>
      </c>
      <c r="B899" s="1" t="s">
        <v>36</v>
      </c>
      <c r="C899" s="1" t="s">
        <v>17</v>
      </c>
      <c r="D899" s="8">
        <v>5.0</v>
      </c>
      <c r="E899" s="8">
        <v>14.0</v>
      </c>
      <c r="F899" s="8">
        <v>158.0</v>
      </c>
      <c r="G899" s="1" t="s">
        <v>749</v>
      </c>
      <c r="H899" s="1" t="str">
        <f t="shared" si="1"/>
        <v>Latavius</v>
      </c>
      <c r="I899" s="1" t="str">
        <f t="shared" si="2"/>
        <v>Murray</v>
      </c>
      <c r="J899" s="1" t="str">
        <f t="shared" si="3"/>
        <v>#N/A</v>
      </c>
      <c r="K899" s="1" t="str">
        <f>IFERROR(VLOOKUP($J899,Players!$D:$E,2,FALSE),VLOOKUP($G899,Players!A:E,5,FALSE))</f>
        <v>RB</v>
      </c>
    </row>
    <row r="900" ht="15.75" customHeight="1">
      <c r="A900" s="1">
        <v>2017.0</v>
      </c>
      <c r="B900" s="1" t="s">
        <v>36</v>
      </c>
      <c r="C900" s="1" t="s">
        <v>17</v>
      </c>
      <c r="D900" s="8">
        <v>5.0</v>
      </c>
      <c r="E900" s="8">
        <v>15.0</v>
      </c>
      <c r="F900" s="8">
        <v>179.0</v>
      </c>
      <c r="G900" s="1" t="s">
        <v>1521</v>
      </c>
      <c r="H900" s="1" t="str">
        <f t="shared" si="1"/>
        <v>Jacksonville</v>
      </c>
      <c r="I900" s="1" t="str">
        <f t="shared" si="2"/>
        <v/>
      </c>
      <c r="J900" s="1" t="str">
        <f t="shared" si="3"/>
        <v>#N/A</v>
      </c>
      <c r="K900" s="1" t="str">
        <f>IFERROR(VLOOKUP($J900,Players!$D:$E,2,FALSE),VLOOKUP($G900,Players!A:E,5,FALSE))</f>
        <v>DEF</v>
      </c>
    </row>
    <row r="901" ht="15.75" customHeight="1">
      <c r="A901" s="1">
        <v>2016.0</v>
      </c>
      <c r="B901" s="1" t="s">
        <v>45</v>
      </c>
      <c r="C901" s="1" t="s">
        <v>13</v>
      </c>
      <c r="D901" s="1">
        <v>8.0</v>
      </c>
      <c r="E901" s="8">
        <v>1.0</v>
      </c>
      <c r="F901" s="8">
        <v>7.0</v>
      </c>
      <c r="G901" s="1" t="s">
        <v>298</v>
      </c>
      <c r="H901" s="1" t="str">
        <f t="shared" si="1"/>
        <v>DeAndre</v>
      </c>
      <c r="I901" s="1" t="str">
        <f t="shared" si="2"/>
        <v>Hopkins</v>
      </c>
      <c r="J901" s="1" t="str">
        <f t="shared" si="3"/>
        <v>#N/A</v>
      </c>
      <c r="K901" s="1" t="str">
        <f>IFERROR(VLOOKUP($J901,Players!$D:$E,2,FALSE),VLOOKUP($G901,Players!A:E,5,FALSE))</f>
        <v>WR</v>
      </c>
    </row>
    <row r="902" ht="15.75" customHeight="1">
      <c r="A902" s="1">
        <v>2016.0</v>
      </c>
      <c r="B902" s="1" t="s">
        <v>45</v>
      </c>
      <c r="C902" s="1" t="s">
        <v>13</v>
      </c>
      <c r="D902" s="1">
        <v>8.0</v>
      </c>
      <c r="E902" s="8">
        <v>2.0</v>
      </c>
      <c r="F902" s="8">
        <v>18.0</v>
      </c>
      <c r="G902" s="1" t="s">
        <v>724</v>
      </c>
      <c r="H902" s="1" t="str">
        <f t="shared" si="1"/>
        <v>Mark</v>
      </c>
      <c r="I902" s="1" t="str">
        <f t="shared" si="2"/>
        <v>Ingram II</v>
      </c>
      <c r="J902" s="1" t="str">
        <f t="shared" si="3"/>
        <v>#N/A</v>
      </c>
      <c r="K902" s="1" t="str">
        <f>IFERROR(VLOOKUP($J902,Players!$D:$E,2,FALSE),VLOOKUP($G902,Players!A:E,5,FALSE))</f>
        <v>#N/A</v>
      </c>
    </row>
    <row r="903" ht="15.75" customHeight="1">
      <c r="A903" s="1">
        <v>2016.0</v>
      </c>
      <c r="B903" s="1" t="s">
        <v>45</v>
      </c>
      <c r="C903" s="1" t="s">
        <v>13</v>
      </c>
      <c r="D903" s="1">
        <v>8.0</v>
      </c>
      <c r="E903" s="8">
        <v>3.0</v>
      </c>
      <c r="F903" s="8">
        <v>31.0</v>
      </c>
      <c r="G903" s="1" t="s">
        <v>749</v>
      </c>
      <c r="H903" s="1" t="str">
        <f t="shared" si="1"/>
        <v>Latavius</v>
      </c>
      <c r="I903" s="1" t="str">
        <f t="shared" si="2"/>
        <v>Murray</v>
      </c>
      <c r="J903" s="1" t="str">
        <f t="shared" si="3"/>
        <v>#N/A</v>
      </c>
      <c r="K903" s="1" t="str">
        <f>IFERROR(VLOOKUP($J903,Players!$D:$E,2,FALSE),VLOOKUP($G903,Players!A:E,5,FALSE))</f>
        <v>RB</v>
      </c>
    </row>
    <row r="904" ht="15.75" customHeight="1">
      <c r="A904" s="1">
        <v>2016.0</v>
      </c>
      <c r="B904" s="1" t="s">
        <v>45</v>
      </c>
      <c r="C904" s="1" t="s">
        <v>13</v>
      </c>
      <c r="D904" s="1">
        <v>8.0</v>
      </c>
      <c r="E904" s="8">
        <v>4.0</v>
      </c>
      <c r="F904" s="8">
        <v>42.0</v>
      </c>
      <c r="G904" s="1" t="s">
        <v>1028</v>
      </c>
      <c r="H904" s="1" t="str">
        <f t="shared" si="1"/>
        <v>Greg</v>
      </c>
      <c r="I904" s="1" t="str">
        <f t="shared" si="2"/>
        <v>Olsen</v>
      </c>
      <c r="J904" s="1" t="str">
        <f t="shared" si="3"/>
        <v>#N/A</v>
      </c>
      <c r="K904" s="1" t="str">
        <f>IFERROR(VLOOKUP($J904,Players!$D:$E,2,FALSE),VLOOKUP($G904,Players!A:E,5,FALSE))</f>
        <v>TE</v>
      </c>
    </row>
    <row r="905" ht="15.75" customHeight="1">
      <c r="A905" s="1">
        <v>2016.0</v>
      </c>
      <c r="B905" s="1" t="s">
        <v>45</v>
      </c>
      <c r="C905" s="1" t="s">
        <v>13</v>
      </c>
      <c r="D905" s="1">
        <v>8.0</v>
      </c>
      <c r="E905" s="8">
        <v>5.0</v>
      </c>
      <c r="F905" s="8">
        <v>55.0</v>
      </c>
      <c r="G905" s="1" t="s">
        <v>1682</v>
      </c>
      <c r="H905" s="1" t="str">
        <f t="shared" si="1"/>
        <v>Jeremy</v>
      </c>
      <c r="I905" s="1" t="str">
        <f t="shared" si="2"/>
        <v>Maclin</v>
      </c>
      <c r="J905" s="1" t="str">
        <f t="shared" si="3"/>
        <v>#N/A</v>
      </c>
      <c r="K905" s="1" t="str">
        <f>IFERROR(VLOOKUP($J905,Players!$D:$E,2,FALSE),VLOOKUP($G905,Players!A:E,5,FALSE))</f>
        <v>WR</v>
      </c>
    </row>
    <row r="906" ht="15.75" customHeight="1">
      <c r="A906" s="1">
        <v>2016.0</v>
      </c>
      <c r="B906" s="1" t="s">
        <v>45</v>
      </c>
      <c r="C906" s="1" t="s">
        <v>13</v>
      </c>
      <c r="D906" s="1">
        <v>8.0</v>
      </c>
      <c r="E906" s="8">
        <v>6.0</v>
      </c>
      <c r="F906" s="8">
        <v>66.0</v>
      </c>
      <c r="G906" s="1" t="s">
        <v>457</v>
      </c>
      <c r="H906" s="1" t="str">
        <f t="shared" si="1"/>
        <v>Ben</v>
      </c>
      <c r="I906" s="1" t="str">
        <f t="shared" si="2"/>
        <v>Roethlisberger</v>
      </c>
      <c r="J906" s="1" t="str">
        <f t="shared" si="3"/>
        <v>#N/A</v>
      </c>
      <c r="K906" s="1" t="str">
        <f>IFERROR(VLOOKUP($J906,Players!$D:$E,2,FALSE),VLOOKUP($G906,Players!A:E,5,FALSE))</f>
        <v>QB</v>
      </c>
    </row>
    <row r="907" ht="15.75" customHeight="1">
      <c r="A907" s="1">
        <v>2016.0</v>
      </c>
      <c r="B907" s="1" t="s">
        <v>45</v>
      </c>
      <c r="C907" s="1" t="s">
        <v>13</v>
      </c>
      <c r="D907" s="1">
        <v>8.0</v>
      </c>
      <c r="E907" s="8">
        <v>7.0</v>
      </c>
      <c r="F907" s="8">
        <v>79.0</v>
      </c>
      <c r="G907" s="1" t="s">
        <v>271</v>
      </c>
      <c r="H907" s="1" t="str">
        <f t="shared" si="1"/>
        <v>Ameer</v>
      </c>
      <c r="I907" s="1" t="str">
        <f t="shared" si="2"/>
        <v>Abdullah</v>
      </c>
      <c r="J907" s="1" t="str">
        <f t="shared" si="3"/>
        <v>#N/A</v>
      </c>
      <c r="K907" s="1" t="str">
        <f>IFERROR(VLOOKUP($J907,Players!$D:$E,2,FALSE),VLOOKUP($G907,Players!A:E,5,FALSE))</f>
        <v>RB</v>
      </c>
    </row>
    <row r="908" ht="15.75" customHeight="1">
      <c r="A908" s="1">
        <v>2016.0</v>
      </c>
      <c r="B908" s="1" t="s">
        <v>45</v>
      </c>
      <c r="C908" s="1" t="s">
        <v>13</v>
      </c>
      <c r="D908" s="1">
        <v>8.0</v>
      </c>
      <c r="E908" s="8">
        <v>8.0</v>
      </c>
      <c r="F908" s="8">
        <v>90.0</v>
      </c>
      <c r="G908" s="1" t="s">
        <v>1780</v>
      </c>
      <c r="H908" s="1" t="str">
        <f t="shared" si="1"/>
        <v>Tajae</v>
      </c>
      <c r="I908" s="1" t="str">
        <f t="shared" si="2"/>
        <v>Sharpe</v>
      </c>
      <c r="J908" s="1" t="str">
        <f t="shared" si="3"/>
        <v>#N/A</v>
      </c>
      <c r="K908" s="1" t="str">
        <f>IFERROR(VLOOKUP($J908,Players!$D:$E,2,FALSE),VLOOKUP($G908,Players!A:E,5,FALSE))</f>
        <v>WR</v>
      </c>
    </row>
    <row r="909" ht="15.75" customHeight="1">
      <c r="A909" s="1">
        <v>2016.0</v>
      </c>
      <c r="B909" s="1" t="s">
        <v>45</v>
      </c>
      <c r="C909" s="1" t="s">
        <v>13</v>
      </c>
      <c r="D909" s="1">
        <v>8.0</v>
      </c>
      <c r="E909" s="8">
        <v>9.0</v>
      </c>
      <c r="F909" s="8">
        <v>103.0</v>
      </c>
      <c r="G909" s="1" t="s">
        <v>1416</v>
      </c>
      <c r="H909" s="1" t="str">
        <f t="shared" si="1"/>
        <v>#VALUE!</v>
      </c>
      <c r="I909" s="1" t="str">
        <f t="shared" si="2"/>
        <v>#VALUE!</v>
      </c>
      <c r="J909" s="1" t="str">
        <f t="shared" si="3"/>
        <v>#N/A</v>
      </c>
      <c r="K909" s="1" t="str">
        <f>IFERROR(VLOOKUP($J909,Players!$D:$E,2,FALSE),VLOOKUP($G909,Players!A:E,5,FALSE))</f>
        <v>DEF</v>
      </c>
    </row>
    <row r="910" ht="15.75" customHeight="1">
      <c r="A910" s="1">
        <v>2016.0</v>
      </c>
      <c r="B910" s="1" t="s">
        <v>45</v>
      </c>
      <c r="C910" s="1" t="s">
        <v>13</v>
      </c>
      <c r="D910" s="1">
        <v>8.0</v>
      </c>
      <c r="E910" s="8">
        <v>10.0</v>
      </c>
      <c r="F910" s="8">
        <v>114.0</v>
      </c>
      <c r="G910" s="1" t="s">
        <v>168</v>
      </c>
      <c r="H910" s="1" t="str">
        <f t="shared" si="1"/>
        <v>Derrick</v>
      </c>
      <c r="I910" s="1" t="str">
        <f t="shared" si="2"/>
        <v>Henry</v>
      </c>
      <c r="J910" s="1" t="str">
        <f t="shared" si="3"/>
        <v>#N/A</v>
      </c>
      <c r="K910" s="1" t="str">
        <f>IFERROR(VLOOKUP($J910,Players!$D:$E,2,FALSE),VLOOKUP($G910,Players!A:E,5,FALSE))</f>
        <v>RB</v>
      </c>
    </row>
    <row r="911" ht="15.75" customHeight="1">
      <c r="A911" s="1">
        <v>2016.0</v>
      </c>
      <c r="B911" s="1" t="s">
        <v>45</v>
      </c>
      <c r="C911" s="1" t="s">
        <v>13</v>
      </c>
      <c r="D911" s="1">
        <v>8.0</v>
      </c>
      <c r="E911" s="8">
        <v>11.0</v>
      </c>
      <c r="F911" s="8">
        <v>127.0</v>
      </c>
      <c r="G911" s="1" t="s">
        <v>1784</v>
      </c>
      <c r="H911" s="1" t="str">
        <f t="shared" si="1"/>
        <v>Stephen</v>
      </c>
      <c r="I911" s="1" t="str">
        <f t="shared" si="2"/>
        <v>Hauschka</v>
      </c>
      <c r="J911" s="1" t="str">
        <f t="shared" si="3"/>
        <v>#N/A</v>
      </c>
      <c r="K911" s="1" t="str">
        <f>IFERROR(VLOOKUP($J911,Players!$D:$E,2,FALSE),VLOOKUP($G911,Players!A:E,5,FALSE))</f>
        <v>K</v>
      </c>
    </row>
    <row r="912" ht="15.75" customHeight="1">
      <c r="A912" s="1">
        <v>2016.0</v>
      </c>
      <c r="B912" s="1" t="s">
        <v>45</v>
      </c>
      <c r="C912" s="1" t="s">
        <v>13</v>
      </c>
      <c r="D912" s="1">
        <v>8.0</v>
      </c>
      <c r="E912" s="8">
        <v>12.0</v>
      </c>
      <c r="F912" s="8">
        <v>138.0</v>
      </c>
      <c r="G912" s="1" t="s">
        <v>1547</v>
      </c>
      <c r="H912" s="1" t="str">
        <f t="shared" si="1"/>
        <v>Mike</v>
      </c>
      <c r="I912" s="1" t="str">
        <f t="shared" si="2"/>
        <v>Wallace</v>
      </c>
      <c r="J912" s="1" t="str">
        <f t="shared" si="3"/>
        <v>#N/A</v>
      </c>
      <c r="K912" s="1" t="str">
        <f>IFERROR(VLOOKUP($J912,Players!$D:$E,2,FALSE),VLOOKUP($G912,Players!A:E,5,FALSE))</f>
        <v>WR</v>
      </c>
    </row>
    <row r="913" ht="15.75" customHeight="1">
      <c r="A913" s="1">
        <v>2016.0</v>
      </c>
      <c r="B913" s="1" t="s">
        <v>45</v>
      </c>
      <c r="C913" s="1" t="s">
        <v>13</v>
      </c>
      <c r="D913" s="1">
        <v>8.0</v>
      </c>
      <c r="E913" s="8">
        <v>13.0</v>
      </c>
      <c r="F913" s="8">
        <v>151.0</v>
      </c>
      <c r="G913" s="1" t="s">
        <v>1648</v>
      </c>
      <c r="H913" s="1" t="str">
        <f t="shared" si="1"/>
        <v>James</v>
      </c>
      <c r="I913" s="1" t="str">
        <f t="shared" si="2"/>
        <v>Starks</v>
      </c>
      <c r="J913" s="1" t="str">
        <f t="shared" si="3"/>
        <v>#N/A</v>
      </c>
      <c r="K913" s="1" t="str">
        <f>IFERROR(VLOOKUP($J913,Players!$D:$E,2,FALSE),VLOOKUP($G913,Players!A:E,5,FALSE))</f>
        <v>RB</v>
      </c>
    </row>
    <row r="914" ht="15.75" customHeight="1">
      <c r="A914" s="1">
        <v>2016.0</v>
      </c>
      <c r="B914" s="1" t="s">
        <v>45</v>
      </c>
      <c r="C914" s="1" t="s">
        <v>13</v>
      </c>
      <c r="D914" s="1">
        <v>8.0</v>
      </c>
      <c r="E914" s="8">
        <v>14.0</v>
      </c>
      <c r="F914" s="8">
        <v>162.0</v>
      </c>
      <c r="G914" s="1" t="s">
        <v>744</v>
      </c>
      <c r="H914" s="1" t="str">
        <f t="shared" si="1"/>
        <v>Charles</v>
      </c>
      <c r="I914" s="1" t="str">
        <f t="shared" si="2"/>
        <v>Sims</v>
      </c>
      <c r="J914" s="1" t="str">
        <f t="shared" si="3"/>
        <v>#N/A</v>
      </c>
      <c r="K914" s="1" t="str">
        <f>IFERROR(VLOOKUP($J914,Players!$D:$E,2,FALSE),VLOOKUP($G914,Players!A:E,5,FALSE))</f>
        <v>RB</v>
      </c>
    </row>
    <row r="915" ht="15.75" customHeight="1">
      <c r="A915" s="1">
        <v>2016.0</v>
      </c>
      <c r="B915" s="1" t="s">
        <v>45</v>
      </c>
      <c r="C915" s="1" t="s">
        <v>13</v>
      </c>
      <c r="D915" s="1">
        <v>8.0</v>
      </c>
      <c r="E915" s="8">
        <v>15.0</v>
      </c>
      <c r="F915" s="8">
        <v>175.0</v>
      </c>
      <c r="G915" s="1" t="s">
        <v>1791</v>
      </c>
      <c r="H915" s="1" t="str">
        <f t="shared" si="1"/>
        <v>Davante</v>
      </c>
      <c r="I915" s="1" t="str">
        <f t="shared" si="2"/>
        <v>Adams</v>
      </c>
      <c r="J915" s="1" t="str">
        <f t="shared" si="3"/>
        <v>#N/A</v>
      </c>
      <c r="K915" s="1" t="str">
        <f>IFERROR(VLOOKUP($J915,Players!$D:$E,2,FALSE),VLOOKUP($G915,Players!A:E,5,FALSE))</f>
        <v>#N/A</v>
      </c>
    </row>
    <row r="916" ht="15.75" customHeight="1">
      <c r="A916" s="1">
        <v>2016.0</v>
      </c>
      <c r="B916" s="1" t="s">
        <v>34</v>
      </c>
      <c r="C916" s="1" t="s">
        <v>25</v>
      </c>
      <c r="D916" s="1">
        <v>1.0</v>
      </c>
      <c r="E916" s="8">
        <v>1.0</v>
      </c>
      <c r="F916" s="8">
        <v>2.0</v>
      </c>
      <c r="G916" s="1" t="s">
        <v>181</v>
      </c>
      <c r="H916" s="1" t="str">
        <f t="shared" si="1"/>
        <v>Odell</v>
      </c>
      <c r="I916" s="1" t="str">
        <f t="shared" si="2"/>
        <v>Beckham Jr</v>
      </c>
      <c r="J916" s="1" t="str">
        <f t="shared" si="3"/>
        <v>#N/A</v>
      </c>
      <c r="K916" s="1" t="str">
        <f>IFERROR(VLOOKUP($J916,Players!$D:$E,2,FALSE),VLOOKUP($G916,Players!A:E,5,FALSE))</f>
        <v>#N/A</v>
      </c>
    </row>
    <row r="917" ht="15.75" customHeight="1">
      <c r="A917" s="1">
        <v>2016.0</v>
      </c>
      <c r="B917" s="1" t="s">
        <v>34</v>
      </c>
      <c r="C917" s="1" t="s">
        <v>25</v>
      </c>
      <c r="D917" s="1">
        <v>1.0</v>
      </c>
      <c r="E917" s="8">
        <v>2.0</v>
      </c>
      <c r="F917" s="8">
        <v>23.0</v>
      </c>
      <c r="G917" s="1" t="s">
        <v>117</v>
      </c>
      <c r="H917" s="1" t="str">
        <f t="shared" si="1"/>
        <v>Jarvis</v>
      </c>
      <c r="I917" s="1" t="str">
        <f t="shared" si="2"/>
        <v>Landry</v>
      </c>
      <c r="J917" s="1" t="str">
        <f t="shared" si="3"/>
        <v>#N/A</v>
      </c>
      <c r="K917" s="1" t="str">
        <f>IFERROR(VLOOKUP($J917,Players!$D:$E,2,FALSE),VLOOKUP($G917,Players!A:E,5,FALSE))</f>
        <v>WR</v>
      </c>
    </row>
    <row r="918" ht="15.75" customHeight="1">
      <c r="A918" s="1">
        <v>2016.0</v>
      </c>
      <c r="B918" s="1" t="s">
        <v>34</v>
      </c>
      <c r="C918" s="1" t="s">
        <v>25</v>
      </c>
      <c r="D918" s="1">
        <v>1.0</v>
      </c>
      <c r="E918" s="8">
        <v>3.0</v>
      </c>
      <c r="F918" s="8">
        <v>26.0</v>
      </c>
      <c r="G918" s="1" t="s">
        <v>147</v>
      </c>
      <c r="H918" s="1" t="str">
        <f t="shared" si="1"/>
        <v>Brandin</v>
      </c>
      <c r="I918" s="1" t="str">
        <f t="shared" si="2"/>
        <v>Cooks</v>
      </c>
      <c r="J918" s="1" t="str">
        <f t="shared" si="3"/>
        <v>#N/A</v>
      </c>
      <c r="K918" s="1" t="str">
        <f>IFERROR(VLOOKUP($J918,Players!$D:$E,2,FALSE),VLOOKUP($G918,Players!A:E,5,FALSE))</f>
        <v>WR</v>
      </c>
    </row>
    <row r="919" ht="15.75" customHeight="1">
      <c r="A919" s="1">
        <v>2016.0</v>
      </c>
      <c r="B919" s="1" t="s">
        <v>34</v>
      </c>
      <c r="C919" s="1" t="s">
        <v>25</v>
      </c>
      <c r="D919" s="1">
        <v>1.0</v>
      </c>
      <c r="E919" s="8">
        <v>4.0</v>
      </c>
      <c r="F919" s="8">
        <v>47.0</v>
      </c>
      <c r="G919" s="1" t="s">
        <v>1137</v>
      </c>
      <c r="H919" s="1" t="str">
        <f t="shared" si="1"/>
        <v>Giovani</v>
      </c>
      <c r="I919" s="1" t="str">
        <f t="shared" si="2"/>
        <v>Bernard</v>
      </c>
      <c r="J919" s="1" t="str">
        <f t="shared" si="3"/>
        <v>#N/A</v>
      </c>
      <c r="K919" s="1" t="str">
        <f>IFERROR(VLOOKUP($J919,Players!$D:$E,2,FALSE),VLOOKUP($G919,Players!A:E,5,FALSE))</f>
        <v>RB</v>
      </c>
    </row>
    <row r="920" ht="15.75" customHeight="1">
      <c r="A920" s="1">
        <v>2016.0</v>
      </c>
      <c r="B920" s="1" t="s">
        <v>34</v>
      </c>
      <c r="C920" s="1" t="s">
        <v>25</v>
      </c>
      <c r="D920" s="1">
        <v>1.0</v>
      </c>
      <c r="E920" s="8">
        <v>5.0</v>
      </c>
      <c r="F920" s="8">
        <v>50.0</v>
      </c>
      <c r="G920" s="1" t="s">
        <v>940</v>
      </c>
      <c r="H920" s="1" t="str">
        <f t="shared" si="1"/>
        <v>Delanie</v>
      </c>
      <c r="I920" s="1" t="str">
        <f t="shared" si="2"/>
        <v>Walker</v>
      </c>
      <c r="J920" s="1" t="str">
        <f t="shared" si="3"/>
        <v>#N/A</v>
      </c>
      <c r="K920" s="1" t="str">
        <f>IFERROR(VLOOKUP($J920,Players!$D:$E,2,FALSE),VLOOKUP($G920,Players!A:E,5,FALSE))</f>
        <v>TE</v>
      </c>
    </row>
    <row r="921" ht="15.75" customHeight="1">
      <c r="A921" s="1">
        <v>2016.0</v>
      </c>
      <c r="B921" s="1" t="s">
        <v>34</v>
      </c>
      <c r="C921" s="1" t="s">
        <v>25</v>
      </c>
      <c r="D921" s="1">
        <v>1.0</v>
      </c>
      <c r="E921" s="8">
        <v>6.0</v>
      </c>
      <c r="F921" s="8">
        <v>71.0</v>
      </c>
      <c r="G921" s="1" t="s">
        <v>360</v>
      </c>
      <c r="H921" s="1" t="str">
        <f t="shared" si="1"/>
        <v>Melvin</v>
      </c>
      <c r="I921" s="1" t="str">
        <f t="shared" si="2"/>
        <v>Gordon III</v>
      </c>
      <c r="J921" s="1" t="str">
        <f t="shared" si="3"/>
        <v>#N/A</v>
      </c>
      <c r="K921" s="1" t="str">
        <f>IFERROR(VLOOKUP($J921,Players!$D:$E,2,FALSE),VLOOKUP($G921,Players!A:E,5,FALSE))</f>
        <v>#N/A</v>
      </c>
    </row>
    <row r="922" ht="15.75" customHeight="1">
      <c r="A922" s="1">
        <v>2016.0</v>
      </c>
      <c r="B922" s="1" t="s">
        <v>34</v>
      </c>
      <c r="C922" s="1" t="s">
        <v>25</v>
      </c>
      <c r="D922" s="1">
        <v>1.0</v>
      </c>
      <c r="E922" s="8">
        <v>7.0</v>
      </c>
      <c r="F922" s="8">
        <v>74.0</v>
      </c>
      <c r="G922" s="1" t="s">
        <v>741</v>
      </c>
      <c r="H922" s="1" t="str">
        <f t="shared" si="1"/>
        <v>Emmanuel</v>
      </c>
      <c r="I922" s="1" t="str">
        <f t="shared" si="2"/>
        <v>Sanders</v>
      </c>
      <c r="J922" s="1" t="str">
        <f t="shared" si="3"/>
        <v>#N/A</v>
      </c>
      <c r="K922" s="1" t="str">
        <f>IFERROR(VLOOKUP($J922,Players!$D:$E,2,FALSE),VLOOKUP($G922,Players!A:E,5,FALSE))</f>
        <v>WR</v>
      </c>
    </row>
    <row r="923" ht="15.75" customHeight="1">
      <c r="A923" s="1">
        <v>2016.0</v>
      </c>
      <c r="B923" s="1" t="s">
        <v>34</v>
      </c>
      <c r="C923" s="1" t="s">
        <v>25</v>
      </c>
      <c r="D923" s="1">
        <v>1.0</v>
      </c>
      <c r="E923" s="8">
        <v>8.0</v>
      </c>
      <c r="F923" s="8">
        <v>95.0</v>
      </c>
      <c r="G923" s="1" t="s">
        <v>705</v>
      </c>
      <c r="H923" s="1" t="str">
        <f t="shared" si="1"/>
        <v>Carson</v>
      </c>
      <c r="I923" s="1" t="str">
        <f t="shared" si="2"/>
        <v>Palmer</v>
      </c>
      <c r="J923" s="1" t="str">
        <f t="shared" si="3"/>
        <v>#N/A</v>
      </c>
      <c r="K923" s="1" t="str">
        <f>IFERROR(VLOOKUP($J923,Players!$D:$E,2,FALSE),VLOOKUP($G923,Players!A:E,5,FALSE))</f>
        <v>QB</v>
      </c>
    </row>
    <row r="924" ht="15.75" customHeight="1">
      <c r="A924" s="1">
        <v>2016.0</v>
      </c>
      <c r="B924" s="1" t="s">
        <v>34</v>
      </c>
      <c r="C924" s="1" t="s">
        <v>25</v>
      </c>
      <c r="D924" s="1">
        <v>1.0</v>
      </c>
      <c r="E924" s="8">
        <v>9.0</v>
      </c>
      <c r="F924" s="8">
        <v>98.0</v>
      </c>
      <c r="G924" s="1" t="s">
        <v>952</v>
      </c>
      <c r="H924" s="1" t="str">
        <f t="shared" si="1"/>
        <v>#VALUE!</v>
      </c>
      <c r="I924" s="1" t="str">
        <f t="shared" si="2"/>
        <v>#VALUE!</v>
      </c>
      <c r="J924" s="1" t="str">
        <f t="shared" si="3"/>
        <v>#N/A</v>
      </c>
      <c r="K924" s="1" t="str">
        <f>IFERROR(VLOOKUP($J924,Players!$D:$E,2,FALSE),VLOOKUP($G924,Players!A:E,5,FALSE))</f>
        <v>DEF</v>
      </c>
    </row>
    <row r="925" ht="15.75" customHeight="1">
      <c r="A925" s="1">
        <v>2016.0</v>
      </c>
      <c r="B925" s="1" t="s">
        <v>34</v>
      </c>
      <c r="C925" s="1" t="s">
        <v>25</v>
      </c>
      <c r="D925" s="1">
        <v>1.0</v>
      </c>
      <c r="E925" s="8">
        <v>10.0</v>
      </c>
      <c r="F925" s="8">
        <v>119.0</v>
      </c>
      <c r="G925" s="1" t="s">
        <v>1350</v>
      </c>
      <c r="H925" s="1" t="str">
        <f t="shared" si="1"/>
        <v>Frank</v>
      </c>
      <c r="I925" s="1" t="str">
        <f t="shared" si="2"/>
        <v>Gore</v>
      </c>
      <c r="J925" s="1" t="str">
        <f t="shared" si="3"/>
        <v>#N/A</v>
      </c>
      <c r="K925" s="1" t="str">
        <f>IFERROR(VLOOKUP($J925,Players!$D:$E,2,FALSE),VLOOKUP($G925,Players!A:E,5,FALSE))</f>
        <v>RB</v>
      </c>
    </row>
    <row r="926" ht="15.75" customHeight="1">
      <c r="A926" s="1">
        <v>2016.0</v>
      </c>
      <c r="B926" s="1" t="s">
        <v>34</v>
      </c>
      <c r="C926" s="1" t="s">
        <v>25</v>
      </c>
      <c r="D926" s="1">
        <v>1.0</v>
      </c>
      <c r="E926" s="8">
        <v>11.0</v>
      </c>
      <c r="F926" s="8">
        <v>122.0</v>
      </c>
      <c r="G926" s="1" t="s">
        <v>1387</v>
      </c>
      <c r="H926" s="1" t="str">
        <f t="shared" si="1"/>
        <v>Jay</v>
      </c>
      <c r="I926" s="1" t="str">
        <f t="shared" si="2"/>
        <v>Ajayi</v>
      </c>
      <c r="J926" s="1" t="str">
        <f t="shared" si="3"/>
        <v>#N/A</v>
      </c>
      <c r="K926" s="1" t="str">
        <f>IFERROR(VLOOKUP($J926,Players!$D:$E,2,FALSE),VLOOKUP($G926,Players!A:E,5,FALSE))</f>
        <v>RB</v>
      </c>
    </row>
    <row r="927" ht="15.75" customHeight="1">
      <c r="A927" s="1">
        <v>2016.0</v>
      </c>
      <c r="B927" s="1" t="s">
        <v>34</v>
      </c>
      <c r="C927" s="1" t="s">
        <v>25</v>
      </c>
      <c r="D927" s="1">
        <v>1.0</v>
      </c>
      <c r="E927" s="8">
        <v>12.0</v>
      </c>
      <c r="F927" s="8">
        <v>143.0</v>
      </c>
      <c r="G927" s="1" t="s">
        <v>959</v>
      </c>
      <c r="H927" s="1" t="str">
        <f t="shared" si="1"/>
        <v>Dan</v>
      </c>
      <c r="I927" s="1" t="str">
        <f t="shared" si="2"/>
        <v>Bailey</v>
      </c>
      <c r="J927" s="1" t="str">
        <f t="shared" si="3"/>
        <v>#N/A</v>
      </c>
      <c r="K927" s="1" t="str">
        <f>IFERROR(VLOOKUP($J927,Players!$D:$E,2,FALSE),VLOOKUP($G927,Players!A:E,5,FALSE))</f>
        <v>K</v>
      </c>
    </row>
    <row r="928" ht="15.75" customHeight="1">
      <c r="A928" s="1">
        <v>2016.0</v>
      </c>
      <c r="B928" s="1" t="s">
        <v>34</v>
      </c>
      <c r="C928" s="1" t="s">
        <v>25</v>
      </c>
      <c r="D928" s="1">
        <v>1.0</v>
      </c>
      <c r="E928" s="8">
        <v>13.0</v>
      </c>
      <c r="F928" s="8">
        <v>146.0</v>
      </c>
      <c r="G928" s="1" t="s">
        <v>1316</v>
      </c>
      <c r="H928" s="1" t="str">
        <f t="shared" si="1"/>
        <v>Eric</v>
      </c>
      <c r="I928" s="1" t="str">
        <f t="shared" si="2"/>
        <v>Ebron</v>
      </c>
      <c r="J928" s="1" t="str">
        <f t="shared" si="3"/>
        <v>#N/A</v>
      </c>
      <c r="K928" s="1" t="str">
        <f>IFERROR(VLOOKUP($J928,Players!$D:$E,2,FALSE),VLOOKUP($G928,Players!A:E,5,FALSE))</f>
        <v>TE</v>
      </c>
    </row>
    <row r="929" ht="15.75" customHeight="1">
      <c r="A929" s="1">
        <v>2016.0</v>
      </c>
      <c r="B929" s="1" t="s">
        <v>34</v>
      </c>
      <c r="C929" s="1" t="s">
        <v>25</v>
      </c>
      <c r="D929" s="1">
        <v>1.0</v>
      </c>
      <c r="E929" s="8">
        <v>14.0</v>
      </c>
      <c r="F929" s="8">
        <v>167.0</v>
      </c>
      <c r="G929" s="1" t="s">
        <v>1813</v>
      </c>
      <c r="H929" s="1" t="str">
        <f t="shared" si="1"/>
        <v>Sammie</v>
      </c>
      <c r="I929" s="1" t="str">
        <f t="shared" si="2"/>
        <v>Coates Jr</v>
      </c>
      <c r="J929" s="1" t="str">
        <f t="shared" si="3"/>
        <v>#N/A</v>
      </c>
      <c r="K929" s="1" t="str">
        <f>IFERROR(VLOOKUP($J929,Players!$D:$E,2,FALSE),VLOOKUP($G929,Players!A:E,5,FALSE))</f>
        <v>#N/A</v>
      </c>
    </row>
    <row r="930" ht="15.75" customHeight="1">
      <c r="A930" s="1">
        <v>2016.0</v>
      </c>
      <c r="B930" s="1" t="s">
        <v>34</v>
      </c>
      <c r="C930" s="1" t="s">
        <v>25</v>
      </c>
      <c r="D930" s="1">
        <v>1.0</v>
      </c>
      <c r="E930" s="8">
        <v>15.0</v>
      </c>
      <c r="F930" s="8">
        <v>170.0</v>
      </c>
      <c r="G930" s="1" t="s">
        <v>1487</v>
      </c>
      <c r="H930" s="1" t="str">
        <f t="shared" si="1"/>
        <v>Bilal</v>
      </c>
      <c r="I930" s="1" t="str">
        <f t="shared" si="2"/>
        <v>Powell</v>
      </c>
      <c r="J930" s="1" t="str">
        <f t="shared" si="3"/>
        <v>#N/A</v>
      </c>
      <c r="K930" s="1" t="str">
        <f>IFERROR(VLOOKUP($J930,Players!$D:$E,2,FALSE),VLOOKUP($G930,Players!A:E,5,FALSE))</f>
        <v>#N/A</v>
      </c>
    </row>
    <row r="931" ht="15.75" customHeight="1">
      <c r="A931" s="1">
        <v>2016.0</v>
      </c>
      <c r="B931" s="1" t="s">
        <v>54</v>
      </c>
      <c r="C931" s="1" t="s">
        <v>38</v>
      </c>
      <c r="D931" s="1">
        <v>9.0</v>
      </c>
      <c r="E931" s="8">
        <v>1.0</v>
      </c>
      <c r="F931" s="8">
        <v>8.0</v>
      </c>
      <c r="G931" s="1" t="s">
        <v>1621</v>
      </c>
      <c r="H931" s="1" t="str">
        <f t="shared" si="1"/>
        <v>Jamaal</v>
      </c>
      <c r="I931" s="1" t="str">
        <f t="shared" si="2"/>
        <v>Charles</v>
      </c>
      <c r="J931" s="1" t="str">
        <f t="shared" si="3"/>
        <v>#N/A</v>
      </c>
      <c r="K931" s="1" t="str">
        <f>IFERROR(VLOOKUP($J931,Players!$D:$E,2,FALSE),VLOOKUP($G931,Players!A:E,5,FALSE))</f>
        <v>RB</v>
      </c>
    </row>
    <row r="932" ht="15.75" customHeight="1">
      <c r="A932" s="1">
        <v>2016.0</v>
      </c>
      <c r="B932" s="1" t="s">
        <v>54</v>
      </c>
      <c r="C932" s="1" t="s">
        <v>38</v>
      </c>
      <c r="D932" s="1">
        <v>9.0</v>
      </c>
      <c r="E932" s="8">
        <v>2.0</v>
      </c>
      <c r="F932" s="8">
        <v>17.0</v>
      </c>
      <c r="G932" s="1" t="s">
        <v>751</v>
      </c>
      <c r="H932" s="1" t="str">
        <f t="shared" si="1"/>
        <v>LeSean</v>
      </c>
      <c r="I932" s="1" t="str">
        <f t="shared" si="2"/>
        <v>McCoy</v>
      </c>
      <c r="J932" s="1" t="str">
        <f t="shared" si="3"/>
        <v>#N/A</v>
      </c>
      <c r="K932" s="1" t="str">
        <f>IFERROR(VLOOKUP($J932,Players!$D:$E,2,FALSE),VLOOKUP($G932,Players!A:E,5,FALSE))</f>
        <v>RB</v>
      </c>
    </row>
    <row r="933" ht="15.75" customHeight="1">
      <c r="A933" s="1">
        <v>2016.0</v>
      </c>
      <c r="B933" s="1" t="s">
        <v>54</v>
      </c>
      <c r="C933" s="1" t="s">
        <v>38</v>
      </c>
      <c r="D933" s="1">
        <v>9.0</v>
      </c>
      <c r="E933" s="8">
        <v>3.0</v>
      </c>
      <c r="F933" s="8">
        <v>32.0</v>
      </c>
      <c r="G933" s="1" t="s">
        <v>176</v>
      </c>
      <c r="H933" s="1" t="str">
        <f t="shared" si="1"/>
        <v>Aaron</v>
      </c>
      <c r="I933" s="1" t="str">
        <f t="shared" si="2"/>
        <v>Rodgers</v>
      </c>
      <c r="J933" s="1" t="str">
        <f t="shared" si="3"/>
        <v>#N/A</v>
      </c>
      <c r="K933" s="1" t="str">
        <f>IFERROR(VLOOKUP($J933,Players!$D:$E,2,FALSE),VLOOKUP($G933,Players!A:E,5,FALSE))</f>
        <v>QB</v>
      </c>
    </row>
    <row r="934" ht="15.75" customHeight="1">
      <c r="A934" s="1">
        <v>2016.0</v>
      </c>
      <c r="B934" s="1" t="s">
        <v>54</v>
      </c>
      <c r="C934" s="1" t="s">
        <v>38</v>
      </c>
      <c r="D934" s="1">
        <v>9.0</v>
      </c>
      <c r="E934" s="8">
        <v>4.0</v>
      </c>
      <c r="F934" s="8">
        <v>41.0</v>
      </c>
      <c r="G934" s="1" t="s">
        <v>209</v>
      </c>
      <c r="H934" s="1" t="str">
        <f t="shared" si="1"/>
        <v>Carlos</v>
      </c>
      <c r="I934" s="1" t="str">
        <f t="shared" si="2"/>
        <v>Hyde</v>
      </c>
      <c r="J934" s="1" t="str">
        <f t="shared" si="3"/>
        <v>#N/A</v>
      </c>
      <c r="K934" s="1" t="str">
        <f>IFERROR(VLOOKUP($J934,Players!$D:$E,2,FALSE),VLOOKUP($G934,Players!A:E,5,FALSE))</f>
        <v>RB</v>
      </c>
    </row>
    <row r="935" ht="15.75" customHeight="1">
      <c r="A935" s="1">
        <v>2016.0</v>
      </c>
      <c r="B935" s="1" t="s">
        <v>54</v>
      </c>
      <c r="C935" s="1" t="s">
        <v>38</v>
      </c>
      <c r="D935" s="1">
        <v>9.0</v>
      </c>
      <c r="E935" s="8">
        <v>5.0</v>
      </c>
      <c r="F935" s="8">
        <v>56.0</v>
      </c>
      <c r="G935" s="1" t="s">
        <v>1315</v>
      </c>
      <c r="H935" s="1" t="str">
        <f t="shared" si="1"/>
        <v>Kelvin</v>
      </c>
      <c r="I935" s="1" t="str">
        <f t="shared" si="2"/>
        <v>Benjamin</v>
      </c>
      <c r="J935" s="1" t="str">
        <f t="shared" si="3"/>
        <v>#N/A</v>
      </c>
      <c r="K935" s="1" t="str">
        <f>IFERROR(VLOOKUP($J935,Players!$D:$E,2,FALSE),VLOOKUP($G935,Players!A:E,5,FALSE))</f>
        <v>WR</v>
      </c>
    </row>
    <row r="936" ht="15.75" customHeight="1">
      <c r="A936" s="1">
        <v>2016.0</v>
      </c>
      <c r="B936" s="1" t="s">
        <v>54</v>
      </c>
      <c r="C936" s="1" t="s">
        <v>38</v>
      </c>
      <c r="D936" s="1">
        <v>9.0</v>
      </c>
      <c r="E936" s="8">
        <v>6.0</v>
      </c>
      <c r="F936" s="8">
        <v>65.0</v>
      </c>
      <c r="G936" s="1" t="s">
        <v>965</v>
      </c>
      <c r="H936" s="1" t="str">
        <f t="shared" si="1"/>
        <v>Josh</v>
      </c>
      <c r="I936" s="1" t="str">
        <f t="shared" si="2"/>
        <v>Gordon</v>
      </c>
      <c r="J936" s="1" t="str">
        <f t="shared" si="3"/>
        <v>#N/A</v>
      </c>
      <c r="K936" s="1" t="str">
        <f>IFERROR(VLOOKUP($J936,Players!$D:$E,2,FALSE),VLOOKUP($G936,Players!A:E,5,FALSE))</f>
        <v>WR</v>
      </c>
    </row>
    <row r="937" ht="15.75" customHeight="1">
      <c r="A937" s="1">
        <v>2016.0</v>
      </c>
      <c r="B937" s="1" t="s">
        <v>54</v>
      </c>
      <c r="C937" s="1" t="s">
        <v>38</v>
      </c>
      <c r="D937" s="1">
        <v>9.0</v>
      </c>
      <c r="E937" s="8">
        <v>7.0</v>
      </c>
      <c r="F937" s="8">
        <v>80.0</v>
      </c>
      <c r="G937" s="1" t="s">
        <v>1720</v>
      </c>
      <c r="H937" s="1" t="str">
        <f t="shared" si="1"/>
        <v>Tyler</v>
      </c>
      <c r="I937" s="1" t="str">
        <f t="shared" si="2"/>
        <v>Eifert</v>
      </c>
      <c r="J937" s="1" t="str">
        <f t="shared" si="3"/>
        <v>#N/A</v>
      </c>
      <c r="K937" s="1" t="str">
        <f>IFERROR(VLOOKUP($J937,Players!$D:$E,2,FALSE),VLOOKUP($G937,Players!A:E,5,FALSE))</f>
        <v>TE</v>
      </c>
    </row>
    <row r="938" ht="15.75" customHeight="1">
      <c r="A938" s="1">
        <v>2016.0</v>
      </c>
      <c r="B938" s="1" t="s">
        <v>54</v>
      </c>
      <c r="C938" s="1" t="s">
        <v>38</v>
      </c>
      <c r="D938" s="1">
        <v>9.0</v>
      </c>
      <c r="E938" s="8">
        <v>8.0</v>
      </c>
      <c r="F938" s="8">
        <v>89.0</v>
      </c>
      <c r="G938" s="1" t="s">
        <v>1157</v>
      </c>
      <c r="H938" s="1" t="str">
        <f t="shared" si="1"/>
        <v>Devin</v>
      </c>
      <c r="I938" s="1" t="str">
        <f t="shared" si="2"/>
        <v>Funchess</v>
      </c>
      <c r="J938" s="1" t="str">
        <f t="shared" si="3"/>
        <v>#N/A</v>
      </c>
      <c r="K938" s="1" t="str">
        <f>IFERROR(VLOOKUP($J938,Players!$D:$E,2,FALSE),VLOOKUP($G938,Players!A:E,5,FALSE))</f>
        <v>WR</v>
      </c>
    </row>
    <row r="939" ht="15.75" customHeight="1">
      <c r="A939" s="1">
        <v>2016.0</v>
      </c>
      <c r="B939" s="1" t="s">
        <v>54</v>
      </c>
      <c r="C939" s="1" t="s">
        <v>38</v>
      </c>
      <c r="D939" s="1">
        <v>9.0</v>
      </c>
      <c r="E939" s="8">
        <v>9.0</v>
      </c>
      <c r="F939" s="8">
        <v>104.0</v>
      </c>
      <c r="G939" s="1" t="s">
        <v>318</v>
      </c>
      <c r="H939" s="1" t="str">
        <f t="shared" si="1"/>
        <v>Will</v>
      </c>
      <c r="I939" s="1" t="str">
        <f t="shared" si="2"/>
        <v>Fuller V</v>
      </c>
      <c r="J939" s="1" t="str">
        <f t="shared" si="3"/>
        <v>#N/A</v>
      </c>
      <c r="K939" s="1" t="str">
        <f>IFERROR(VLOOKUP($J939,Players!$D:$E,2,FALSE),VLOOKUP($G939,Players!A:E,5,FALSE))</f>
        <v>#N/A</v>
      </c>
    </row>
    <row r="940" ht="15.75" customHeight="1">
      <c r="A940" s="1">
        <v>2016.0</v>
      </c>
      <c r="B940" s="1" t="s">
        <v>54</v>
      </c>
      <c r="C940" s="1" t="s">
        <v>38</v>
      </c>
      <c r="D940" s="1">
        <v>9.0</v>
      </c>
      <c r="E940" s="8">
        <v>10.0</v>
      </c>
      <c r="F940" s="8">
        <v>113.0</v>
      </c>
      <c r="G940" s="1" t="s">
        <v>1661</v>
      </c>
      <c r="H940" s="1" t="str">
        <f t="shared" si="1"/>
        <v>Martellus</v>
      </c>
      <c r="I940" s="1" t="str">
        <f t="shared" si="2"/>
        <v>Bennett</v>
      </c>
      <c r="J940" s="1" t="str">
        <f t="shared" si="3"/>
        <v>#N/A</v>
      </c>
      <c r="K940" s="1" t="str">
        <f>IFERROR(VLOOKUP($J940,Players!$D:$E,2,FALSE),VLOOKUP($G940,Players!A:E,5,FALSE))</f>
        <v>TE</v>
      </c>
    </row>
    <row r="941" ht="15.75" customHeight="1">
      <c r="A941" s="1">
        <v>2016.0</v>
      </c>
      <c r="B941" s="1" t="s">
        <v>54</v>
      </c>
      <c r="C941" s="1" t="s">
        <v>38</v>
      </c>
      <c r="D941" s="1">
        <v>9.0</v>
      </c>
      <c r="E941" s="8">
        <v>11.0</v>
      </c>
      <c r="F941" s="8">
        <v>128.0</v>
      </c>
      <c r="G941" s="1" t="s">
        <v>1831</v>
      </c>
      <c r="H941" s="1" t="str">
        <f t="shared" si="1"/>
        <v>Steve</v>
      </c>
      <c r="I941" s="1" t="str">
        <f t="shared" si="2"/>
        <v>Smith Sr</v>
      </c>
      <c r="J941" s="1" t="str">
        <f t="shared" si="3"/>
        <v>#N/A</v>
      </c>
      <c r="K941" s="1" t="str">
        <f>IFERROR(VLOOKUP($J941,Players!$D:$E,2,FALSE),VLOOKUP($G941,Players!A:E,5,FALSE))</f>
        <v>#N/A</v>
      </c>
    </row>
    <row r="942" ht="15.75" customHeight="1">
      <c r="A942" s="1">
        <v>2016.0</v>
      </c>
      <c r="B942" s="1" t="s">
        <v>54</v>
      </c>
      <c r="C942" s="1" t="s">
        <v>38</v>
      </c>
      <c r="D942" s="1">
        <v>9.0</v>
      </c>
      <c r="E942" s="8">
        <v>12.0</v>
      </c>
      <c r="F942" s="8">
        <v>137.0</v>
      </c>
      <c r="G942" s="1" t="s">
        <v>1230</v>
      </c>
      <c r="H942" s="1" t="str">
        <f t="shared" si="1"/>
        <v>Dorial</v>
      </c>
      <c r="I942" s="1" t="str">
        <f t="shared" si="2"/>
        <v>Green-Beckham</v>
      </c>
      <c r="J942" s="1" t="str">
        <f t="shared" si="3"/>
        <v>#N/A</v>
      </c>
      <c r="K942" s="1" t="str">
        <f>IFERROR(VLOOKUP($J942,Players!$D:$E,2,FALSE),VLOOKUP($G942,Players!A:E,5,FALSE))</f>
        <v>WR</v>
      </c>
    </row>
    <row r="943" ht="15.75" customHeight="1">
      <c r="A943" s="1">
        <v>2016.0</v>
      </c>
      <c r="B943" s="1" t="s">
        <v>54</v>
      </c>
      <c r="C943" s="1" t="s">
        <v>38</v>
      </c>
      <c r="D943" s="1">
        <v>9.0</v>
      </c>
      <c r="E943" s="8">
        <v>13.0</v>
      </c>
      <c r="F943" s="8">
        <v>152.0</v>
      </c>
      <c r="G943" s="1" t="s">
        <v>452</v>
      </c>
      <c r="H943" s="1" t="str">
        <f t="shared" si="1"/>
        <v>James</v>
      </c>
      <c r="I943" s="1" t="str">
        <f t="shared" si="2"/>
        <v>White</v>
      </c>
      <c r="J943" s="1" t="str">
        <f t="shared" si="3"/>
        <v>#N/A</v>
      </c>
      <c r="K943" s="1" t="str">
        <f>IFERROR(VLOOKUP($J943,Players!$D:$E,2,FALSE),VLOOKUP($G943,Players!A:E,5,FALSE))</f>
        <v>RB</v>
      </c>
    </row>
    <row r="944" ht="15.75" customHeight="1">
      <c r="A944" s="1">
        <v>2016.0</v>
      </c>
      <c r="B944" s="1" t="s">
        <v>54</v>
      </c>
      <c r="C944" s="1" t="s">
        <v>38</v>
      </c>
      <c r="D944" s="1">
        <v>9.0</v>
      </c>
      <c r="E944" s="8">
        <v>14.0</v>
      </c>
      <c r="F944" s="8">
        <v>161.0</v>
      </c>
      <c r="G944" s="1" t="s">
        <v>1838</v>
      </c>
      <c r="H944" s="1" t="str">
        <f t="shared" si="1"/>
        <v>Vincent</v>
      </c>
      <c r="I944" s="1" t="str">
        <f t="shared" si="2"/>
        <v>Jackson</v>
      </c>
      <c r="J944" s="1" t="str">
        <f t="shared" si="3"/>
        <v>#N/A</v>
      </c>
      <c r="K944" s="1" t="str">
        <f>IFERROR(VLOOKUP($J944,Players!$D:$E,2,FALSE),VLOOKUP($G944,Players!A:E,5,FALSE))</f>
        <v>WR</v>
      </c>
    </row>
    <row r="945" ht="15.75" customHeight="1">
      <c r="A945" s="1">
        <v>2016.0</v>
      </c>
      <c r="B945" s="1" t="s">
        <v>54</v>
      </c>
      <c r="C945" s="1" t="s">
        <v>38</v>
      </c>
      <c r="D945" s="1">
        <v>9.0</v>
      </c>
      <c r="E945" s="8">
        <v>15.0</v>
      </c>
      <c r="F945" s="8">
        <v>176.0</v>
      </c>
      <c r="G945" s="1" t="s">
        <v>1841</v>
      </c>
      <c r="H945" s="1" t="str">
        <f t="shared" si="1"/>
        <v>Las</v>
      </c>
      <c r="I945" s="1" t="str">
        <f t="shared" si="2"/>
        <v>Vegas</v>
      </c>
      <c r="J945" s="1" t="str">
        <f t="shared" si="3"/>
        <v>#N/A</v>
      </c>
      <c r="K945" s="1" t="str">
        <f>IFERROR(VLOOKUP($J945,Players!$D:$E,2,FALSE),VLOOKUP($G945,Players!A:E,5,FALSE))</f>
        <v>DEF</v>
      </c>
    </row>
    <row r="946" ht="15.75" customHeight="1">
      <c r="A946" s="1">
        <v>2016.0</v>
      </c>
      <c r="B946" s="1" t="s">
        <v>48</v>
      </c>
      <c r="C946" s="1" t="s">
        <v>19</v>
      </c>
      <c r="D946" s="1">
        <v>10.0</v>
      </c>
      <c r="E946" s="8">
        <v>1.0</v>
      </c>
      <c r="F946" s="8">
        <v>9.0</v>
      </c>
      <c r="G946" s="1" t="s">
        <v>654</v>
      </c>
      <c r="H946" s="1" t="str">
        <f t="shared" si="1"/>
        <v>Rob</v>
      </c>
      <c r="I946" s="1" t="str">
        <f t="shared" si="2"/>
        <v>Gronkowski</v>
      </c>
      <c r="J946" s="1" t="str">
        <f t="shared" si="3"/>
        <v>#N/A</v>
      </c>
      <c r="K946" s="1" t="str">
        <f>IFERROR(VLOOKUP($J946,Players!$D:$E,2,FALSE),VLOOKUP($G946,Players!A:E,5,FALSE))</f>
        <v>TE</v>
      </c>
    </row>
    <row r="947" ht="15.75" customHeight="1">
      <c r="A947" s="1">
        <v>2016.0</v>
      </c>
      <c r="B947" s="1" t="s">
        <v>48</v>
      </c>
      <c r="C947" s="1" t="s">
        <v>19</v>
      </c>
      <c r="D947" s="1">
        <v>10.0</v>
      </c>
      <c r="E947" s="8">
        <v>2.0</v>
      </c>
      <c r="F947" s="8">
        <v>16.0</v>
      </c>
      <c r="G947" s="1" t="s">
        <v>536</v>
      </c>
      <c r="H947" s="1" t="str">
        <f t="shared" si="1"/>
        <v>Brandon</v>
      </c>
      <c r="I947" s="1" t="str">
        <f t="shared" si="2"/>
        <v>Marshall</v>
      </c>
      <c r="J947" s="1" t="str">
        <f t="shared" si="3"/>
        <v>#N/A</v>
      </c>
      <c r="K947" s="1" t="str">
        <f>IFERROR(VLOOKUP($J947,Players!$D:$E,2,FALSE),VLOOKUP($G947,Players!A:E,5,FALSE))</f>
        <v>WR</v>
      </c>
    </row>
    <row r="948" ht="15.75" customHeight="1">
      <c r="A948" s="1">
        <v>2016.0</v>
      </c>
      <c r="B948" s="1" t="s">
        <v>48</v>
      </c>
      <c r="C948" s="1" t="s">
        <v>19</v>
      </c>
      <c r="D948" s="1">
        <v>10.0</v>
      </c>
      <c r="E948" s="8">
        <v>3.0</v>
      </c>
      <c r="F948" s="8">
        <v>33.0</v>
      </c>
      <c r="G948" s="1" t="s">
        <v>822</v>
      </c>
      <c r="H948" s="1" t="str">
        <f t="shared" si="1"/>
        <v>TY</v>
      </c>
      <c r="I948" s="1" t="str">
        <f t="shared" si="2"/>
        <v>Hilton</v>
      </c>
      <c r="J948" s="1" t="str">
        <f t="shared" si="3"/>
        <v>#N/A</v>
      </c>
      <c r="K948" s="1" t="str">
        <f>IFERROR(VLOOKUP($J948,Players!$D:$E,2,FALSE),VLOOKUP($G948,Players!A:E,5,FALSE))</f>
        <v>WR</v>
      </c>
    </row>
    <row r="949" ht="15.75" customHeight="1">
      <c r="A949" s="1">
        <v>2016.0</v>
      </c>
      <c r="B949" s="1" t="s">
        <v>48</v>
      </c>
      <c r="C949" s="1" t="s">
        <v>19</v>
      </c>
      <c r="D949" s="1">
        <v>10.0</v>
      </c>
      <c r="E949" s="8">
        <v>4.0</v>
      </c>
      <c r="F949" s="8">
        <v>40.0</v>
      </c>
      <c r="G949" s="1" t="s">
        <v>1096</v>
      </c>
      <c r="H949" s="1" t="str">
        <f t="shared" si="1"/>
        <v>Demaryius</v>
      </c>
      <c r="I949" s="1" t="str">
        <f t="shared" si="2"/>
        <v>Thomas</v>
      </c>
      <c r="J949" s="1" t="str">
        <f t="shared" si="3"/>
        <v>#N/A</v>
      </c>
      <c r="K949" s="1" t="str">
        <f>IFERROR(VLOOKUP($J949,Players!$D:$E,2,FALSE),VLOOKUP($G949,Players!A:E,5,FALSE))</f>
        <v>WR</v>
      </c>
    </row>
    <row r="950" ht="15.75" customHeight="1">
      <c r="A950" s="1">
        <v>2016.0</v>
      </c>
      <c r="B950" s="1" t="s">
        <v>48</v>
      </c>
      <c r="C950" s="1" t="s">
        <v>19</v>
      </c>
      <c r="D950" s="1">
        <v>10.0</v>
      </c>
      <c r="E950" s="8">
        <v>5.0</v>
      </c>
      <c r="F950" s="8">
        <v>57.0</v>
      </c>
      <c r="G950" s="1" t="s">
        <v>1651</v>
      </c>
      <c r="H950" s="1" t="str">
        <f t="shared" si="1"/>
        <v>Jonathan</v>
      </c>
      <c r="I950" s="1" t="str">
        <f t="shared" si="2"/>
        <v>Stewart</v>
      </c>
      <c r="J950" s="1" t="str">
        <f t="shared" si="3"/>
        <v>#N/A</v>
      </c>
      <c r="K950" s="1" t="str">
        <f>IFERROR(VLOOKUP($J950,Players!$D:$E,2,FALSE),VLOOKUP($G950,Players!A:E,5,FALSE))</f>
        <v>RB</v>
      </c>
    </row>
    <row r="951" ht="15.75" customHeight="1">
      <c r="A951" s="1">
        <v>2016.0</v>
      </c>
      <c r="B951" s="1" t="s">
        <v>48</v>
      </c>
      <c r="C951" s="1" t="s">
        <v>19</v>
      </c>
      <c r="D951" s="1">
        <v>10.0</v>
      </c>
      <c r="E951" s="8">
        <v>6.0</v>
      </c>
      <c r="F951" s="8">
        <v>64.0</v>
      </c>
      <c r="G951" s="1" t="s">
        <v>1756</v>
      </c>
      <c r="H951" s="1" t="str">
        <f t="shared" si="1"/>
        <v>Jeremy</v>
      </c>
      <c r="I951" s="1" t="str">
        <f t="shared" si="2"/>
        <v>Langford</v>
      </c>
      <c r="J951" s="1" t="str">
        <f t="shared" si="3"/>
        <v>#N/A</v>
      </c>
      <c r="K951" s="1" t="str">
        <f>IFERROR(VLOOKUP($J951,Players!$D:$E,2,FALSE),VLOOKUP($G951,Players!A:E,5,FALSE))</f>
        <v>RB</v>
      </c>
    </row>
    <row r="952" ht="15.75" customHeight="1">
      <c r="A952" s="1">
        <v>2016.0</v>
      </c>
      <c r="B952" s="1" t="s">
        <v>48</v>
      </c>
      <c r="C952" s="1" t="s">
        <v>19</v>
      </c>
      <c r="D952" s="1">
        <v>10.0</v>
      </c>
      <c r="E952" s="8">
        <v>7.0</v>
      </c>
      <c r="F952" s="8">
        <v>81.0</v>
      </c>
      <c r="G952" s="1" t="s">
        <v>142</v>
      </c>
      <c r="H952" s="1" t="str">
        <f t="shared" si="1"/>
        <v>Tyler</v>
      </c>
      <c r="I952" s="1" t="str">
        <f t="shared" si="2"/>
        <v>Lockett</v>
      </c>
      <c r="J952" s="1" t="str">
        <f t="shared" si="3"/>
        <v>#N/A</v>
      </c>
      <c r="K952" s="1" t="str">
        <f>IFERROR(VLOOKUP($J952,Players!$D:$E,2,FALSE),VLOOKUP($G952,Players!A:E,5,FALSE))</f>
        <v>WR</v>
      </c>
    </row>
    <row r="953" ht="15.75" customHeight="1">
      <c r="A953" s="1">
        <v>2016.0</v>
      </c>
      <c r="B953" s="1" t="s">
        <v>48</v>
      </c>
      <c r="C953" s="1" t="s">
        <v>19</v>
      </c>
      <c r="D953" s="1">
        <v>10.0</v>
      </c>
      <c r="E953" s="8">
        <v>8.0</v>
      </c>
      <c r="F953" s="8">
        <v>88.0</v>
      </c>
      <c r="G953" s="1" t="s">
        <v>412</v>
      </c>
      <c r="H953" s="1" t="str">
        <f t="shared" si="1"/>
        <v>Kirk</v>
      </c>
      <c r="I953" s="1" t="str">
        <f t="shared" si="2"/>
        <v>Cousins</v>
      </c>
      <c r="J953" s="1" t="str">
        <f t="shared" si="3"/>
        <v>#N/A</v>
      </c>
      <c r="K953" s="1" t="str">
        <f>IFERROR(VLOOKUP($J953,Players!$D:$E,2,FALSE),VLOOKUP($G953,Players!A:E,5,FALSE))</f>
        <v>QB</v>
      </c>
    </row>
    <row r="954" ht="15.75" customHeight="1">
      <c r="A954" s="1">
        <v>2016.0</v>
      </c>
      <c r="B954" s="1" t="s">
        <v>48</v>
      </c>
      <c r="C954" s="1" t="s">
        <v>19</v>
      </c>
      <c r="D954" s="1">
        <v>10.0</v>
      </c>
      <c r="E954" s="8">
        <v>9.0</v>
      </c>
      <c r="F954" s="8">
        <v>105.0</v>
      </c>
      <c r="G954" s="1" t="s">
        <v>864</v>
      </c>
      <c r="H954" s="1" t="str">
        <f t="shared" si="1"/>
        <v>Mohamed</v>
      </c>
      <c r="I954" s="1" t="str">
        <f t="shared" si="2"/>
        <v>Sanu Sr</v>
      </c>
      <c r="J954" s="1" t="str">
        <f t="shared" si="3"/>
        <v>#N/A</v>
      </c>
      <c r="K954" s="1" t="str">
        <f>IFERROR(VLOOKUP($J954,Players!$D:$E,2,FALSE),VLOOKUP($G954,Players!A:E,5,FALSE))</f>
        <v>#N/A</v>
      </c>
    </row>
    <row r="955" ht="15.75" customHeight="1">
      <c r="A955" s="1">
        <v>2016.0</v>
      </c>
      <c r="B955" s="1" t="s">
        <v>48</v>
      </c>
      <c r="C955" s="1" t="s">
        <v>19</v>
      </c>
      <c r="D955" s="1">
        <v>10.0</v>
      </c>
      <c r="E955" s="8">
        <v>10.0</v>
      </c>
      <c r="F955" s="8">
        <v>112.0</v>
      </c>
      <c r="G955" s="1" t="s">
        <v>826</v>
      </c>
      <c r="H955" s="1" t="str">
        <f t="shared" si="1"/>
        <v>Christine</v>
      </c>
      <c r="I955" s="1" t="str">
        <f t="shared" si="2"/>
        <v>Michael</v>
      </c>
      <c r="J955" s="1" t="str">
        <f t="shared" si="3"/>
        <v>#N/A</v>
      </c>
      <c r="K955" s="1" t="str">
        <f>IFERROR(VLOOKUP($J955,Players!$D:$E,2,FALSE),VLOOKUP($G955,Players!A:E,5,FALSE))</f>
        <v>RB</v>
      </c>
    </row>
    <row r="956" ht="15.75" customHeight="1">
      <c r="A956" s="1">
        <v>2016.0</v>
      </c>
      <c r="B956" s="1" t="s">
        <v>48</v>
      </c>
      <c r="C956" s="1" t="s">
        <v>19</v>
      </c>
      <c r="D956" s="1">
        <v>10.0</v>
      </c>
      <c r="E956" s="8">
        <v>11.0</v>
      </c>
      <c r="F956" s="8">
        <v>129.0</v>
      </c>
      <c r="G956" s="1" t="s">
        <v>331</v>
      </c>
      <c r="H956" s="1" t="str">
        <f t="shared" si="1"/>
        <v>Kansas</v>
      </c>
      <c r="I956" s="1" t="str">
        <f t="shared" si="2"/>
        <v>City</v>
      </c>
      <c r="J956" s="1" t="str">
        <f t="shared" si="3"/>
        <v>#N/A</v>
      </c>
      <c r="K956" s="1" t="str">
        <f>IFERROR(VLOOKUP($J956,Players!$D:$E,2,FALSE),VLOOKUP($G956,Players!A:E,5,FALSE))</f>
        <v>DEF</v>
      </c>
    </row>
    <row r="957" ht="15.75" customHeight="1">
      <c r="A957" s="1">
        <v>2016.0</v>
      </c>
      <c r="B957" s="1" t="s">
        <v>48</v>
      </c>
      <c r="C957" s="1" t="s">
        <v>19</v>
      </c>
      <c r="D957" s="1">
        <v>10.0</v>
      </c>
      <c r="E957" s="8">
        <v>12.0</v>
      </c>
      <c r="F957" s="8">
        <v>136.0</v>
      </c>
      <c r="G957" s="1" t="s">
        <v>1762</v>
      </c>
      <c r="H957" s="1" t="str">
        <f t="shared" si="1"/>
        <v>Jerick</v>
      </c>
      <c r="I957" s="1" t="str">
        <f t="shared" si="2"/>
        <v>McKinnon</v>
      </c>
      <c r="J957" s="1" t="str">
        <f t="shared" si="3"/>
        <v>#N/A</v>
      </c>
      <c r="K957" s="1" t="str">
        <f>IFERROR(VLOOKUP($J957,Players!$D:$E,2,FALSE),VLOOKUP($G957,Players!A:E,5,FALSE))</f>
        <v>RB</v>
      </c>
    </row>
    <row r="958" ht="15.75" customHeight="1">
      <c r="A958" s="1">
        <v>2016.0</v>
      </c>
      <c r="B958" s="1" t="s">
        <v>48</v>
      </c>
      <c r="C958" s="1" t="s">
        <v>19</v>
      </c>
      <c r="D958" s="1">
        <v>10.0</v>
      </c>
      <c r="E958" s="8">
        <v>13.0</v>
      </c>
      <c r="F958" s="8">
        <v>153.0</v>
      </c>
      <c r="G958" s="1" t="s">
        <v>188</v>
      </c>
      <c r="H958" s="1" t="str">
        <f t="shared" si="1"/>
        <v>Adam</v>
      </c>
      <c r="I958" s="1" t="str">
        <f t="shared" si="2"/>
        <v>Vinatieri</v>
      </c>
      <c r="J958" s="1" t="str">
        <f t="shared" si="3"/>
        <v>#N/A</v>
      </c>
      <c r="K958" s="1" t="str">
        <f>IFERROR(VLOOKUP($J958,Players!$D:$E,2,FALSE),VLOOKUP($G958,Players!A:E,5,FALSE))</f>
        <v>K</v>
      </c>
    </row>
    <row r="959" ht="15.75" customHeight="1">
      <c r="A959" s="1">
        <v>2016.0</v>
      </c>
      <c r="B959" s="1" t="s">
        <v>48</v>
      </c>
      <c r="C959" s="1" t="s">
        <v>19</v>
      </c>
      <c r="D959" s="1">
        <v>10.0</v>
      </c>
      <c r="E959" s="8">
        <v>14.0</v>
      </c>
      <c r="F959" s="8">
        <v>160.0</v>
      </c>
      <c r="G959" s="1" t="s">
        <v>1105</v>
      </c>
      <c r="H959" s="1" t="str">
        <f t="shared" si="1"/>
        <v>Jameis</v>
      </c>
      <c r="I959" s="1" t="str">
        <f t="shared" si="2"/>
        <v>Winston</v>
      </c>
      <c r="J959" s="1" t="str">
        <f t="shared" si="3"/>
        <v>#N/A</v>
      </c>
      <c r="K959" s="1" t="str">
        <f>IFERROR(VLOOKUP($J959,Players!$D:$E,2,FALSE),VLOOKUP($G959,Players!A:E,5,FALSE))</f>
        <v>QB</v>
      </c>
    </row>
    <row r="960" ht="15.75" customHeight="1">
      <c r="A960" s="1">
        <v>2016.0</v>
      </c>
      <c r="B960" s="1" t="s">
        <v>48</v>
      </c>
      <c r="C960" s="1" t="s">
        <v>19</v>
      </c>
      <c r="D960" s="1">
        <v>10.0</v>
      </c>
      <c r="E960" s="8">
        <v>15.0</v>
      </c>
      <c r="F960" s="8">
        <v>177.0</v>
      </c>
      <c r="G960" s="1" t="s">
        <v>1312</v>
      </c>
      <c r="H960" s="1" t="str">
        <f t="shared" si="1"/>
        <v>Pierre</v>
      </c>
      <c r="I960" s="1" t="str">
        <f t="shared" si="2"/>
        <v>Garcon</v>
      </c>
      <c r="J960" s="1" t="str">
        <f t="shared" si="3"/>
        <v>#N/A</v>
      </c>
      <c r="K960" s="1" t="str">
        <f>IFERROR(VLOOKUP($J960,Players!$D:$E,2,FALSE),VLOOKUP($G960,Players!A:E,5,FALSE))</f>
        <v>WR</v>
      </c>
    </row>
    <row r="961" ht="15.75" customHeight="1">
      <c r="A961" s="1">
        <v>2016.0</v>
      </c>
      <c r="B961" s="1" t="s">
        <v>37</v>
      </c>
      <c r="C961" s="1" t="s">
        <v>10</v>
      </c>
      <c r="D961" s="1">
        <v>12.0</v>
      </c>
      <c r="E961" s="8">
        <v>1.0</v>
      </c>
      <c r="F961" s="8">
        <v>4.0</v>
      </c>
      <c r="G961" s="1" t="s">
        <v>197</v>
      </c>
      <c r="H961" s="1" t="str">
        <f t="shared" si="1"/>
        <v>Adrian</v>
      </c>
      <c r="I961" s="1" t="str">
        <f t="shared" si="2"/>
        <v>Peterson</v>
      </c>
      <c r="J961" s="1" t="str">
        <f t="shared" si="3"/>
        <v>#N/A</v>
      </c>
      <c r="K961" s="1" t="str">
        <f>IFERROR(VLOOKUP($J961,Players!$D:$E,2,FALSE),VLOOKUP($G961,Players!A:E,5,FALSE))</f>
        <v>RB</v>
      </c>
    </row>
    <row r="962" ht="15.75" customHeight="1">
      <c r="A962" s="1">
        <v>2016.0</v>
      </c>
      <c r="B962" s="1" t="s">
        <v>37</v>
      </c>
      <c r="C962" s="1" t="s">
        <v>10</v>
      </c>
      <c r="D962" s="1">
        <v>12.0</v>
      </c>
      <c r="E962" s="8">
        <v>2.0</v>
      </c>
      <c r="F962" s="8">
        <v>21.0</v>
      </c>
      <c r="G962" s="1" t="s">
        <v>391</v>
      </c>
      <c r="H962" s="1" t="str">
        <f t="shared" si="1"/>
        <v>Mike</v>
      </c>
      <c r="I962" s="1" t="str">
        <f t="shared" si="2"/>
        <v>Evans</v>
      </c>
      <c r="J962" s="1" t="str">
        <f t="shared" si="3"/>
        <v>#N/A</v>
      </c>
      <c r="K962" s="1" t="str">
        <f>IFERROR(VLOOKUP($J962,Players!$D:$E,2,FALSE),VLOOKUP($G962,Players!A:E,5,FALSE))</f>
        <v>WR</v>
      </c>
    </row>
    <row r="963" ht="15.75" customHeight="1">
      <c r="A963" s="1">
        <v>2016.0</v>
      </c>
      <c r="B963" s="1" t="s">
        <v>37</v>
      </c>
      <c r="C963" s="1" t="s">
        <v>10</v>
      </c>
      <c r="D963" s="1">
        <v>12.0</v>
      </c>
      <c r="E963" s="8">
        <v>3.0</v>
      </c>
      <c r="F963" s="8">
        <v>28.0</v>
      </c>
      <c r="G963" s="1" t="s">
        <v>1707</v>
      </c>
      <c r="H963" s="1" t="str">
        <f t="shared" si="1"/>
        <v>Jeremy</v>
      </c>
      <c r="I963" s="1" t="str">
        <f t="shared" si="2"/>
        <v>Hill</v>
      </c>
      <c r="J963" s="1" t="str">
        <f t="shared" si="3"/>
        <v>#N/A</v>
      </c>
      <c r="K963" s="1" t="str">
        <f>IFERROR(VLOOKUP($J963,Players!$D:$E,2,FALSE),VLOOKUP($G963,Players!A:E,5,FALSE))</f>
        <v>RB</v>
      </c>
    </row>
    <row r="964" ht="15.75" customHeight="1">
      <c r="A964" s="1">
        <v>2016.0</v>
      </c>
      <c r="B964" s="1" t="s">
        <v>37</v>
      </c>
      <c r="C964" s="1" t="s">
        <v>10</v>
      </c>
      <c r="D964" s="1">
        <v>12.0</v>
      </c>
      <c r="E964" s="8">
        <v>4.0</v>
      </c>
      <c r="F964" s="8">
        <v>45.0</v>
      </c>
      <c r="G964" s="1" t="s">
        <v>1314</v>
      </c>
      <c r="H964" s="1" t="str">
        <f t="shared" si="1"/>
        <v>Eric</v>
      </c>
      <c r="I964" s="1" t="str">
        <f t="shared" si="2"/>
        <v>Decker</v>
      </c>
      <c r="J964" s="1" t="str">
        <f t="shared" si="3"/>
        <v>#N/A</v>
      </c>
      <c r="K964" s="1" t="str">
        <f>IFERROR(VLOOKUP($J964,Players!$D:$E,2,FALSE),VLOOKUP($G964,Players!A:E,5,FALSE))</f>
        <v>WR</v>
      </c>
    </row>
    <row r="965" ht="15.75" customHeight="1">
      <c r="A965" s="1">
        <v>2016.0</v>
      </c>
      <c r="B965" s="1" t="s">
        <v>37</v>
      </c>
      <c r="C965" s="1" t="s">
        <v>10</v>
      </c>
      <c r="D965" s="1">
        <v>12.0</v>
      </c>
      <c r="E965" s="8">
        <v>5.0</v>
      </c>
      <c r="F965" s="8">
        <v>52.0</v>
      </c>
      <c r="G965" s="1" t="s">
        <v>645</v>
      </c>
      <c r="H965" s="1" t="str">
        <f t="shared" si="1"/>
        <v>CJ</v>
      </c>
      <c r="I965" s="1" t="str">
        <f t="shared" si="2"/>
        <v>Anderson</v>
      </c>
      <c r="J965" s="1" t="str">
        <f t="shared" si="3"/>
        <v>#N/A</v>
      </c>
      <c r="K965" s="1" t="str">
        <f>IFERROR(VLOOKUP($J965,Players!$D:$E,2,FALSE),VLOOKUP($G965,Players!A:E,5,FALSE))</f>
        <v>RB</v>
      </c>
    </row>
    <row r="966" ht="15.75" customHeight="1">
      <c r="A966" s="1">
        <v>2016.0</v>
      </c>
      <c r="B966" s="1" t="s">
        <v>37</v>
      </c>
      <c r="C966" s="1" t="s">
        <v>10</v>
      </c>
      <c r="D966" s="1">
        <v>12.0</v>
      </c>
      <c r="E966" s="8">
        <v>6.0</v>
      </c>
      <c r="F966" s="8">
        <v>69.0</v>
      </c>
      <c r="G966" s="1" t="s">
        <v>775</v>
      </c>
      <c r="H966" s="1" t="str">
        <f t="shared" si="1"/>
        <v>Larry</v>
      </c>
      <c r="I966" s="1" t="str">
        <f t="shared" si="2"/>
        <v>Fitzgerald</v>
      </c>
      <c r="J966" s="1" t="str">
        <f t="shared" si="3"/>
        <v>#N/A</v>
      </c>
      <c r="K966" s="1" t="str">
        <f>IFERROR(VLOOKUP($J966,Players!$D:$E,2,FALSE),VLOOKUP($G966,Players!A:E,5,FALSE))</f>
        <v>WR</v>
      </c>
    </row>
    <row r="967" ht="15.75" customHeight="1">
      <c r="A967" s="1">
        <v>2016.0</v>
      </c>
      <c r="B967" s="1" t="s">
        <v>37</v>
      </c>
      <c r="C967" s="1" t="s">
        <v>10</v>
      </c>
      <c r="D967" s="1">
        <v>12.0</v>
      </c>
      <c r="E967" s="8">
        <v>7.0</v>
      </c>
      <c r="F967" s="8">
        <v>76.0</v>
      </c>
      <c r="G967" s="1" t="s">
        <v>485</v>
      </c>
      <c r="H967" s="1" t="str">
        <f t="shared" si="1"/>
        <v>John</v>
      </c>
      <c r="I967" s="1" t="str">
        <f t="shared" si="2"/>
        <v>Brown</v>
      </c>
      <c r="J967" s="1" t="str">
        <f t="shared" si="3"/>
        <v>#N/A</v>
      </c>
      <c r="K967" s="1" t="str">
        <f>IFERROR(VLOOKUP($J967,Players!$D:$E,2,FALSE),VLOOKUP($G967,Players!A:E,5,FALSE))</f>
        <v>WR</v>
      </c>
    </row>
    <row r="968" ht="15.75" customHeight="1">
      <c r="A968" s="1">
        <v>2016.0</v>
      </c>
      <c r="B968" s="1" t="s">
        <v>37</v>
      </c>
      <c r="C968" s="1" t="s">
        <v>10</v>
      </c>
      <c r="D968" s="1">
        <v>12.0</v>
      </c>
      <c r="E968" s="8">
        <v>8.0</v>
      </c>
      <c r="F968" s="8">
        <v>93.0</v>
      </c>
      <c r="G968" s="1" t="s">
        <v>1291</v>
      </c>
      <c r="H968" s="1" t="str">
        <f t="shared" si="1"/>
        <v>Eli</v>
      </c>
      <c r="I968" s="1" t="str">
        <f t="shared" si="2"/>
        <v>Manning</v>
      </c>
      <c r="J968" s="1" t="str">
        <f t="shared" si="3"/>
        <v>#N/A</v>
      </c>
      <c r="K968" s="1" t="str">
        <f>IFERROR(VLOOKUP($J968,Players!$D:$E,2,FALSE),VLOOKUP($G968,Players!A:E,5,FALSE))</f>
        <v>QB</v>
      </c>
    </row>
    <row r="969" ht="15.75" customHeight="1">
      <c r="A969" s="1">
        <v>2016.0</v>
      </c>
      <c r="B969" s="1" t="s">
        <v>37</v>
      </c>
      <c r="C969" s="1" t="s">
        <v>10</v>
      </c>
      <c r="D969" s="1">
        <v>12.0</v>
      </c>
      <c r="E969" s="8">
        <v>9.0</v>
      </c>
      <c r="F969" s="8">
        <v>100.0</v>
      </c>
      <c r="G969" s="1" t="s">
        <v>1876</v>
      </c>
      <c r="H969" s="1" t="str">
        <f t="shared" si="1"/>
        <v>Markus</v>
      </c>
      <c r="I969" s="1" t="str">
        <f t="shared" si="2"/>
        <v>Wheaton</v>
      </c>
      <c r="J969" s="1" t="str">
        <f t="shared" si="3"/>
        <v>#N/A</v>
      </c>
      <c r="K969" s="1" t="str">
        <f>IFERROR(VLOOKUP($J969,Players!$D:$E,2,FALSE),VLOOKUP($G969,Players!A:E,5,FALSE))</f>
        <v>WR</v>
      </c>
    </row>
    <row r="970" ht="15.75" customHeight="1">
      <c r="A970" s="1">
        <v>2016.0</v>
      </c>
      <c r="B970" s="1" t="s">
        <v>37</v>
      </c>
      <c r="C970" s="1" t="s">
        <v>10</v>
      </c>
      <c r="D970" s="1">
        <v>12.0</v>
      </c>
      <c r="E970" s="8">
        <v>10.0</v>
      </c>
      <c r="F970" s="8">
        <v>117.0</v>
      </c>
      <c r="G970" s="1" t="s">
        <v>1878</v>
      </c>
      <c r="H970" s="1" t="str">
        <f t="shared" si="1"/>
        <v>Rashad</v>
      </c>
      <c r="I970" s="1" t="str">
        <f t="shared" si="2"/>
        <v>Jennings</v>
      </c>
      <c r="J970" s="1" t="str">
        <f t="shared" si="3"/>
        <v>#N/A</v>
      </c>
      <c r="K970" s="1" t="str">
        <f>IFERROR(VLOOKUP($J970,Players!$D:$E,2,FALSE),VLOOKUP($G970,Players!A:E,5,FALSE))</f>
        <v>RB</v>
      </c>
    </row>
    <row r="971" ht="15.75" customHeight="1">
      <c r="A971" s="1">
        <v>2016.0</v>
      </c>
      <c r="B971" s="1" t="s">
        <v>37</v>
      </c>
      <c r="C971" s="1" t="s">
        <v>10</v>
      </c>
      <c r="D971" s="1">
        <v>12.0</v>
      </c>
      <c r="E971" s="8">
        <v>11.0</v>
      </c>
      <c r="F971" s="8">
        <v>124.0</v>
      </c>
      <c r="G971" s="1" t="s">
        <v>307</v>
      </c>
      <c r="H971" s="1" t="str">
        <f t="shared" si="1"/>
        <v>Andy</v>
      </c>
      <c r="I971" s="1" t="str">
        <f t="shared" si="2"/>
        <v>Dalton</v>
      </c>
      <c r="J971" s="1" t="str">
        <f t="shared" si="3"/>
        <v>#N/A</v>
      </c>
      <c r="K971" s="1" t="str">
        <f>IFERROR(VLOOKUP($J971,Players!$D:$E,2,FALSE),VLOOKUP($G971,Players!A:E,5,FALSE))</f>
        <v>QB</v>
      </c>
    </row>
    <row r="972" ht="15.75" customHeight="1">
      <c r="A972" s="1">
        <v>2016.0</v>
      </c>
      <c r="B972" s="1" t="s">
        <v>37</v>
      </c>
      <c r="C972" s="1" t="s">
        <v>10</v>
      </c>
      <c r="D972" s="1">
        <v>12.0</v>
      </c>
      <c r="E972" s="8">
        <v>12.0</v>
      </c>
      <c r="F972" s="8">
        <v>141.0</v>
      </c>
      <c r="G972" s="1" t="s">
        <v>502</v>
      </c>
      <c r="H972" s="1" t="str">
        <f t="shared" si="1"/>
        <v>#VALUE!</v>
      </c>
      <c r="I972" s="1" t="str">
        <f t="shared" si="2"/>
        <v>#VALUE!</v>
      </c>
      <c r="J972" s="1" t="str">
        <f t="shared" si="3"/>
        <v>#N/A</v>
      </c>
      <c r="K972" s="1" t="str">
        <f>IFERROR(VLOOKUP($J972,Players!$D:$E,2,FALSE),VLOOKUP($G972,Players!A:E,5,FALSE))</f>
        <v>DEF</v>
      </c>
    </row>
    <row r="973" ht="15.75" customHeight="1">
      <c r="A973" s="1">
        <v>2016.0</v>
      </c>
      <c r="B973" s="1" t="s">
        <v>37</v>
      </c>
      <c r="C973" s="1" t="s">
        <v>10</v>
      </c>
      <c r="D973" s="1">
        <v>12.0</v>
      </c>
      <c r="E973" s="8">
        <v>13.0</v>
      </c>
      <c r="F973" s="8">
        <v>148.0</v>
      </c>
      <c r="G973" s="1" t="s">
        <v>1883</v>
      </c>
      <c r="H973" s="1" t="str">
        <f t="shared" si="1"/>
        <v>Zach</v>
      </c>
      <c r="I973" s="1" t="str">
        <f t="shared" si="2"/>
        <v>Miller</v>
      </c>
      <c r="J973" s="1" t="str">
        <f t="shared" si="3"/>
        <v>#N/A</v>
      </c>
      <c r="K973" s="1" t="str">
        <f>IFERROR(VLOOKUP($J973,Players!$D:$E,2,FALSE),VLOOKUP($G973,Players!A:E,5,FALSE))</f>
        <v>TE</v>
      </c>
    </row>
    <row r="974" ht="15.75" customHeight="1">
      <c r="A974" s="1">
        <v>2016.0</v>
      </c>
      <c r="B974" s="1" t="s">
        <v>37</v>
      </c>
      <c r="C974" s="1" t="s">
        <v>10</v>
      </c>
      <c r="D974" s="1">
        <v>12.0</v>
      </c>
      <c r="E974" s="8">
        <v>14.0</v>
      </c>
      <c r="F974" s="8">
        <v>165.0</v>
      </c>
      <c r="G974" s="1" t="s">
        <v>837</v>
      </c>
      <c r="H974" s="1" t="str">
        <f t="shared" si="1"/>
        <v>Clive</v>
      </c>
      <c r="I974" s="1" t="str">
        <f t="shared" si="2"/>
        <v>Walford</v>
      </c>
      <c r="J974" s="1" t="str">
        <f t="shared" si="3"/>
        <v>#N/A</v>
      </c>
      <c r="K974" s="1" t="str">
        <f>IFERROR(VLOOKUP($J974,Players!$D:$E,2,FALSE),VLOOKUP($G974,Players!A:E,5,FALSE))</f>
        <v>TE</v>
      </c>
    </row>
    <row r="975" ht="15.75" customHeight="1">
      <c r="A975" s="1">
        <v>2016.0</v>
      </c>
      <c r="B975" s="1" t="s">
        <v>37</v>
      </c>
      <c r="C975" s="1" t="s">
        <v>10</v>
      </c>
      <c r="D975" s="1">
        <v>12.0</v>
      </c>
      <c r="E975" s="8">
        <v>15.0</v>
      </c>
      <c r="F975" s="8">
        <v>172.0</v>
      </c>
      <c r="G975" s="1" t="s">
        <v>1886</v>
      </c>
      <c r="H975" s="1" t="str">
        <f t="shared" si="1"/>
        <v>Josh</v>
      </c>
      <c r="I975" s="1" t="str">
        <f t="shared" si="2"/>
        <v>Brown</v>
      </c>
      <c r="J975" s="1" t="str">
        <f t="shared" si="3"/>
        <v>#N/A</v>
      </c>
      <c r="K975" s="1" t="str">
        <f>IFERROR(VLOOKUP($J975,Players!$D:$E,2,FALSE),VLOOKUP($G975,Players!A:E,5,FALSE))</f>
        <v>K</v>
      </c>
    </row>
    <row r="976" ht="15.75" customHeight="1">
      <c r="A976" s="1">
        <v>2016.0</v>
      </c>
      <c r="B976" s="1" t="s">
        <v>30</v>
      </c>
      <c r="C976" s="1" t="s">
        <v>31</v>
      </c>
      <c r="D976" s="1">
        <v>6.0</v>
      </c>
      <c r="E976" s="8">
        <v>1.0</v>
      </c>
      <c r="F976" s="8">
        <v>10.0</v>
      </c>
      <c r="G976" s="1" t="s">
        <v>152</v>
      </c>
      <c r="H976" s="1" t="str">
        <f t="shared" si="1"/>
        <v>AJ</v>
      </c>
      <c r="I976" s="1" t="str">
        <f t="shared" si="2"/>
        <v>Green</v>
      </c>
      <c r="J976" s="1" t="str">
        <f t="shared" si="3"/>
        <v>#N/A</v>
      </c>
      <c r="K976" s="1" t="str">
        <f>IFERROR(VLOOKUP($J976,Players!$D:$E,2,FALSE),VLOOKUP($G976,Players!A:E,5,FALSE))</f>
        <v>WR</v>
      </c>
    </row>
    <row r="977" ht="15.75" customHeight="1">
      <c r="A977" s="1">
        <v>2016.0</v>
      </c>
      <c r="B977" s="1" t="s">
        <v>30</v>
      </c>
      <c r="C977" s="1" t="s">
        <v>31</v>
      </c>
      <c r="D977" s="1">
        <v>6.0</v>
      </c>
      <c r="E977" s="8">
        <v>2.0</v>
      </c>
      <c r="F977" s="8">
        <v>15.0</v>
      </c>
      <c r="G977" s="1" t="s">
        <v>1465</v>
      </c>
      <c r="H977" s="1" t="str">
        <f t="shared" si="1"/>
        <v>Lamar</v>
      </c>
      <c r="I977" s="1" t="str">
        <f t="shared" si="2"/>
        <v>Miller</v>
      </c>
      <c r="J977" s="1" t="str">
        <f t="shared" si="3"/>
        <v>#N/A</v>
      </c>
      <c r="K977" s="1" t="str">
        <f>IFERROR(VLOOKUP($J977,Players!$D:$E,2,FALSE),VLOOKUP($G977,Players!A:E,5,FALSE))</f>
        <v>RB</v>
      </c>
    </row>
    <row r="978" ht="15.75" customHeight="1">
      <c r="A978" s="1">
        <v>2016.0</v>
      </c>
      <c r="B978" s="1" t="s">
        <v>30</v>
      </c>
      <c r="C978" s="1" t="s">
        <v>31</v>
      </c>
      <c r="D978" s="1">
        <v>6.0</v>
      </c>
      <c r="E978" s="8">
        <v>3.0</v>
      </c>
      <c r="F978" s="8">
        <v>34.0</v>
      </c>
      <c r="G978" s="1" t="s">
        <v>835</v>
      </c>
      <c r="H978" s="1" t="str">
        <f t="shared" si="1"/>
        <v>Sammy</v>
      </c>
      <c r="I978" s="1" t="str">
        <f t="shared" si="2"/>
        <v>Watkins</v>
      </c>
      <c r="J978" s="1" t="str">
        <f t="shared" si="3"/>
        <v>#N/A</v>
      </c>
      <c r="K978" s="1" t="str">
        <f>IFERROR(VLOOKUP($J978,Players!$D:$E,2,FALSE),VLOOKUP($G978,Players!A:E,5,FALSE))</f>
        <v>WR</v>
      </c>
    </row>
    <row r="979" ht="15.75" customHeight="1">
      <c r="A979" s="1">
        <v>2016.0</v>
      </c>
      <c r="B979" s="1" t="s">
        <v>30</v>
      </c>
      <c r="C979" s="1" t="s">
        <v>31</v>
      </c>
      <c r="D979" s="1">
        <v>6.0</v>
      </c>
      <c r="E979" s="8">
        <v>4.0</v>
      </c>
      <c r="F979" s="8">
        <v>39.0</v>
      </c>
      <c r="G979" s="1" t="s">
        <v>1235</v>
      </c>
      <c r="H979" s="1" t="str">
        <f t="shared" si="1"/>
        <v>Doug</v>
      </c>
      <c r="I979" s="1" t="str">
        <f t="shared" si="2"/>
        <v>Baldwin</v>
      </c>
      <c r="J979" s="1" t="str">
        <f t="shared" si="3"/>
        <v>#N/A</v>
      </c>
      <c r="K979" s="1" t="str">
        <f>IFERROR(VLOOKUP($J979,Players!$D:$E,2,FALSE),VLOOKUP($G979,Players!A:E,5,FALSE))</f>
        <v>WR</v>
      </c>
    </row>
    <row r="980" ht="15.75" customHeight="1">
      <c r="A980" s="1">
        <v>2016.0</v>
      </c>
      <c r="B980" s="1" t="s">
        <v>30</v>
      </c>
      <c r="C980" s="1" t="s">
        <v>31</v>
      </c>
      <c r="D980" s="1">
        <v>6.0</v>
      </c>
      <c r="E980" s="8">
        <v>5.0</v>
      </c>
      <c r="F980" s="8">
        <v>58.0</v>
      </c>
      <c r="G980" s="1" t="s">
        <v>1092</v>
      </c>
      <c r="H980" s="1" t="str">
        <f t="shared" si="1"/>
        <v>DeMarco</v>
      </c>
      <c r="I980" s="1" t="str">
        <f t="shared" si="2"/>
        <v>Murray</v>
      </c>
      <c r="J980" s="1" t="str">
        <f t="shared" si="3"/>
        <v>#N/A</v>
      </c>
      <c r="K980" s="1" t="str">
        <f>IFERROR(VLOOKUP($J980,Players!$D:$E,2,FALSE),VLOOKUP($G980,Players!A:E,5,FALSE))</f>
        <v>RB</v>
      </c>
    </row>
    <row r="981" ht="15.75" customHeight="1">
      <c r="A981" s="1">
        <v>2016.0</v>
      </c>
      <c r="B981" s="1" t="s">
        <v>30</v>
      </c>
      <c r="C981" s="1" t="s">
        <v>31</v>
      </c>
      <c r="D981" s="1">
        <v>6.0</v>
      </c>
      <c r="E981" s="8">
        <v>6.0</v>
      </c>
      <c r="F981" s="8">
        <v>63.0</v>
      </c>
      <c r="G981" s="1" t="s">
        <v>267</v>
      </c>
      <c r="H981" s="1" t="str">
        <f t="shared" si="1"/>
        <v>Tom</v>
      </c>
      <c r="I981" s="1" t="str">
        <f t="shared" si="2"/>
        <v>Brady</v>
      </c>
      <c r="J981" s="1" t="str">
        <f t="shared" si="3"/>
        <v>#N/A</v>
      </c>
      <c r="K981" s="1" t="str">
        <f>IFERROR(VLOOKUP($J981,Players!$D:$E,2,FALSE),VLOOKUP($G981,Players!A:E,5,FALSE))</f>
        <v>QB</v>
      </c>
    </row>
    <row r="982" ht="15.75" customHeight="1">
      <c r="A982" s="1">
        <v>2016.0</v>
      </c>
      <c r="B982" s="1" t="s">
        <v>30</v>
      </c>
      <c r="C982" s="1" t="s">
        <v>31</v>
      </c>
      <c r="D982" s="1">
        <v>6.0</v>
      </c>
      <c r="E982" s="8">
        <v>7.0</v>
      </c>
      <c r="F982" s="8">
        <v>82.0</v>
      </c>
      <c r="G982" s="1" t="s">
        <v>819</v>
      </c>
      <c r="H982" s="1" t="str">
        <f t="shared" si="1"/>
        <v>Zach</v>
      </c>
      <c r="I982" s="1" t="str">
        <f t="shared" si="2"/>
        <v>Ertz</v>
      </c>
      <c r="J982" s="1" t="str">
        <f t="shared" si="3"/>
        <v>#N/A</v>
      </c>
      <c r="K982" s="1" t="str">
        <f>IFERROR(VLOOKUP($J982,Players!$D:$E,2,FALSE),VLOOKUP($G982,Players!A:E,5,FALSE))</f>
        <v>TE</v>
      </c>
    </row>
    <row r="983" ht="15.75" customHeight="1">
      <c r="A983" s="1">
        <v>2016.0</v>
      </c>
      <c r="B983" s="1" t="s">
        <v>30</v>
      </c>
      <c r="C983" s="1" t="s">
        <v>31</v>
      </c>
      <c r="D983" s="1">
        <v>6.0</v>
      </c>
      <c r="E983" s="8">
        <v>8.0</v>
      </c>
      <c r="F983" s="8">
        <v>87.0</v>
      </c>
      <c r="G983" s="1" t="s">
        <v>714</v>
      </c>
      <c r="H983" s="1" t="str">
        <f t="shared" si="1"/>
        <v>Drew</v>
      </c>
      <c r="I983" s="1" t="str">
        <f t="shared" si="2"/>
        <v>Brees</v>
      </c>
      <c r="J983" s="1" t="str">
        <f t="shared" si="3"/>
        <v>#N/A</v>
      </c>
      <c r="K983" s="1" t="str">
        <f>IFERROR(VLOOKUP($J983,Players!$D:$E,2,FALSE),VLOOKUP($G983,Players!A:E,5,FALSE))</f>
        <v>QB</v>
      </c>
    </row>
    <row r="984" ht="15.75" customHeight="1">
      <c r="A984" s="1">
        <v>2016.0</v>
      </c>
      <c r="B984" s="1" t="s">
        <v>30</v>
      </c>
      <c r="C984" s="1" t="s">
        <v>31</v>
      </c>
      <c r="D984" s="1">
        <v>6.0</v>
      </c>
      <c r="E984" s="8">
        <v>9.0</v>
      </c>
      <c r="F984" s="8">
        <v>106.0</v>
      </c>
      <c r="G984" s="1" t="s">
        <v>1016</v>
      </c>
      <c r="H984" s="1" t="str">
        <f t="shared" si="1"/>
        <v>Darren</v>
      </c>
      <c r="I984" s="1" t="str">
        <f t="shared" si="2"/>
        <v>Sproles</v>
      </c>
      <c r="J984" s="1" t="str">
        <f t="shared" si="3"/>
        <v>#N/A</v>
      </c>
      <c r="K984" s="1" t="str">
        <f>IFERROR(VLOOKUP($J984,Players!$D:$E,2,FALSE),VLOOKUP($G984,Players!A:E,5,FALSE))</f>
        <v>RB</v>
      </c>
    </row>
    <row r="985" ht="15.75" customHeight="1">
      <c r="A985" s="1">
        <v>2016.0</v>
      </c>
      <c r="B985" s="1" t="s">
        <v>30</v>
      </c>
      <c r="C985" s="1" t="s">
        <v>31</v>
      </c>
      <c r="D985" s="1">
        <v>6.0</v>
      </c>
      <c r="E985" s="8">
        <v>10.0</v>
      </c>
      <c r="F985" s="8">
        <v>111.0</v>
      </c>
      <c r="G985" s="1" t="s">
        <v>1073</v>
      </c>
      <c r="H985" s="1" t="str">
        <f t="shared" si="1"/>
        <v>DeAndre</v>
      </c>
      <c r="I985" s="1" t="str">
        <f t="shared" si="2"/>
        <v>Washington</v>
      </c>
      <c r="J985" s="1" t="str">
        <f t="shared" si="3"/>
        <v>#N/A</v>
      </c>
      <c r="K985" s="1" t="str">
        <f>IFERROR(VLOOKUP($J985,Players!$D:$E,2,FALSE),VLOOKUP($G985,Players!A:E,5,FALSE))</f>
        <v>RB</v>
      </c>
    </row>
    <row r="986" ht="15.75" customHeight="1">
      <c r="A986" s="1">
        <v>2016.0</v>
      </c>
      <c r="B986" s="1" t="s">
        <v>30</v>
      </c>
      <c r="C986" s="1" t="s">
        <v>31</v>
      </c>
      <c r="D986" s="1">
        <v>6.0</v>
      </c>
      <c r="E986" s="8">
        <v>11.0</v>
      </c>
      <c r="F986" s="8">
        <v>130.0</v>
      </c>
      <c r="G986" s="1" t="s">
        <v>1578</v>
      </c>
      <c r="H986" s="1" t="str">
        <f t="shared" si="1"/>
        <v>Willie</v>
      </c>
      <c r="I986" s="1" t="str">
        <f t="shared" si="2"/>
        <v>Snead IV</v>
      </c>
      <c r="J986" s="1" t="str">
        <f t="shared" si="3"/>
        <v>#N/A</v>
      </c>
      <c r="K986" s="1" t="str">
        <f>IFERROR(VLOOKUP($J986,Players!$D:$E,2,FALSE),VLOOKUP($G986,Players!A:E,5,FALSE))</f>
        <v>#N/A</v>
      </c>
    </row>
    <row r="987" ht="15.75" customHeight="1">
      <c r="A987" s="1">
        <v>2016.0</v>
      </c>
      <c r="B987" s="1" t="s">
        <v>30</v>
      </c>
      <c r="C987" s="1" t="s">
        <v>31</v>
      </c>
      <c r="D987" s="1">
        <v>6.0</v>
      </c>
      <c r="E987" s="8">
        <v>12.0</v>
      </c>
      <c r="F987" s="8">
        <v>135.0</v>
      </c>
      <c r="G987" s="1" t="s">
        <v>162</v>
      </c>
      <c r="H987" s="1" t="str">
        <f t="shared" si="1"/>
        <v>Green</v>
      </c>
      <c r="I987" s="1" t="str">
        <f t="shared" si="2"/>
        <v>Bay</v>
      </c>
      <c r="J987" s="1" t="str">
        <f t="shared" si="3"/>
        <v>#N/A</v>
      </c>
      <c r="K987" s="1" t="str">
        <f>IFERROR(VLOOKUP($J987,Players!$D:$E,2,FALSE),VLOOKUP($G987,Players!A:E,5,FALSE))</f>
        <v>DEF</v>
      </c>
    </row>
    <row r="988" ht="15.75" customHeight="1">
      <c r="A988" s="1">
        <v>2016.0</v>
      </c>
      <c r="B988" s="1" t="s">
        <v>30</v>
      </c>
      <c r="C988" s="1" t="s">
        <v>31</v>
      </c>
      <c r="D988" s="1">
        <v>6.0</v>
      </c>
      <c r="E988" s="8">
        <v>13.0</v>
      </c>
      <c r="F988" s="8">
        <v>154.0</v>
      </c>
      <c r="G988" s="1" t="s">
        <v>790</v>
      </c>
      <c r="H988" s="1" t="str">
        <f t="shared" si="1"/>
        <v>Chris</v>
      </c>
      <c r="I988" s="1" t="str">
        <f t="shared" si="2"/>
        <v>Hogan</v>
      </c>
      <c r="J988" s="1" t="str">
        <f t="shared" si="3"/>
        <v>#N/A</v>
      </c>
      <c r="K988" s="1" t="str">
        <f>IFERROR(VLOOKUP($J988,Players!$D:$E,2,FALSE),VLOOKUP($G988,Players!A:E,5,FALSE))</f>
        <v>WR</v>
      </c>
    </row>
    <row r="989" ht="15.75" customHeight="1">
      <c r="A989" s="1">
        <v>2016.0</v>
      </c>
      <c r="B989" s="1" t="s">
        <v>30</v>
      </c>
      <c r="C989" s="1" t="s">
        <v>31</v>
      </c>
      <c r="D989" s="1">
        <v>6.0</v>
      </c>
      <c r="E989" s="8">
        <v>14.0</v>
      </c>
      <c r="F989" s="8">
        <v>159.0</v>
      </c>
      <c r="G989" s="1" t="s">
        <v>1908</v>
      </c>
      <c r="H989" s="1" t="str">
        <f t="shared" si="1"/>
        <v>Nick</v>
      </c>
      <c r="I989" s="1" t="str">
        <f t="shared" si="2"/>
        <v>Novak</v>
      </c>
      <c r="J989" s="1" t="str">
        <f t="shared" si="3"/>
        <v>#N/A</v>
      </c>
      <c r="K989" s="1" t="str">
        <f>IFERROR(VLOOKUP($J989,Players!$D:$E,2,FALSE),VLOOKUP($G989,Players!A:E,5,FALSE))</f>
        <v>K</v>
      </c>
    </row>
    <row r="990" ht="15.75" customHeight="1">
      <c r="A990" s="1">
        <v>2016.0</v>
      </c>
      <c r="B990" s="1" t="s">
        <v>30</v>
      </c>
      <c r="C990" s="1" t="s">
        <v>31</v>
      </c>
      <c r="D990" s="1">
        <v>6.0</v>
      </c>
      <c r="E990" s="8">
        <v>15.0</v>
      </c>
      <c r="F990" s="8">
        <v>178.0</v>
      </c>
      <c r="G990" s="1" t="s">
        <v>1910</v>
      </c>
      <c r="H990" s="1" t="str">
        <f t="shared" si="1"/>
        <v>Jordan</v>
      </c>
      <c r="I990" s="1" t="str">
        <f t="shared" si="2"/>
        <v>Cameron</v>
      </c>
      <c r="J990" s="1" t="str">
        <f t="shared" si="3"/>
        <v>#N/A</v>
      </c>
      <c r="K990" s="1" t="str">
        <f>IFERROR(VLOOKUP($J990,Players!$D:$E,2,FALSE),VLOOKUP($G990,Players!A:E,5,FALSE))</f>
        <v>#N/A</v>
      </c>
    </row>
    <row r="991" ht="15.75" customHeight="1">
      <c r="A991" s="1">
        <v>2016.0</v>
      </c>
      <c r="B991" s="1" t="s">
        <v>44</v>
      </c>
      <c r="C991" s="1" t="s">
        <v>23</v>
      </c>
      <c r="D991" s="1">
        <v>3.0</v>
      </c>
      <c r="E991" s="8">
        <v>1.0</v>
      </c>
      <c r="F991" s="8">
        <v>12.0</v>
      </c>
      <c r="G991" s="1" t="s">
        <v>1183</v>
      </c>
      <c r="H991" s="1" t="str">
        <f t="shared" si="1"/>
        <v>Dez</v>
      </c>
      <c r="I991" s="1" t="str">
        <f t="shared" si="2"/>
        <v>Bryant</v>
      </c>
      <c r="J991" s="1" t="str">
        <f t="shared" si="3"/>
        <v>#N/A</v>
      </c>
      <c r="K991" s="1" t="str">
        <f>IFERROR(VLOOKUP($J991,Players!$D:$E,2,FALSE),VLOOKUP($G991,Players!A:E,5,FALSE))</f>
        <v>WR</v>
      </c>
    </row>
    <row r="992" ht="15.75" customHeight="1">
      <c r="A992" s="1">
        <v>2016.0</v>
      </c>
      <c r="B992" s="1" t="s">
        <v>44</v>
      </c>
      <c r="C992" s="1" t="s">
        <v>23</v>
      </c>
      <c r="D992" s="1">
        <v>3.0</v>
      </c>
      <c r="E992" s="8">
        <v>2.0</v>
      </c>
      <c r="F992" s="8">
        <v>13.0</v>
      </c>
      <c r="G992" s="1" t="s">
        <v>788</v>
      </c>
      <c r="H992" s="1" t="str">
        <f t="shared" si="1"/>
        <v>Le'Veon</v>
      </c>
      <c r="I992" s="1" t="str">
        <f t="shared" si="2"/>
        <v>Bell</v>
      </c>
      <c r="J992" s="1" t="str">
        <f t="shared" si="3"/>
        <v>#N/A</v>
      </c>
      <c r="K992" s="1" t="str">
        <f>IFERROR(VLOOKUP($J992,Players!$D:$E,2,FALSE),VLOOKUP($G992,Players!A:E,5,FALSE))</f>
        <v>RB</v>
      </c>
    </row>
    <row r="993" ht="15.75" customHeight="1">
      <c r="A993" s="1">
        <v>2016.0</v>
      </c>
      <c r="B993" s="1" t="s">
        <v>44</v>
      </c>
      <c r="C993" s="1" t="s">
        <v>23</v>
      </c>
      <c r="D993" s="1">
        <v>3.0</v>
      </c>
      <c r="E993" s="8">
        <v>3.0</v>
      </c>
      <c r="F993" s="8">
        <v>36.0</v>
      </c>
      <c r="G993" s="1" t="s">
        <v>972</v>
      </c>
      <c r="H993" s="1" t="str">
        <f t="shared" si="1"/>
        <v>Donte</v>
      </c>
      <c r="I993" s="1" t="str">
        <f t="shared" si="2"/>
        <v>Moncrief</v>
      </c>
      <c r="J993" s="1" t="str">
        <f t="shared" si="3"/>
        <v>#N/A</v>
      </c>
      <c r="K993" s="1" t="str">
        <f>IFERROR(VLOOKUP($J993,Players!$D:$E,2,FALSE),VLOOKUP($G993,Players!A:E,5,FALSE))</f>
        <v>WR</v>
      </c>
    </row>
    <row r="994" ht="15.75" customHeight="1">
      <c r="A994" s="1">
        <v>2016.0</v>
      </c>
      <c r="B994" s="1" t="s">
        <v>44</v>
      </c>
      <c r="C994" s="1" t="s">
        <v>23</v>
      </c>
      <c r="D994" s="1">
        <v>3.0</v>
      </c>
      <c r="E994" s="8">
        <v>4.0</v>
      </c>
      <c r="F994" s="8">
        <v>37.0</v>
      </c>
      <c r="G994" s="1" t="s">
        <v>1597</v>
      </c>
      <c r="H994" s="1" t="str">
        <f t="shared" si="1"/>
        <v>Matt</v>
      </c>
      <c r="I994" s="1" t="str">
        <f t="shared" si="2"/>
        <v>Forte</v>
      </c>
      <c r="J994" s="1" t="str">
        <f t="shared" si="3"/>
        <v>#N/A</v>
      </c>
      <c r="K994" s="1" t="str">
        <f>IFERROR(VLOOKUP($J994,Players!$D:$E,2,FALSE),VLOOKUP($G994,Players!A:E,5,FALSE))</f>
        <v>RB</v>
      </c>
    </row>
    <row r="995" ht="15.75" customHeight="1">
      <c r="A995" s="1">
        <v>2016.0</v>
      </c>
      <c r="B995" s="1" t="s">
        <v>44</v>
      </c>
      <c r="C995" s="1" t="s">
        <v>23</v>
      </c>
      <c r="D995" s="1">
        <v>3.0</v>
      </c>
      <c r="E995" s="8">
        <v>5.0</v>
      </c>
      <c r="F995" s="8">
        <v>60.0</v>
      </c>
      <c r="G995" s="1" t="s">
        <v>1919</v>
      </c>
      <c r="H995" s="1" t="str">
        <f t="shared" si="1"/>
        <v>Matt</v>
      </c>
      <c r="I995" s="1" t="str">
        <f t="shared" si="2"/>
        <v>Jones</v>
      </c>
      <c r="J995" s="1" t="str">
        <f t="shared" si="3"/>
        <v>#N/A</v>
      </c>
      <c r="K995" s="1" t="str">
        <f>IFERROR(VLOOKUP($J995,Players!$D:$E,2,FALSE),VLOOKUP($G995,Players!A:E,5,FALSE))</f>
        <v>RB</v>
      </c>
    </row>
    <row r="996" ht="15.75" customHeight="1">
      <c r="A996" s="1">
        <v>2016.0</v>
      </c>
      <c r="B996" s="1" t="s">
        <v>44</v>
      </c>
      <c r="C996" s="1" t="s">
        <v>23</v>
      </c>
      <c r="D996" s="1">
        <v>3.0</v>
      </c>
      <c r="E996" s="8">
        <v>6.0</v>
      </c>
      <c r="F996" s="8">
        <v>61.0</v>
      </c>
      <c r="G996" s="1" t="s">
        <v>1665</v>
      </c>
      <c r="H996" s="1" t="str">
        <f t="shared" si="1"/>
        <v>Jordan</v>
      </c>
      <c r="I996" s="1" t="str">
        <f t="shared" si="2"/>
        <v>Matthews</v>
      </c>
      <c r="J996" s="1" t="str">
        <f t="shared" si="3"/>
        <v>#N/A</v>
      </c>
      <c r="K996" s="1" t="str">
        <f>IFERROR(VLOOKUP($J996,Players!$D:$E,2,FALSE),VLOOKUP($G996,Players!A:E,5,FALSE))</f>
        <v>TE</v>
      </c>
    </row>
    <row r="997" ht="15.75" customHeight="1">
      <c r="A997" s="1">
        <v>2016.0</v>
      </c>
      <c r="B997" s="1" t="s">
        <v>44</v>
      </c>
      <c r="C997" s="1" t="s">
        <v>23</v>
      </c>
      <c r="D997" s="1">
        <v>3.0</v>
      </c>
      <c r="E997" s="8">
        <v>7.0</v>
      </c>
      <c r="F997" s="8">
        <v>84.0</v>
      </c>
      <c r="G997" s="1" t="s">
        <v>1078</v>
      </c>
      <c r="H997" s="1" t="str">
        <f t="shared" si="1"/>
        <v>DeAngelo</v>
      </c>
      <c r="I997" s="1" t="str">
        <f t="shared" si="2"/>
        <v>Williams</v>
      </c>
      <c r="J997" s="1" t="str">
        <f t="shared" si="3"/>
        <v>#N/A</v>
      </c>
      <c r="K997" s="1" t="str">
        <f>IFERROR(VLOOKUP($J997,Players!$D:$E,2,FALSE),VLOOKUP($G997,Players!A:E,5,FALSE))</f>
        <v>RB</v>
      </c>
    </row>
    <row r="998" ht="15.75" customHeight="1">
      <c r="A998" s="1">
        <v>2016.0</v>
      </c>
      <c r="B998" s="1" t="s">
        <v>44</v>
      </c>
      <c r="C998" s="1" t="s">
        <v>23</v>
      </c>
      <c r="D998" s="1">
        <v>3.0</v>
      </c>
      <c r="E998" s="8">
        <v>8.0</v>
      </c>
      <c r="F998" s="8">
        <v>85.0</v>
      </c>
      <c r="G998" s="1" t="s">
        <v>862</v>
      </c>
      <c r="H998" s="1" t="str">
        <f t="shared" si="1"/>
        <v>Philip</v>
      </c>
      <c r="I998" s="1" t="str">
        <f t="shared" si="2"/>
        <v>Rivers</v>
      </c>
      <c r="J998" s="1" t="str">
        <f t="shared" si="3"/>
        <v>#N/A</v>
      </c>
      <c r="K998" s="1" t="str">
        <f>IFERROR(VLOOKUP($J998,Players!$D:$E,2,FALSE),VLOOKUP($G998,Players!A:E,5,FALSE))</f>
        <v>QB</v>
      </c>
    </row>
    <row r="999" ht="15.75" customHeight="1">
      <c r="A999" s="1">
        <v>2016.0</v>
      </c>
      <c r="B999" s="1" t="s">
        <v>44</v>
      </c>
      <c r="C999" s="1" t="s">
        <v>23</v>
      </c>
      <c r="D999" s="1">
        <v>3.0</v>
      </c>
      <c r="E999" s="8">
        <v>9.0</v>
      </c>
      <c r="F999" s="8">
        <v>108.0</v>
      </c>
      <c r="G999" s="1" t="s">
        <v>1566</v>
      </c>
      <c r="H999" s="1" t="str">
        <f t="shared" si="1"/>
        <v>Kevin</v>
      </c>
      <c r="I999" s="1" t="str">
        <f t="shared" si="2"/>
        <v>White</v>
      </c>
      <c r="J999" s="1" t="str">
        <f t="shared" si="3"/>
        <v>#N/A</v>
      </c>
      <c r="K999" s="1" t="str">
        <f>IFERROR(VLOOKUP($J999,Players!$D:$E,2,FALSE),VLOOKUP($G999,Players!A:E,5,FALSE))</f>
        <v>WR</v>
      </c>
    </row>
    <row r="1000" ht="15.75" customHeight="1">
      <c r="A1000" s="1">
        <v>2016.0</v>
      </c>
      <c r="B1000" s="1" t="s">
        <v>44</v>
      </c>
      <c r="C1000" s="1" t="s">
        <v>23</v>
      </c>
      <c r="D1000" s="1">
        <v>3.0</v>
      </c>
      <c r="E1000" s="8">
        <v>10.0</v>
      </c>
      <c r="F1000" s="8">
        <v>109.0</v>
      </c>
      <c r="G1000" s="1" t="s">
        <v>1263</v>
      </c>
      <c r="H1000" s="1" t="str">
        <f t="shared" si="1"/>
        <v>Dwayne</v>
      </c>
      <c r="I1000" s="1" t="str">
        <f t="shared" si="2"/>
        <v>Allen</v>
      </c>
      <c r="J1000" s="1" t="str">
        <f t="shared" si="3"/>
        <v>#N/A</v>
      </c>
      <c r="K1000" s="1" t="str">
        <f>IFERROR(VLOOKUP($J1000,Players!$D:$E,2,FALSE),VLOOKUP($G1000,Players!A:E,5,FALSE))</f>
        <v>TE</v>
      </c>
    </row>
    <row r="1001" ht="15.75" customHeight="1">
      <c r="A1001" s="1">
        <v>2016.0</v>
      </c>
      <c r="B1001" s="1" t="s">
        <v>44</v>
      </c>
      <c r="C1001" s="1" t="s">
        <v>23</v>
      </c>
      <c r="D1001" s="1">
        <v>3.0</v>
      </c>
      <c r="E1001" s="8">
        <v>11.0</v>
      </c>
      <c r="F1001" s="8">
        <v>132.0</v>
      </c>
      <c r="G1001" s="1" t="s">
        <v>1930</v>
      </c>
      <c r="H1001" s="1" t="str">
        <f t="shared" si="1"/>
        <v>Tavon</v>
      </c>
      <c r="I1001" s="1" t="str">
        <f t="shared" si="2"/>
        <v>Austin</v>
      </c>
      <c r="J1001" s="1" t="str">
        <f t="shared" si="3"/>
        <v>#N/A</v>
      </c>
      <c r="K1001" s="1" t="str">
        <f>IFERROR(VLOOKUP($J1001,Players!$D:$E,2,FALSE),VLOOKUP($G1001,Players!A:E,5,FALSE))</f>
        <v>RB</v>
      </c>
    </row>
    <row r="1002" ht="15.75" customHeight="1">
      <c r="A1002" s="1">
        <v>2016.0</v>
      </c>
      <c r="B1002" s="1" t="s">
        <v>44</v>
      </c>
      <c r="C1002" s="1" t="s">
        <v>23</v>
      </c>
      <c r="D1002" s="1">
        <v>3.0</v>
      </c>
      <c r="E1002" s="8">
        <v>12.0</v>
      </c>
      <c r="F1002" s="8">
        <v>133.0</v>
      </c>
      <c r="G1002" s="1" t="s">
        <v>1082</v>
      </c>
      <c r="H1002" s="1" t="str">
        <f t="shared" si="1"/>
        <v>Derek</v>
      </c>
      <c r="I1002" s="1" t="str">
        <f t="shared" si="2"/>
        <v>Carr</v>
      </c>
      <c r="J1002" s="1" t="str">
        <f t="shared" si="3"/>
        <v>#N/A</v>
      </c>
      <c r="K1002" s="1" t="str">
        <f>IFERROR(VLOOKUP($J1002,Players!$D:$E,2,FALSE),VLOOKUP($G1002,Players!A:E,5,FALSE))</f>
        <v>QB</v>
      </c>
    </row>
    <row r="1003" ht="15.75" customHeight="1">
      <c r="A1003" s="1">
        <v>2016.0</v>
      </c>
      <c r="B1003" s="1" t="s">
        <v>44</v>
      </c>
      <c r="C1003" s="1" t="s">
        <v>23</v>
      </c>
      <c r="D1003" s="1">
        <v>3.0</v>
      </c>
      <c r="E1003" s="8">
        <v>13.0</v>
      </c>
      <c r="F1003" s="8">
        <v>156.0</v>
      </c>
      <c r="G1003" s="1" t="s">
        <v>1935</v>
      </c>
      <c r="H1003" s="1" t="str">
        <f t="shared" si="1"/>
        <v>Ladarius</v>
      </c>
      <c r="I1003" s="1" t="str">
        <f t="shared" si="2"/>
        <v>Green</v>
      </c>
      <c r="J1003" s="1" t="str">
        <f t="shared" si="3"/>
        <v>#N/A</v>
      </c>
      <c r="K1003" s="1" t="str">
        <f>IFERROR(VLOOKUP($J1003,Players!$D:$E,2,FALSE),VLOOKUP($G1003,Players!A:E,5,FALSE))</f>
        <v>TE</v>
      </c>
    </row>
    <row r="1004" ht="15.75" customHeight="1">
      <c r="A1004" s="1">
        <v>2016.0</v>
      </c>
      <c r="B1004" s="1" t="s">
        <v>44</v>
      </c>
      <c r="C1004" s="1" t="s">
        <v>23</v>
      </c>
      <c r="D1004" s="1">
        <v>3.0</v>
      </c>
      <c r="E1004" s="8">
        <v>14.0</v>
      </c>
      <c r="F1004" s="8">
        <v>157.0</v>
      </c>
      <c r="G1004" s="1" t="s">
        <v>668</v>
      </c>
      <c r="H1004" s="1" t="str">
        <f t="shared" si="1"/>
        <v>Cairo</v>
      </c>
      <c r="I1004" s="1" t="str">
        <f t="shared" si="2"/>
        <v>Santos</v>
      </c>
      <c r="J1004" s="1" t="str">
        <f t="shared" si="3"/>
        <v>#N/A</v>
      </c>
      <c r="K1004" s="1" t="str">
        <f>IFERROR(VLOOKUP($J1004,Players!$D:$E,2,FALSE),VLOOKUP($G1004,Players!A:E,5,FALSE))</f>
        <v>K</v>
      </c>
    </row>
    <row r="1005" ht="15.75" customHeight="1">
      <c r="A1005" s="1">
        <v>2016.0</v>
      </c>
      <c r="B1005" s="1" t="s">
        <v>44</v>
      </c>
      <c r="C1005" s="1" t="s">
        <v>23</v>
      </c>
      <c r="D1005" s="1">
        <v>3.0</v>
      </c>
      <c r="E1005" s="8">
        <v>15.0</v>
      </c>
      <c r="F1005" s="8">
        <v>180.0</v>
      </c>
      <c r="G1005" s="1" t="s">
        <v>407</v>
      </c>
      <c r="H1005" s="1" t="str">
        <f t="shared" si="1"/>
        <v>#VALUE!</v>
      </c>
      <c r="I1005" s="1" t="str">
        <f t="shared" si="2"/>
        <v>#VALUE!</v>
      </c>
      <c r="J1005" s="1" t="str">
        <f t="shared" si="3"/>
        <v>#N/A</v>
      </c>
      <c r="K1005" s="1" t="str">
        <f>IFERROR(VLOOKUP($J1005,Players!$D:$E,2,FALSE),VLOOKUP($G1005,Players!A:E,5,FALSE))</f>
        <v>DEF</v>
      </c>
    </row>
    <row r="1006" ht="15.75" customHeight="1">
      <c r="A1006" s="1">
        <v>2016.0</v>
      </c>
      <c r="B1006" s="1" t="s">
        <v>52</v>
      </c>
      <c r="C1006" s="1" t="s">
        <v>8</v>
      </c>
      <c r="D1006" s="1">
        <v>11.0</v>
      </c>
      <c r="E1006" s="8">
        <v>1.0</v>
      </c>
      <c r="F1006" s="8">
        <v>6.0</v>
      </c>
      <c r="G1006" s="1" t="s">
        <v>760</v>
      </c>
      <c r="H1006" s="1" t="str">
        <f t="shared" si="1"/>
        <v>Todd</v>
      </c>
      <c r="I1006" s="1" t="str">
        <f t="shared" si="2"/>
        <v>Gurley II</v>
      </c>
      <c r="J1006" s="1" t="str">
        <f t="shared" si="3"/>
        <v>#N/A</v>
      </c>
      <c r="K1006" s="1" t="str">
        <f>IFERROR(VLOOKUP($J1006,Players!$D:$E,2,FALSE),VLOOKUP($G1006,Players!A:E,5,FALSE))</f>
        <v>#N/A</v>
      </c>
    </row>
    <row r="1007" ht="15.75" customHeight="1">
      <c r="A1007" s="1">
        <v>2016.0</v>
      </c>
      <c r="B1007" s="1" t="s">
        <v>52</v>
      </c>
      <c r="C1007" s="1" t="s">
        <v>8</v>
      </c>
      <c r="D1007" s="1">
        <v>11.0</v>
      </c>
      <c r="E1007" s="8">
        <v>2.0</v>
      </c>
      <c r="F1007" s="8">
        <v>19.0</v>
      </c>
      <c r="G1007" s="1" t="s">
        <v>1504</v>
      </c>
      <c r="H1007" s="1" t="str">
        <f t="shared" si="1"/>
        <v>Jordy</v>
      </c>
      <c r="I1007" s="1" t="str">
        <f t="shared" si="2"/>
        <v>Nelson</v>
      </c>
      <c r="J1007" s="1" t="str">
        <f t="shared" si="3"/>
        <v>#N/A</v>
      </c>
      <c r="K1007" s="1" t="str">
        <f>IFERROR(VLOOKUP($J1007,Players!$D:$E,2,FALSE),VLOOKUP($G1007,Players!A:E,5,FALSE))</f>
        <v>WR</v>
      </c>
    </row>
    <row r="1008" ht="15.75" customHeight="1">
      <c r="A1008" s="1">
        <v>2016.0</v>
      </c>
      <c r="B1008" s="1" t="s">
        <v>52</v>
      </c>
      <c r="C1008" s="1" t="s">
        <v>8</v>
      </c>
      <c r="D1008" s="1">
        <v>11.0</v>
      </c>
      <c r="E1008" s="8">
        <v>3.0</v>
      </c>
      <c r="F1008" s="8">
        <v>30.0</v>
      </c>
      <c r="G1008" s="1" t="s">
        <v>260</v>
      </c>
      <c r="H1008" s="1" t="str">
        <f t="shared" si="1"/>
        <v>Alshon</v>
      </c>
      <c r="I1008" s="1" t="str">
        <f t="shared" si="2"/>
        <v>Jeffery</v>
      </c>
      <c r="J1008" s="1" t="str">
        <f t="shared" si="3"/>
        <v>#N/A</v>
      </c>
      <c r="K1008" s="1" t="str">
        <f>IFERROR(VLOOKUP($J1008,Players!$D:$E,2,FALSE),VLOOKUP($G1008,Players!A:E,5,FALSE))</f>
        <v>WR</v>
      </c>
    </row>
    <row r="1009" ht="15.75" customHeight="1">
      <c r="A1009" s="1">
        <v>2016.0</v>
      </c>
      <c r="B1009" s="1" t="s">
        <v>52</v>
      </c>
      <c r="C1009" s="1" t="s">
        <v>8</v>
      </c>
      <c r="D1009" s="1">
        <v>11.0</v>
      </c>
      <c r="E1009" s="8">
        <v>4.0</v>
      </c>
      <c r="F1009" s="8">
        <v>43.0</v>
      </c>
      <c r="G1009" s="1" t="s">
        <v>618</v>
      </c>
      <c r="H1009" s="1" t="str">
        <f t="shared" si="1"/>
        <v>Julian</v>
      </c>
      <c r="I1009" s="1" t="str">
        <f t="shared" si="2"/>
        <v>Edelman</v>
      </c>
      <c r="J1009" s="1" t="str">
        <f t="shared" si="3"/>
        <v>#N/A</v>
      </c>
      <c r="K1009" s="1" t="str">
        <f>IFERROR(VLOOKUP($J1009,Players!$D:$E,2,FALSE),VLOOKUP($G1009,Players!A:E,5,FALSE))</f>
        <v>WR</v>
      </c>
    </row>
    <row r="1010" ht="15.75" customHeight="1">
      <c r="A1010" s="1">
        <v>2016.0</v>
      </c>
      <c r="B1010" s="1" t="s">
        <v>52</v>
      </c>
      <c r="C1010" s="1" t="s">
        <v>8</v>
      </c>
      <c r="D1010" s="1">
        <v>11.0</v>
      </c>
      <c r="E1010" s="8">
        <v>5.0</v>
      </c>
      <c r="F1010" s="8">
        <v>54.0</v>
      </c>
      <c r="G1010" s="1" t="s">
        <v>1949</v>
      </c>
      <c r="H1010" s="1" t="str">
        <f t="shared" si="1"/>
        <v>Ryan</v>
      </c>
      <c r="I1010" s="1" t="str">
        <f t="shared" si="2"/>
        <v>Mathews</v>
      </c>
      <c r="J1010" s="1" t="str">
        <f t="shared" si="3"/>
        <v>#N/A</v>
      </c>
      <c r="K1010" s="1" t="str">
        <f>IFERROR(VLOOKUP($J1010,Players!$D:$E,2,FALSE),VLOOKUP($G1010,Players!A:E,5,FALSE))</f>
        <v>RB</v>
      </c>
    </row>
    <row r="1011" ht="15.75" customHeight="1">
      <c r="A1011" s="1">
        <v>2016.0</v>
      </c>
      <c r="B1011" s="1" t="s">
        <v>52</v>
      </c>
      <c r="C1011" s="1" t="s">
        <v>8</v>
      </c>
      <c r="D1011" s="1">
        <v>11.0</v>
      </c>
      <c r="E1011" s="8">
        <v>6.0</v>
      </c>
      <c r="F1011" s="8">
        <v>67.0</v>
      </c>
      <c r="G1011" s="1" t="s">
        <v>365</v>
      </c>
      <c r="H1011" s="1" t="str">
        <f t="shared" si="1"/>
        <v>Arian</v>
      </c>
      <c r="I1011" s="1" t="str">
        <f t="shared" si="2"/>
        <v>Foster</v>
      </c>
      <c r="J1011" s="1" t="str">
        <f t="shared" si="3"/>
        <v>#N/A</v>
      </c>
      <c r="K1011" s="1" t="str">
        <f>IFERROR(VLOOKUP($J1011,Players!$D:$E,2,FALSE),VLOOKUP($G1011,Players!A:E,5,FALSE))</f>
        <v>RB</v>
      </c>
    </row>
    <row r="1012" ht="15.75" customHeight="1">
      <c r="A1012" s="1">
        <v>2016.0</v>
      </c>
      <c r="B1012" s="1" t="s">
        <v>52</v>
      </c>
      <c r="C1012" s="1" t="s">
        <v>8</v>
      </c>
      <c r="D1012" s="1">
        <v>11.0</v>
      </c>
      <c r="E1012" s="8">
        <v>7.0</v>
      </c>
      <c r="F1012" s="8">
        <v>78.0</v>
      </c>
      <c r="G1012" s="1" t="s">
        <v>346</v>
      </c>
      <c r="H1012" s="1" t="str">
        <f t="shared" si="1"/>
        <v>Antonio</v>
      </c>
      <c r="I1012" s="1" t="str">
        <f t="shared" si="2"/>
        <v>Gates</v>
      </c>
      <c r="J1012" s="1" t="str">
        <f t="shared" si="3"/>
        <v>#N/A</v>
      </c>
      <c r="K1012" s="1" t="str">
        <f>IFERROR(VLOOKUP($J1012,Players!$D:$E,2,FALSE),VLOOKUP($G1012,Players!A:E,5,FALSE))</f>
        <v>TE</v>
      </c>
    </row>
    <row r="1013" ht="15.75" customHeight="1">
      <c r="A1013" s="1">
        <v>2016.0</v>
      </c>
      <c r="B1013" s="1" t="s">
        <v>52</v>
      </c>
      <c r="C1013" s="1" t="s">
        <v>8</v>
      </c>
      <c r="D1013" s="1">
        <v>11.0</v>
      </c>
      <c r="E1013" s="8">
        <v>8.0</v>
      </c>
      <c r="F1013" s="8">
        <v>91.0</v>
      </c>
      <c r="G1013" s="1" t="s">
        <v>478</v>
      </c>
      <c r="H1013" s="1" t="str">
        <f t="shared" si="1"/>
        <v>DeVante</v>
      </c>
      <c r="I1013" s="1" t="str">
        <f t="shared" si="2"/>
        <v>Parker</v>
      </c>
      <c r="J1013" s="1" t="str">
        <f t="shared" si="3"/>
        <v>#N/A</v>
      </c>
      <c r="K1013" s="1" t="str">
        <f>IFERROR(VLOOKUP($J1013,Players!$D:$E,2,FALSE),VLOOKUP($G1013,Players!A:E,5,FALSE))</f>
        <v>WR</v>
      </c>
    </row>
    <row r="1014" ht="15.75" customHeight="1">
      <c r="A1014" s="1">
        <v>2016.0</v>
      </c>
      <c r="B1014" s="1" t="s">
        <v>52</v>
      </c>
      <c r="C1014" s="1" t="s">
        <v>8</v>
      </c>
      <c r="D1014" s="1">
        <v>11.0</v>
      </c>
      <c r="E1014" s="8">
        <v>9.0</v>
      </c>
      <c r="F1014" s="8">
        <v>102.0</v>
      </c>
      <c r="G1014" s="1" t="s">
        <v>1695</v>
      </c>
      <c r="H1014" s="1" t="str">
        <f t="shared" si="1"/>
        <v>Tyrod</v>
      </c>
      <c r="I1014" s="1" t="str">
        <f t="shared" si="2"/>
        <v>Taylor</v>
      </c>
      <c r="J1014" s="1" t="str">
        <f t="shared" si="3"/>
        <v>#N/A</v>
      </c>
      <c r="K1014" s="1" t="str">
        <f>IFERROR(VLOOKUP($J1014,Players!$D:$E,2,FALSE),VLOOKUP($G1014,Players!A:E,5,FALSE))</f>
        <v>QB</v>
      </c>
    </row>
    <row r="1015" ht="15.75" customHeight="1">
      <c r="A1015" s="1">
        <v>2016.0</v>
      </c>
      <c r="B1015" s="1" t="s">
        <v>52</v>
      </c>
      <c r="C1015" s="1" t="s">
        <v>8</v>
      </c>
      <c r="D1015" s="1">
        <v>11.0</v>
      </c>
      <c r="E1015" s="8">
        <v>10.0</v>
      </c>
      <c r="F1015" s="8">
        <v>115.0</v>
      </c>
      <c r="G1015" s="1" t="s">
        <v>1556</v>
      </c>
      <c r="H1015" s="1" t="str">
        <f t="shared" si="1"/>
        <v>Torrey</v>
      </c>
      <c r="I1015" s="1" t="str">
        <f t="shared" si="2"/>
        <v>Smith</v>
      </c>
      <c r="J1015" s="1" t="str">
        <f t="shared" si="3"/>
        <v>#N/A</v>
      </c>
      <c r="K1015" s="1" t="str">
        <f>IFERROR(VLOOKUP($J1015,Players!$D:$E,2,FALSE),VLOOKUP($G1015,Players!A:E,5,FALSE))</f>
        <v>WR</v>
      </c>
    </row>
    <row r="1016" ht="15.75" customHeight="1">
      <c r="A1016" s="1">
        <v>2016.0</v>
      </c>
      <c r="B1016" s="1" t="s">
        <v>52</v>
      </c>
      <c r="C1016" s="1" t="s">
        <v>8</v>
      </c>
      <c r="D1016" s="1">
        <v>11.0</v>
      </c>
      <c r="E1016" s="8">
        <v>11.0</v>
      </c>
      <c r="F1016" s="8">
        <v>126.0</v>
      </c>
      <c r="G1016" s="1" t="s">
        <v>573</v>
      </c>
      <c r="H1016" s="1" t="str">
        <f t="shared" si="1"/>
        <v>#VALUE!</v>
      </c>
      <c r="I1016" s="1" t="str">
        <f t="shared" si="2"/>
        <v>#VALUE!</v>
      </c>
      <c r="J1016" s="1" t="str">
        <f t="shared" si="3"/>
        <v>#N/A</v>
      </c>
      <c r="K1016" s="1" t="str">
        <f>IFERROR(VLOOKUP($J1016,Players!$D:$E,2,FALSE),VLOOKUP($G1016,Players!A:E,5,FALSE))</f>
        <v>DEF</v>
      </c>
    </row>
    <row r="1017" ht="15.75" customHeight="1">
      <c r="A1017" s="1">
        <v>2016.0</v>
      </c>
      <c r="B1017" s="1" t="s">
        <v>52</v>
      </c>
      <c r="C1017" s="1" t="s">
        <v>8</v>
      </c>
      <c r="D1017" s="1">
        <v>11.0</v>
      </c>
      <c r="E1017" s="8">
        <v>12.0</v>
      </c>
      <c r="F1017" s="8">
        <v>139.0</v>
      </c>
      <c r="G1017" s="1" t="s">
        <v>1647</v>
      </c>
      <c r="H1017" s="1" t="str">
        <f t="shared" si="1"/>
        <v>Jason</v>
      </c>
      <c r="I1017" s="1" t="str">
        <f t="shared" si="2"/>
        <v>Witten</v>
      </c>
      <c r="J1017" s="1" t="str">
        <f t="shared" si="3"/>
        <v>#N/A</v>
      </c>
      <c r="K1017" s="1" t="str">
        <f>IFERROR(VLOOKUP($J1017,Players!$D:$E,2,FALSE),VLOOKUP($G1017,Players!A:E,5,FALSE))</f>
        <v>TE</v>
      </c>
    </row>
    <row r="1018" ht="15.75" customHeight="1">
      <c r="A1018" s="1">
        <v>2016.0</v>
      </c>
      <c r="B1018" s="1" t="s">
        <v>52</v>
      </c>
      <c r="C1018" s="1" t="s">
        <v>8</v>
      </c>
      <c r="D1018" s="1">
        <v>11.0</v>
      </c>
      <c r="E1018" s="8">
        <v>13.0</v>
      </c>
      <c r="F1018" s="8">
        <v>150.0</v>
      </c>
      <c r="G1018" s="1" t="s">
        <v>732</v>
      </c>
      <c r="H1018" s="1" t="str">
        <f t="shared" si="1"/>
        <v>Chandler</v>
      </c>
      <c r="I1018" s="1" t="str">
        <f t="shared" si="2"/>
        <v>Catanzaro</v>
      </c>
      <c r="J1018" s="1" t="str">
        <f t="shared" si="3"/>
        <v>#N/A</v>
      </c>
      <c r="K1018" s="1" t="str">
        <f>IFERROR(VLOOKUP($J1018,Players!$D:$E,2,FALSE),VLOOKUP($G1018,Players!A:E,5,FALSE))</f>
        <v>K</v>
      </c>
    </row>
    <row r="1019" ht="15.75" customHeight="1">
      <c r="A1019" s="1">
        <v>2016.0</v>
      </c>
      <c r="B1019" s="1" t="s">
        <v>52</v>
      </c>
      <c r="C1019" s="1" t="s">
        <v>8</v>
      </c>
      <c r="D1019" s="1">
        <v>11.0</v>
      </c>
      <c r="E1019" s="8">
        <v>14.0</v>
      </c>
      <c r="F1019" s="8">
        <v>163.0</v>
      </c>
      <c r="G1019" s="1" t="s">
        <v>357</v>
      </c>
      <c r="H1019" s="1" t="str">
        <f t="shared" si="1"/>
        <v>Ryan</v>
      </c>
      <c r="I1019" s="1" t="str">
        <f t="shared" si="2"/>
        <v>Tannehill</v>
      </c>
      <c r="J1019" s="1" t="str">
        <f t="shared" si="3"/>
        <v>#N/A</v>
      </c>
      <c r="K1019" s="1" t="str">
        <f>IFERROR(VLOOKUP($J1019,Players!$D:$E,2,FALSE),VLOOKUP($G1019,Players!A:E,5,FALSE))</f>
        <v>QB</v>
      </c>
    </row>
    <row r="1020" ht="15.75" customHeight="1">
      <c r="A1020" s="1">
        <v>2016.0</v>
      </c>
      <c r="B1020" s="1" t="s">
        <v>52</v>
      </c>
      <c r="C1020" s="1" t="s">
        <v>8</v>
      </c>
      <c r="D1020" s="1">
        <v>11.0</v>
      </c>
      <c r="E1020" s="8">
        <v>15.0</v>
      </c>
      <c r="F1020" s="8">
        <v>174.0</v>
      </c>
      <c r="G1020" s="1" t="s">
        <v>160</v>
      </c>
      <c r="H1020" s="1" t="str">
        <f t="shared" si="1"/>
        <v>Tevin</v>
      </c>
      <c r="I1020" s="1" t="str">
        <f t="shared" si="2"/>
        <v>Coleman</v>
      </c>
      <c r="J1020" s="1" t="str">
        <f t="shared" si="3"/>
        <v>#N/A</v>
      </c>
      <c r="K1020" s="1" t="str">
        <f>IFERROR(VLOOKUP($J1020,Players!$D:$E,2,FALSE),VLOOKUP($G1020,Players!A:E,5,FALSE))</f>
        <v>RB</v>
      </c>
    </row>
    <row r="1021" ht="15.75" customHeight="1">
      <c r="A1021" s="1">
        <v>2016.0</v>
      </c>
      <c r="B1021" s="1" t="s">
        <v>41</v>
      </c>
      <c r="C1021" s="1" t="s">
        <v>26</v>
      </c>
      <c r="D1021" s="1">
        <v>2.0</v>
      </c>
      <c r="E1021" s="8">
        <v>1.0</v>
      </c>
      <c r="F1021" s="8">
        <v>11.0</v>
      </c>
      <c r="G1021" s="1" t="s">
        <v>95</v>
      </c>
      <c r="H1021" s="1" t="str">
        <f t="shared" si="1"/>
        <v>Allen</v>
      </c>
      <c r="I1021" s="1" t="str">
        <f t="shared" si="2"/>
        <v>Robinson II</v>
      </c>
      <c r="J1021" s="1" t="str">
        <f t="shared" si="3"/>
        <v>#N/A</v>
      </c>
      <c r="K1021" s="1" t="str">
        <f>IFERROR(VLOOKUP($J1021,Players!$D:$E,2,FALSE),VLOOKUP($G1021,Players!A:E,5,FALSE))</f>
        <v>#N/A</v>
      </c>
    </row>
    <row r="1022" ht="15.75" customHeight="1">
      <c r="A1022" s="1">
        <v>2016.0</v>
      </c>
      <c r="B1022" s="1" t="s">
        <v>41</v>
      </c>
      <c r="C1022" s="1" t="s">
        <v>26</v>
      </c>
      <c r="D1022" s="1">
        <v>2.0</v>
      </c>
      <c r="E1022" s="8">
        <v>2.0</v>
      </c>
      <c r="F1022" s="8">
        <v>14.0</v>
      </c>
      <c r="G1022" s="1" t="s">
        <v>123</v>
      </c>
      <c r="H1022" s="1" t="str">
        <f t="shared" si="1"/>
        <v>Ezekiel</v>
      </c>
      <c r="I1022" s="1" t="str">
        <f t="shared" si="2"/>
        <v>Elliott</v>
      </c>
      <c r="J1022" s="1" t="str">
        <f t="shared" si="3"/>
        <v>#N/A</v>
      </c>
      <c r="K1022" s="1" t="str">
        <f>IFERROR(VLOOKUP($J1022,Players!$D:$E,2,FALSE),VLOOKUP($G1022,Players!A:E,5,FALSE))</f>
        <v>RB</v>
      </c>
    </row>
    <row r="1023" ht="15.75" customHeight="1">
      <c r="A1023" s="1">
        <v>2016.0</v>
      </c>
      <c r="B1023" s="1" t="s">
        <v>41</v>
      </c>
      <c r="C1023" s="1" t="s">
        <v>26</v>
      </c>
      <c r="D1023" s="1">
        <v>2.0</v>
      </c>
      <c r="E1023" s="8">
        <v>3.0</v>
      </c>
      <c r="F1023" s="8">
        <v>35.0</v>
      </c>
      <c r="G1023" s="1" t="s">
        <v>335</v>
      </c>
      <c r="H1023" s="1" t="str">
        <f t="shared" si="1"/>
        <v>Randall</v>
      </c>
      <c r="I1023" s="1" t="str">
        <f t="shared" si="2"/>
        <v>Cobb</v>
      </c>
      <c r="J1023" s="1" t="str">
        <f t="shared" si="3"/>
        <v>#N/A</v>
      </c>
      <c r="K1023" s="1" t="str">
        <f>IFERROR(VLOOKUP($J1023,Players!$D:$E,2,FALSE),VLOOKUP($G1023,Players!A:E,5,FALSE))</f>
        <v>WR</v>
      </c>
    </row>
    <row r="1024" ht="15.75" customHeight="1">
      <c r="A1024" s="1">
        <v>2016.0</v>
      </c>
      <c r="B1024" s="1" t="s">
        <v>41</v>
      </c>
      <c r="C1024" s="1" t="s">
        <v>26</v>
      </c>
      <c r="D1024" s="1">
        <v>2.0</v>
      </c>
      <c r="E1024" s="8">
        <v>4.0</v>
      </c>
      <c r="F1024" s="8">
        <v>38.0</v>
      </c>
      <c r="G1024" s="1" t="s">
        <v>1443</v>
      </c>
      <c r="H1024" s="1" t="str">
        <f t="shared" si="1"/>
        <v>Jordan</v>
      </c>
      <c r="I1024" s="1" t="str">
        <f t="shared" si="2"/>
        <v>Reed</v>
      </c>
      <c r="J1024" s="1" t="str">
        <f t="shared" si="3"/>
        <v>#N/A</v>
      </c>
      <c r="K1024" s="1" t="str">
        <f>IFERROR(VLOOKUP($J1024,Players!$D:$E,2,FALSE),VLOOKUP($G1024,Players!A:E,5,FALSE))</f>
        <v>TE</v>
      </c>
    </row>
    <row r="1025" ht="15.75" customHeight="1">
      <c r="A1025" s="1">
        <v>2016.0</v>
      </c>
      <c r="B1025" s="1" t="s">
        <v>41</v>
      </c>
      <c r="C1025" s="1" t="s">
        <v>26</v>
      </c>
      <c r="D1025" s="1">
        <v>2.0</v>
      </c>
      <c r="E1025" s="8">
        <v>5.0</v>
      </c>
      <c r="F1025" s="8">
        <v>59.0</v>
      </c>
      <c r="G1025" s="1" t="s">
        <v>983</v>
      </c>
      <c r="H1025" s="1" t="str">
        <f t="shared" si="1"/>
        <v>Danny</v>
      </c>
      <c r="I1025" s="1" t="str">
        <f t="shared" si="2"/>
        <v>Woodhead</v>
      </c>
      <c r="J1025" s="1" t="str">
        <f t="shared" si="3"/>
        <v>#N/A</v>
      </c>
      <c r="K1025" s="1" t="str">
        <f>IFERROR(VLOOKUP($J1025,Players!$D:$E,2,FALSE),VLOOKUP($G1025,Players!A:E,5,FALSE))</f>
        <v>RB</v>
      </c>
    </row>
    <row r="1026" ht="15.75" customHeight="1">
      <c r="A1026" s="1">
        <v>2016.0</v>
      </c>
      <c r="B1026" s="1" t="s">
        <v>41</v>
      </c>
      <c r="C1026" s="1" t="s">
        <v>26</v>
      </c>
      <c r="D1026" s="1">
        <v>2.0</v>
      </c>
      <c r="E1026" s="8">
        <v>6.0</v>
      </c>
      <c r="F1026" s="8">
        <v>62.0</v>
      </c>
      <c r="G1026" s="1" t="s">
        <v>1977</v>
      </c>
      <c r="H1026" s="1" t="str">
        <f t="shared" si="1"/>
        <v>Michael</v>
      </c>
      <c r="I1026" s="1" t="str">
        <f t="shared" si="2"/>
        <v>Floyd</v>
      </c>
      <c r="J1026" s="1" t="str">
        <f t="shared" si="3"/>
        <v>#N/A</v>
      </c>
      <c r="K1026" s="1" t="str">
        <f>IFERROR(VLOOKUP($J1026,Players!$D:$E,2,FALSE),VLOOKUP($G1026,Players!A:E,5,FALSE))</f>
        <v>WR</v>
      </c>
    </row>
    <row r="1027" ht="15.75" customHeight="1">
      <c r="A1027" s="1">
        <v>2016.0</v>
      </c>
      <c r="B1027" s="1" t="s">
        <v>41</v>
      </c>
      <c r="C1027" s="1" t="s">
        <v>26</v>
      </c>
      <c r="D1027" s="1">
        <v>2.0</v>
      </c>
      <c r="E1027" s="8">
        <v>7.0</v>
      </c>
      <c r="F1027" s="8">
        <v>83.0</v>
      </c>
      <c r="G1027" s="1" t="s">
        <v>1980</v>
      </c>
      <c r="H1027" s="1" t="str">
        <f t="shared" si="1"/>
        <v>Travis</v>
      </c>
      <c r="I1027" s="1" t="str">
        <f t="shared" si="2"/>
        <v>Benjamin</v>
      </c>
      <c r="J1027" s="1" t="str">
        <f t="shared" si="3"/>
        <v>#N/A</v>
      </c>
      <c r="K1027" s="1" t="str">
        <f>IFERROR(VLOOKUP($J1027,Players!$D:$E,2,FALSE),VLOOKUP($G1027,Players!A:E,5,FALSE))</f>
        <v>WR</v>
      </c>
    </row>
    <row r="1028" ht="15.75" customHeight="1">
      <c r="A1028" s="1">
        <v>2016.0</v>
      </c>
      <c r="B1028" s="1" t="s">
        <v>41</v>
      </c>
      <c r="C1028" s="1" t="s">
        <v>26</v>
      </c>
      <c r="D1028" s="1">
        <v>2.0</v>
      </c>
      <c r="E1028" s="8">
        <v>8.0</v>
      </c>
      <c r="F1028" s="8">
        <v>86.0</v>
      </c>
      <c r="G1028" s="1" t="s">
        <v>792</v>
      </c>
      <c r="H1028" s="1" t="str">
        <f t="shared" si="1"/>
        <v>Chris</v>
      </c>
      <c r="I1028" s="1" t="str">
        <f t="shared" si="2"/>
        <v>Ivory</v>
      </c>
      <c r="J1028" s="1" t="str">
        <f t="shared" si="3"/>
        <v>#N/A</v>
      </c>
      <c r="K1028" s="1" t="str">
        <f>IFERROR(VLOOKUP($J1028,Players!$D:$E,2,FALSE),VLOOKUP($G1028,Players!A:E,5,FALSE))</f>
        <v>RB</v>
      </c>
    </row>
    <row r="1029" ht="15.75" customHeight="1">
      <c r="A1029" s="1">
        <v>2016.0</v>
      </c>
      <c r="B1029" s="1" t="s">
        <v>41</v>
      </c>
      <c r="C1029" s="1" t="s">
        <v>26</v>
      </c>
      <c r="D1029" s="1">
        <v>2.0</v>
      </c>
      <c r="E1029" s="8">
        <v>9.0</v>
      </c>
      <c r="F1029" s="8">
        <v>107.0</v>
      </c>
      <c r="G1029" s="1" t="s">
        <v>483</v>
      </c>
      <c r="H1029" s="1" t="str">
        <f t="shared" si="1"/>
        <v>Blake</v>
      </c>
      <c r="I1029" s="1" t="str">
        <f t="shared" si="2"/>
        <v>Bortles</v>
      </c>
      <c r="J1029" s="1" t="str">
        <f t="shared" si="3"/>
        <v>#N/A</v>
      </c>
      <c r="K1029" s="1" t="str">
        <f>IFERROR(VLOOKUP($J1029,Players!$D:$E,2,FALSE),VLOOKUP($G1029,Players!A:E,5,FALSE))</f>
        <v>QB</v>
      </c>
    </row>
    <row r="1030" ht="15.75" customHeight="1">
      <c r="A1030" s="1">
        <v>2016.0</v>
      </c>
      <c r="B1030" s="1" t="s">
        <v>41</v>
      </c>
      <c r="C1030" s="1" t="s">
        <v>26</v>
      </c>
      <c r="D1030" s="1">
        <v>2.0</v>
      </c>
      <c r="E1030" s="8">
        <v>10.0</v>
      </c>
      <c r="F1030" s="8">
        <v>110.0</v>
      </c>
      <c r="G1030" s="1" t="s">
        <v>703</v>
      </c>
      <c r="H1030" s="1" t="str">
        <f t="shared" si="1"/>
        <v>#VALUE!</v>
      </c>
      <c r="I1030" s="1" t="str">
        <f t="shared" si="2"/>
        <v>#VALUE!</v>
      </c>
      <c r="J1030" s="1" t="str">
        <f t="shared" si="3"/>
        <v>#N/A</v>
      </c>
      <c r="K1030" s="1" t="str">
        <f>IFERROR(VLOOKUP($J1030,Players!$D:$E,2,FALSE),VLOOKUP($G1030,Players!A:E,5,FALSE))</f>
        <v>DEF</v>
      </c>
    </row>
    <row r="1031" ht="15.75" customHeight="1">
      <c r="A1031" s="1">
        <v>2016.0</v>
      </c>
      <c r="B1031" s="1" t="s">
        <v>41</v>
      </c>
      <c r="C1031" s="1" t="s">
        <v>26</v>
      </c>
      <c r="D1031" s="1">
        <v>2.0</v>
      </c>
      <c r="E1031" s="8">
        <v>11.0</v>
      </c>
      <c r="F1031" s="8">
        <v>131.0</v>
      </c>
      <c r="G1031" s="1" t="s">
        <v>1467</v>
      </c>
      <c r="H1031" s="1" t="str">
        <f t="shared" si="1"/>
        <v>Jimmy</v>
      </c>
      <c r="I1031" s="1" t="str">
        <f t="shared" si="2"/>
        <v>Graham</v>
      </c>
      <c r="J1031" s="1" t="str">
        <f t="shared" si="3"/>
        <v>#N/A</v>
      </c>
      <c r="K1031" s="1" t="str">
        <f>IFERROR(VLOOKUP($J1031,Players!$D:$E,2,FALSE),VLOOKUP($G1031,Players!A:E,5,FALSE))</f>
        <v>TE</v>
      </c>
    </row>
    <row r="1032" ht="15.75" customHeight="1">
      <c r="A1032" s="1">
        <v>2016.0</v>
      </c>
      <c r="B1032" s="1" t="s">
        <v>41</v>
      </c>
      <c r="C1032" s="1" t="s">
        <v>26</v>
      </c>
      <c r="D1032" s="1">
        <v>2.0</v>
      </c>
      <c r="E1032" s="8">
        <v>12.0</v>
      </c>
      <c r="F1032" s="8">
        <v>134.0</v>
      </c>
      <c r="G1032" s="1" t="s">
        <v>1993</v>
      </c>
      <c r="H1032" s="1" t="str">
        <f t="shared" si="1"/>
        <v>Robert</v>
      </c>
      <c r="I1032" s="1" t="str">
        <f t="shared" si="2"/>
        <v>Griffin III</v>
      </c>
      <c r="J1032" s="1" t="str">
        <f t="shared" si="3"/>
        <v>#N/A</v>
      </c>
      <c r="K1032" s="1" t="str">
        <f>IFERROR(VLOOKUP($J1032,Players!$D:$E,2,FALSE),VLOOKUP($G1032,Players!A:E,5,FALSE))</f>
        <v>QB</v>
      </c>
    </row>
    <row r="1033" ht="15.75" customHeight="1">
      <c r="A1033" s="1">
        <v>2016.0</v>
      </c>
      <c r="B1033" s="1" t="s">
        <v>41</v>
      </c>
      <c r="C1033" s="1" t="s">
        <v>26</v>
      </c>
      <c r="D1033" s="1">
        <v>2.0</v>
      </c>
      <c r="E1033" s="8">
        <v>13.0</v>
      </c>
      <c r="F1033" s="8">
        <v>155.0</v>
      </c>
      <c r="G1033" s="1" t="s">
        <v>1177</v>
      </c>
      <c r="H1033" s="1" t="str">
        <f t="shared" si="1"/>
        <v>Devontae</v>
      </c>
      <c r="I1033" s="1" t="str">
        <f t="shared" si="2"/>
        <v>Booker</v>
      </c>
      <c r="J1033" s="1" t="str">
        <f t="shared" si="3"/>
        <v>#N/A</v>
      </c>
      <c r="K1033" s="1" t="str">
        <f>IFERROR(VLOOKUP($J1033,Players!$D:$E,2,FALSE),VLOOKUP($G1033,Players!A:E,5,FALSE))</f>
        <v>RB</v>
      </c>
    </row>
    <row r="1034" ht="15.75" customHeight="1">
      <c r="A1034" s="1">
        <v>2016.0</v>
      </c>
      <c r="B1034" s="1" t="s">
        <v>41</v>
      </c>
      <c r="C1034" s="1" t="s">
        <v>26</v>
      </c>
      <c r="D1034" s="1">
        <v>2.0</v>
      </c>
      <c r="E1034" s="8">
        <v>14.0</v>
      </c>
      <c r="F1034" s="8">
        <v>158.0</v>
      </c>
      <c r="G1034" s="1" t="s">
        <v>1411</v>
      </c>
      <c r="H1034" s="1" t="str">
        <f t="shared" si="1"/>
        <v>Graham</v>
      </c>
      <c r="I1034" s="1" t="str">
        <f t="shared" si="2"/>
        <v>Gano</v>
      </c>
      <c r="J1034" s="1" t="str">
        <f t="shared" si="3"/>
        <v>#N/A</v>
      </c>
      <c r="K1034" s="1" t="str">
        <f>IFERROR(VLOOKUP($J1034,Players!$D:$E,2,FALSE),VLOOKUP($G1034,Players!A:E,5,FALSE))</f>
        <v>K</v>
      </c>
    </row>
    <row r="1035" ht="15.75" customHeight="1">
      <c r="A1035" s="1">
        <v>2016.0</v>
      </c>
      <c r="B1035" s="1" t="s">
        <v>41</v>
      </c>
      <c r="C1035" s="1" t="s">
        <v>26</v>
      </c>
      <c r="D1035" s="1">
        <v>2.0</v>
      </c>
      <c r="E1035" s="8">
        <v>15.0</v>
      </c>
      <c r="F1035" s="8">
        <v>179.0</v>
      </c>
      <c r="G1035" s="1" t="s">
        <v>1999</v>
      </c>
      <c r="H1035" s="1" t="str">
        <f t="shared" si="1"/>
        <v>Phillip</v>
      </c>
      <c r="I1035" s="1" t="str">
        <f t="shared" si="2"/>
        <v>Dorsett II</v>
      </c>
      <c r="J1035" s="1" t="str">
        <f t="shared" si="3"/>
        <v>#N/A</v>
      </c>
      <c r="K1035" s="1" t="str">
        <f>IFERROR(VLOOKUP($J1035,Players!$D:$E,2,FALSE),VLOOKUP($G1035,Players!A:E,5,FALSE))</f>
        <v>#N/A</v>
      </c>
    </row>
    <row r="1036" ht="15.75" customHeight="1">
      <c r="A1036" s="1">
        <v>2016.0</v>
      </c>
      <c r="B1036" s="1" t="s">
        <v>53</v>
      </c>
      <c r="C1036" s="1" t="s">
        <v>15</v>
      </c>
      <c r="D1036" s="1">
        <v>4.0</v>
      </c>
      <c r="E1036" s="8">
        <v>1.0</v>
      </c>
      <c r="F1036" s="8">
        <v>5.0</v>
      </c>
      <c r="G1036" s="1" t="s">
        <v>96</v>
      </c>
      <c r="H1036" s="1" t="str">
        <f t="shared" si="1"/>
        <v>Julio</v>
      </c>
      <c r="I1036" s="1" t="str">
        <f t="shared" si="2"/>
        <v>Jones</v>
      </c>
      <c r="J1036" s="1" t="str">
        <f t="shared" si="3"/>
        <v>#N/A</v>
      </c>
      <c r="K1036" s="1" t="str">
        <f>IFERROR(VLOOKUP($J1036,Players!$D:$E,2,FALSE),VLOOKUP($G1036,Players!A:E,5,FALSE))</f>
        <v>WR</v>
      </c>
    </row>
    <row r="1037" ht="15.75" customHeight="1">
      <c r="A1037" s="1">
        <v>2016.0</v>
      </c>
      <c r="B1037" s="1" t="s">
        <v>53</v>
      </c>
      <c r="C1037" s="1" t="s">
        <v>15</v>
      </c>
      <c r="D1037" s="1">
        <v>4.0</v>
      </c>
      <c r="E1037" s="8">
        <v>2.0</v>
      </c>
      <c r="F1037" s="8">
        <v>20.0</v>
      </c>
      <c r="G1037" s="1" t="s">
        <v>841</v>
      </c>
      <c r="H1037" s="1" t="str">
        <f t="shared" si="1"/>
        <v>Devonta</v>
      </c>
      <c r="I1037" s="1" t="str">
        <f t="shared" si="2"/>
        <v>Freeman</v>
      </c>
      <c r="J1037" s="1" t="str">
        <f t="shared" si="3"/>
        <v>#N/A</v>
      </c>
      <c r="K1037" s="1" t="str">
        <f>IFERROR(VLOOKUP($J1037,Players!$D:$E,2,FALSE),VLOOKUP($G1037,Players!A:E,5,FALSE))</f>
        <v>RB</v>
      </c>
    </row>
    <row r="1038" ht="15.75" customHeight="1">
      <c r="A1038" s="1">
        <v>2016.0</v>
      </c>
      <c r="B1038" s="1" t="s">
        <v>53</v>
      </c>
      <c r="C1038" s="1" t="s">
        <v>15</v>
      </c>
      <c r="D1038" s="1">
        <v>4.0</v>
      </c>
      <c r="E1038" s="8">
        <v>3.0</v>
      </c>
      <c r="F1038" s="8">
        <v>29.0</v>
      </c>
      <c r="G1038" s="1" t="s">
        <v>680</v>
      </c>
      <c r="H1038" s="1" t="str">
        <f t="shared" si="1"/>
        <v>Cam</v>
      </c>
      <c r="I1038" s="1" t="str">
        <f t="shared" si="2"/>
        <v>Newton</v>
      </c>
      <c r="J1038" s="1" t="str">
        <f t="shared" si="3"/>
        <v>#N/A</v>
      </c>
      <c r="K1038" s="1" t="str">
        <f>IFERROR(VLOOKUP($J1038,Players!$D:$E,2,FALSE),VLOOKUP($G1038,Players!A:E,5,FALSE))</f>
        <v>QB</v>
      </c>
    </row>
    <row r="1039" ht="15.75" customHeight="1">
      <c r="A1039" s="1">
        <v>2016.0</v>
      </c>
      <c r="B1039" s="1" t="s">
        <v>53</v>
      </c>
      <c r="C1039" s="1" t="s">
        <v>15</v>
      </c>
      <c r="D1039" s="1">
        <v>4.0</v>
      </c>
      <c r="E1039" s="8">
        <v>4.0</v>
      </c>
      <c r="F1039" s="8">
        <v>44.0</v>
      </c>
      <c r="G1039" s="1" t="s">
        <v>944</v>
      </c>
      <c r="H1039" s="1" t="str">
        <f t="shared" si="1"/>
        <v>Golden</v>
      </c>
      <c r="I1039" s="1" t="str">
        <f t="shared" si="2"/>
        <v>Tate</v>
      </c>
      <c r="J1039" s="1" t="str">
        <f t="shared" si="3"/>
        <v>#N/A</v>
      </c>
      <c r="K1039" s="1" t="str">
        <f>IFERROR(VLOOKUP($J1039,Players!$D:$E,2,FALSE),VLOOKUP($G1039,Players!A:E,5,FALSE))</f>
        <v>WR</v>
      </c>
    </row>
    <row r="1040" ht="15.75" customHeight="1">
      <c r="A1040" s="1">
        <v>2016.0</v>
      </c>
      <c r="B1040" s="1" t="s">
        <v>53</v>
      </c>
      <c r="C1040" s="1" t="s">
        <v>15</v>
      </c>
      <c r="D1040" s="1">
        <v>4.0</v>
      </c>
      <c r="E1040" s="8">
        <v>5.0</v>
      </c>
      <c r="F1040" s="8">
        <v>53.0</v>
      </c>
      <c r="G1040" s="1" t="s">
        <v>1351</v>
      </c>
      <c r="H1040" s="1" t="str">
        <f t="shared" si="1"/>
        <v>LeGarrette</v>
      </c>
      <c r="I1040" s="1" t="str">
        <f t="shared" si="2"/>
        <v>Blount</v>
      </c>
      <c r="J1040" s="1" t="str">
        <f t="shared" si="3"/>
        <v>#N/A</v>
      </c>
      <c r="K1040" s="1" t="str">
        <f>IFERROR(VLOOKUP($J1040,Players!$D:$E,2,FALSE),VLOOKUP($G1040,Players!A:E,5,FALSE))</f>
        <v>RB</v>
      </c>
    </row>
    <row r="1041" ht="15.75" customHeight="1">
      <c r="A1041" s="1">
        <v>2016.0</v>
      </c>
      <c r="B1041" s="1" t="s">
        <v>53</v>
      </c>
      <c r="C1041" s="1" t="s">
        <v>15</v>
      </c>
      <c r="D1041" s="1">
        <v>4.0</v>
      </c>
      <c r="E1041" s="8">
        <v>6.0</v>
      </c>
      <c r="F1041" s="8">
        <v>68.0</v>
      </c>
      <c r="G1041" s="1" t="s">
        <v>250</v>
      </c>
      <c r="H1041" s="1" t="str">
        <f t="shared" si="1"/>
        <v>Allen</v>
      </c>
      <c r="I1041" s="1" t="str">
        <f t="shared" si="2"/>
        <v>Hurns</v>
      </c>
      <c r="J1041" s="1" t="str">
        <f t="shared" si="3"/>
        <v>#N/A</v>
      </c>
      <c r="K1041" s="1" t="str">
        <f>IFERROR(VLOOKUP($J1041,Players!$D:$E,2,FALSE),VLOOKUP($G1041,Players!A:E,5,FALSE))</f>
        <v>WR</v>
      </c>
    </row>
    <row r="1042" ht="15.75" customHeight="1">
      <c r="A1042" s="1">
        <v>2016.0</v>
      </c>
      <c r="B1042" s="1" t="s">
        <v>53</v>
      </c>
      <c r="C1042" s="1" t="s">
        <v>15</v>
      </c>
      <c r="D1042" s="1">
        <v>4.0</v>
      </c>
      <c r="E1042" s="8">
        <v>7.0</v>
      </c>
      <c r="F1042" s="8">
        <v>77.0</v>
      </c>
      <c r="G1042" s="1" t="s">
        <v>1376</v>
      </c>
      <c r="H1042" s="1" t="str">
        <f t="shared" si="1"/>
        <v>Gary</v>
      </c>
      <c r="I1042" s="1" t="str">
        <f t="shared" si="2"/>
        <v>Barnidge</v>
      </c>
      <c r="J1042" s="1" t="str">
        <f t="shared" si="3"/>
        <v>#N/A</v>
      </c>
      <c r="K1042" s="1" t="str">
        <f>IFERROR(VLOOKUP($J1042,Players!$D:$E,2,FALSE),VLOOKUP($G1042,Players!A:E,5,FALSE))</f>
        <v>TE</v>
      </c>
    </row>
    <row r="1043" ht="15.75" customHeight="1">
      <c r="A1043" s="1">
        <v>2016.0</v>
      </c>
      <c r="B1043" s="1" t="s">
        <v>53</v>
      </c>
      <c r="C1043" s="1" t="s">
        <v>15</v>
      </c>
      <c r="D1043" s="1">
        <v>4.0</v>
      </c>
      <c r="E1043" s="8">
        <v>8.0</v>
      </c>
      <c r="F1043" s="8">
        <v>92.0</v>
      </c>
      <c r="G1043" s="1" t="s">
        <v>2008</v>
      </c>
      <c r="H1043" s="1" t="str">
        <f t="shared" si="1"/>
        <v>TJ</v>
      </c>
      <c r="I1043" s="1" t="str">
        <f t="shared" si="2"/>
        <v>Yeldon</v>
      </c>
      <c r="J1043" s="1" t="str">
        <f t="shared" si="3"/>
        <v>#N/A</v>
      </c>
      <c r="K1043" s="1" t="str">
        <f>IFERROR(VLOOKUP($J1043,Players!$D:$E,2,FALSE),VLOOKUP($G1043,Players!A:E,5,FALSE))</f>
        <v>RB</v>
      </c>
    </row>
    <row r="1044" ht="15.75" customHeight="1">
      <c r="A1044" s="1">
        <v>2016.0</v>
      </c>
      <c r="B1044" s="1" t="s">
        <v>53</v>
      </c>
      <c r="C1044" s="1" t="s">
        <v>15</v>
      </c>
      <c r="D1044" s="1">
        <v>4.0</v>
      </c>
      <c r="E1044" s="8">
        <v>9.0</v>
      </c>
      <c r="F1044" s="8">
        <v>101.0</v>
      </c>
      <c r="G1044" s="1" t="s">
        <v>270</v>
      </c>
      <c r="H1044" s="1" t="str">
        <f t="shared" si="1"/>
        <v>Michael</v>
      </c>
      <c r="I1044" s="1" t="str">
        <f t="shared" si="2"/>
        <v>Thomas</v>
      </c>
      <c r="J1044" s="1" t="str">
        <f t="shared" si="3"/>
        <v>#N/A</v>
      </c>
      <c r="K1044" s="1" t="str">
        <f>IFERROR(VLOOKUP($J1044,Players!$D:$E,2,FALSE),VLOOKUP($G1044,Players!A:E,5,FALSE))</f>
        <v>WR</v>
      </c>
    </row>
    <row r="1045" ht="15.75" customHeight="1">
      <c r="A1045" s="1">
        <v>2016.0</v>
      </c>
      <c r="B1045" s="1" t="s">
        <v>53</v>
      </c>
      <c r="C1045" s="1" t="s">
        <v>15</v>
      </c>
      <c r="D1045" s="1">
        <v>4.0</v>
      </c>
      <c r="E1045" s="8">
        <v>10.0</v>
      </c>
      <c r="F1045" s="8">
        <v>116.0</v>
      </c>
      <c r="G1045" s="1" t="s">
        <v>440</v>
      </c>
      <c r="H1045" s="1" t="str">
        <f t="shared" si="1"/>
        <v>Tyler</v>
      </c>
      <c r="I1045" s="1" t="str">
        <f t="shared" si="2"/>
        <v>Boyd</v>
      </c>
      <c r="J1045" s="1" t="str">
        <f t="shared" si="3"/>
        <v>#N/A</v>
      </c>
      <c r="K1045" s="1" t="str">
        <f>IFERROR(VLOOKUP($J1045,Players!$D:$E,2,FALSE),VLOOKUP($G1045,Players!A:E,5,FALSE))</f>
        <v>WR</v>
      </c>
    </row>
    <row r="1046" ht="15.75" customHeight="1">
      <c r="A1046" s="1">
        <v>2016.0</v>
      </c>
      <c r="B1046" s="1" t="s">
        <v>53</v>
      </c>
      <c r="C1046" s="1" t="s">
        <v>15</v>
      </c>
      <c r="D1046" s="1">
        <v>4.0</v>
      </c>
      <c r="E1046" s="8">
        <v>11.0</v>
      </c>
      <c r="F1046" s="8">
        <v>125.0</v>
      </c>
      <c r="G1046" s="1" t="s">
        <v>833</v>
      </c>
      <c r="H1046" s="1" t="str">
        <f t="shared" si="1"/>
        <v>#VALUE!</v>
      </c>
      <c r="I1046" s="1" t="str">
        <f t="shared" si="2"/>
        <v>#VALUE!</v>
      </c>
      <c r="J1046" s="1" t="str">
        <f t="shared" si="3"/>
        <v>#N/A</v>
      </c>
      <c r="K1046" s="1" t="str">
        <f>IFERROR(VLOOKUP($J1046,Players!$D:$E,2,FALSE),VLOOKUP($G1046,Players!A:E,5,FALSE))</f>
        <v>DEF</v>
      </c>
    </row>
    <row r="1047" ht="15.75" customHeight="1">
      <c r="A1047" s="1">
        <v>2016.0</v>
      </c>
      <c r="B1047" s="1" t="s">
        <v>53</v>
      </c>
      <c r="C1047" s="1" t="s">
        <v>15</v>
      </c>
      <c r="D1047" s="1">
        <v>4.0</v>
      </c>
      <c r="E1047" s="8">
        <v>12.0</v>
      </c>
      <c r="F1047" s="8">
        <v>140.0</v>
      </c>
      <c r="G1047" s="1" t="s">
        <v>891</v>
      </c>
      <c r="H1047" s="1" t="str">
        <f t="shared" si="1"/>
        <v>Stephen</v>
      </c>
      <c r="I1047" s="1" t="str">
        <f t="shared" si="2"/>
        <v>Gostkowski</v>
      </c>
      <c r="J1047" s="1" t="str">
        <f t="shared" si="3"/>
        <v>#N/A</v>
      </c>
      <c r="K1047" s="1" t="str">
        <f>IFERROR(VLOOKUP($J1047,Players!$D:$E,2,FALSE),VLOOKUP($G1047,Players!A:E,5,FALSE))</f>
        <v>K</v>
      </c>
    </row>
    <row r="1048" ht="15.75" customHeight="1">
      <c r="A1048" s="1">
        <v>2016.0</v>
      </c>
      <c r="B1048" s="1" t="s">
        <v>53</v>
      </c>
      <c r="C1048" s="1" t="s">
        <v>15</v>
      </c>
      <c r="D1048" s="1">
        <v>4.0</v>
      </c>
      <c r="E1048" s="8">
        <v>13.0</v>
      </c>
      <c r="F1048" s="8">
        <v>149.0</v>
      </c>
      <c r="G1048" s="1" t="s">
        <v>524</v>
      </c>
      <c r="H1048" s="1" t="str">
        <f t="shared" si="1"/>
        <v>Matt</v>
      </c>
      <c r="I1048" s="1" t="str">
        <f t="shared" si="2"/>
        <v>Ryan</v>
      </c>
      <c r="J1048" s="1" t="str">
        <f t="shared" si="3"/>
        <v>#N/A</v>
      </c>
      <c r="K1048" s="1" t="str">
        <f>IFERROR(VLOOKUP($J1048,Players!$D:$E,2,FALSE),VLOOKUP($G1048,Players!A:E,5,FALSE))</f>
        <v>QB</v>
      </c>
    </row>
    <row r="1049" ht="15.75" customHeight="1">
      <c r="A1049" s="1">
        <v>2016.0</v>
      </c>
      <c r="B1049" s="1" t="s">
        <v>53</v>
      </c>
      <c r="C1049" s="1" t="s">
        <v>15</v>
      </c>
      <c r="D1049" s="1">
        <v>4.0</v>
      </c>
      <c r="E1049" s="8">
        <v>14.0</v>
      </c>
      <c r="F1049" s="8">
        <v>164.0</v>
      </c>
      <c r="G1049" s="1" t="s">
        <v>2020</v>
      </c>
      <c r="H1049" s="1" t="str">
        <f t="shared" si="1"/>
        <v>Malcolm</v>
      </c>
      <c r="I1049" s="1" t="str">
        <f t="shared" si="2"/>
        <v>Mitchell</v>
      </c>
      <c r="J1049" s="1" t="str">
        <f t="shared" si="3"/>
        <v>#N/A</v>
      </c>
      <c r="K1049" s="1" t="str">
        <f>IFERROR(VLOOKUP($J1049,Players!$D:$E,2,FALSE),VLOOKUP($G1049,Players!A:E,5,FALSE))</f>
        <v>WR</v>
      </c>
    </row>
    <row r="1050" ht="15.75" customHeight="1">
      <c r="A1050" s="1">
        <v>2016.0</v>
      </c>
      <c r="B1050" s="1" t="s">
        <v>53</v>
      </c>
      <c r="C1050" s="1" t="s">
        <v>15</v>
      </c>
      <c r="D1050" s="1">
        <v>4.0</v>
      </c>
      <c r="E1050" s="8">
        <v>15.0</v>
      </c>
      <c r="F1050" s="8">
        <v>173.0</v>
      </c>
      <c r="G1050" s="1" t="s">
        <v>2022</v>
      </c>
      <c r="H1050" s="1" t="str">
        <f t="shared" si="1"/>
        <v>Alfred</v>
      </c>
      <c r="I1050" s="1" t="str">
        <f t="shared" si="2"/>
        <v>Morris</v>
      </c>
      <c r="J1050" s="1" t="str">
        <f t="shared" si="3"/>
        <v>#N/A</v>
      </c>
      <c r="K1050" s="1" t="str">
        <f>IFERROR(VLOOKUP($J1050,Players!$D:$E,2,FALSE),VLOOKUP($G1050,Players!A:E,5,FALSE))</f>
        <v>#N/A</v>
      </c>
    </row>
    <row r="1051" ht="15.75" customHeight="1">
      <c r="A1051" s="1">
        <v>2016.0</v>
      </c>
      <c r="B1051" s="1" t="s">
        <v>28</v>
      </c>
      <c r="C1051" s="1" t="s">
        <v>12</v>
      </c>
      <c r="D1051" s="1">
        <v>5.0</v>
      </c>
      <c r="E1051" s="8">
        <v>1.0</v>
      </c>
      <c r="F1051" s="8">
        <v>1.0</v>
      </c>
      <c r="G1051" s="1" t="s">
        <v>229</v>
      </c>
      <c r="H1051" s="1" t="str">
        <f t="shared" si="1"/>
        <v>Antonio</v>
      </c>
      <c r="I1051" s="1" t="str">
        <f t="shared" si="2"/>
        <v>Brown</v>
      </c>
      <c r="J1051" s="1" t="str">
        <f t="shared" si="3"/>
        <v>#N/A</v>
      </c>
      <c r="K1051" s="1" t="str">
        <f>IFERROR(VLOOKUP($J1051,Players!$D:$E,2,FALSE),VLOOKUP($G1051,Players!A:E,5,FALSE))</f>
        <v>WR</v>
      </c>
    </row>
    <row r="1052" ht="15.75" customHeight="1">
      <c r="A1052" s="1">
        <v>2016.0</v>
      </c>
      <c r="B1052" s="1" t="s">
        <v>28</v>
      </c>
      <c r="C1052" s="1" t="s">
        <v>12</v>
      </c>
      <c r="D1052" s="1">
        <v>5.0</v>
      </c>
      <c r="E1052" s="8">
        <v>2.0</v>
      </c>
      <c r="F1052" s="8">
        <v>24.0</v>
      </c>
      <c r="G1052" s="1" t="s">
        <v>1288</v>
      </c>
      <c r="H1052" s="1" t="str">
        <f t="shared" si="1"/>
        <v>Eddie</v>
      </c>
      <c r="I1052" s="1" t="str">
        <f t="shared" si="2"/>
        <v>Lacy</v>
      </c>
      <c r="J1052" s="1" t="str">
        <f t="shared" si="3"/>
        <v>#N/A</v>
      </c>
      <c r="K1052" s="1" t="str">
        <f>IFERROR(VLOOKUP($J1052,Players!$D:$E,2,FALSE),VLOOKUP($G1052,Players!A:E,5,FALSE))</f>
        <v>RB</v>
      </c>
    </row>
    <row r="1053" ht="15.75" customHeight="1">
      <c r="A1053" s="1">
        <v>2016.0</v>
      </c>
      <c r="B1053" s="1" t="s">
        <v>28</v>
      </c>
      <c r="C1053" s="1" t="s">
        <v>12</v>
      </c>
      <c r="D1053" s="1">
        <v>5.0</v>
      </c>
      <c r="E1053" s="8">
        <v>3.0</v>
      </c>
      <c r="F1053" s="8">
        <v>25.0</v>
      </c>
      <c r="G1053" s="1" t="s">
        <v>1237</v>
      </c>
      <c r="H1053" s="1" t="str">
        <f t="shared" si="1"/>
        <v>Doug</v>
      </c>
      <c r="I1053" s="1" t="str">
        <f t="shared" si="2"/>
        <v>Martin</v>
      </c>
      <c r="J1053" s="1" t="str">
        <f t="shared" si="3"/>
        <v>#N/A</v>
      </c>
      <c r="K1053" s="1" t="str">
        <f>IFERROR(VLOOKUP($J1053,Players!$D:$E,2,FALSE),VLOOKUP($G1053,Players!A:E,5,FALSE))</f>
        <v>RB</v>
      </c>
    </row>
    <row r="1054" ht="15.75" customHeight="1">
      <c r="A1054" s="1">
        <v>2016.0</v>
      </c>
      <c r="B1054" s="1" t="s">
        <v>28</v>
      </c>
      <c r="C1054" s="1" t="s">
        <v>12</v>
      </c>
      <c r="D1054" s="1">
        <v>5.0</v>
      </c>
      <c r="E1054" s="8">
        <v>4.0</v>
      </c>
      <c r="F1054" s="8">
        <v>48.0</v>
      </c>
      <c r="G1054" s="1" t="s">
        <v>144</v>
      </c>
      <c r="H1054" s="1" t="str">
        <f t="shared" si="1"/>
        <v>Russell</v>
      </c>
      <c r="I1054" s="1" t="str">
        <f t="shared" si="2"/>
        <v>Wilson</v>
      </c>
      <c r="J1054" s="1" t="str">
        <f t="shared" si="3"/>
        <v>#N/A</v>
      </c>
      <c r="K1054" s="1" t="str">
        <f>IFERROR(VLOOKUP($J1054,Players!$D:$E,2,FALSE),VLOOKUP($G1054,Players!A:E,5,FALSE))</f>
        <v>QB</v>
      </c>
    </row>
    <row r="1055" ht="15.75" customHeight="1">
      <c r="A1055" s="1">
        <v>2016.0</v>
      </c>
      <c r="B1055" s="1" t="s">
        <v>28</v>
      </c>
      <c r="C1055" s="1" t="s">
        <v>12</v>
      </c>
      <c r="D1055" s="1">
        <v>5.0</v>
      </c>
      <c r="E1055" s="8">
        <v>5.0</v>
      </c>
      <c r="F1055" s="8">
        <v>49.0</v>
      </c>
      <c r="G1055" s="1" t="s">
        <v>139</v>
      </c>
      <c r="H1055" s="1" t="str">
        <f t="shared" si="1"/>
        <v>Travis</v>
      </c>
      <c r="I1055" s="1" t="str">
        <f t="shared" si="2"/>
        <v>Kelce</v>
      </c>
      <c r="J1055" s="1" t="str">
        <f t="shared" si="3"/>
        <v>#N/A</v>
      </c>
      <c r="K1055" s="1" t="str">
        <f>IFERROR(VLOOKUP($J1055,Players!$D:$E,2,FALSE),VLOOKUP($G1055,Players!A:E,5,FALSE))</f>
        <v>TE</v>
      </c>
    </row>
    <row r="1056" ht="15.75" customHeight="1">
      <c r="A1056" s="1">
        <v>2016.0</v>
      </c>
      <c r="B1056" s="1" t="s">
        <v>28</v>
      </c>
      <c r="C1056" s="1" t="s">
        <v>12</v>
      </c>
      <c r="D1056" s="1">
        <v>5.0</v>
      </c>
      <c r="E1056" s="8">
        <v>6.0</v>
      </c>
      <c r="F1056" s="8">
        <v>72.0</v>
      </c>
      <c r="G1056" s="1" t="s">
        <v>498</v>
      </c>
      <c r="H1056" s="1" t="str">
        <f t="shared" si="1"/>
        <v>Duke</v>
      </c>
      <c r="I1056" s="1" t="str">
        <f t="shared" si="2"/>
        <v>Johnson</v>
      </c>
      <c r="J1056" s="1" t="str">
        <f t="shared" si="3"/>
        <v>#N/A</v>
      </c>
      <c r="K1056" s="1" t="str">
        <f>IFERROR(VLOOKUP($J1056,Players!$D:$E,2,FALSE),VLOOKUP($G1056,Players!A:E,5,FALSE))</f>
        <v>RB</v>
      </c>
    </row>
    <row r="1057" ht="15.75" customHeight="1">
      <c r="A1057" s="1">
        <v>2016.0</v>
      </c>
      <c r="B1057" s="1" t="s">
        <v>28</v>
      </c>
      <c r="C1057" s="1" t="s">
        <v>12</v>
      </c>
      <c r="D1057" s="1">
        <v>5.0</v>
      </c>
      <c r="E1057" s="8">
        <v>7.0</v>
      </c>
      <c r="F1057" s="8">
        <v>73.0</v>
      </c>
      <c r="G1057" s="1" t="s">
        <v>243</v>
      </c>
      <c r="H1057" s="1" t="str">
        <f t="shared" si="1"/>
        <v>Marvin</v>
      </c>
      <c r="I1057" s="1" t="str">
        <f t="shared" si="2"/>
        <v>Jones Jr</v>
      </c>
      <c r="J1057" s="1" t="str">
        <f t="shared" si="3"/>
        <v>#N/A</v>
      </c>
      <c r="K1057" s="1" t="str">
        <f>IFERROR(VLOOKUP($J1057,Players!$D:$E,2,FALSE),VLOOKUP($G1057,Players!A:E,5,FALSE))</f>
        <v>#N/A</v>
      </c>
    </row>
    <row r="1058" ht="15.75" customHeight="1">
      <c r="A1058" s="1">
        <v>2016.0</v>
      </c>
      <c r="B1058" s="1" t="s">
        <v>28</v>
      </c>
      <c r="C1058" s="1" t="s">
        <v>12</v>
      </c>
      <c r="D1058" s="1">
        <v>5.0</v>
      </c>
      <c r="E1058" s="8">
        <v>8.0</v>
      </c>
      <c r="F1058" s="8">
        <v>96.0</v>
      </c>
      <c r="G1058" s="1" t="s">
        <v>1390</v>
      </c>
      <c r="H1058" s="1" t="str">
        <f t="shared" si="1"/>
        <v>Michael</v>
      </c>
      <c r="I1058" s="1" t="str">
        <f t="shared" si="2"/>
        <v>Crabtree</v>
      </c>
      <c r="J1058" s="1" t="str">
        <f t="shared" si="3"/>
        <v>#N/A</v>
      </c>
      <c r="K1058" s="1" t="str">
        <f>IFERROR(VLOOKUP($J1058,Players!$D:$E,2,FALSE),VLOOKUP($G1058,Players!A:E,5,FALSE))</f>
        <v>WR</v>
      </c>
    </row>
    <row r="1059" ht="15.75" customHeight="1">
      <c r="A1059" s="1">
        <v>2016.0</v>
      </c>
      <c r="B1059" s="1" t="s">
        <v>28</v>
      </c>
      <c r="C1059" s="1" t="s">
        <v>12</v>
      </c>
      <c r="D1059" s="1">
        <v>5.0</v>
      </c>
      <c r="E1059" s="8">
        <v>9.0</v>
      </c>
      <c r="F1059" s="8">
        <v>97.0</v>
      </c>
      <c r="G1059" s="1" t="s">
        <v>328</v>
      </c>
      <c r="H1059" s="1" t="str">
        <f t="shared" si="1"/>
        <v>Sterling</v>
      </c>
      <c r="I1059" s="1" t="str">
        <f t="shared" si="2"/>
        <v>Shepard</v>
      </c>
      <c r="J1059" s="1" t="str">
        <f t="shared" si="3"/>
        <v>#N/A</v>
      </c>
      <c r="K1059" s="1" t="str">
        <f>IFERROR(VLOOKUP($J1059,Players!$D:$E,2,FALSE),VLOOKUP($G1059,Players!A:E,5,FALSE))</f>
        <v>WR</v>
      </c>
    </row>
    <row r="1060" ht="15.75" customHeight="1">
      <c r="A1060" s="1">
        <v>2016.0</v>
      </c>
      <c r="B1060" s="1" t="s">
        <v>28</v>
      </c>
      <c r="C1060" s="1" t="s">
        <v>12</v>
      </c>
      <c r="D1060" s="1">
        <v>5.0</v>
      </c>
      <c r="E1060" s="8">
        <v>10.0</v>
      </c>
      <c r="F1060" s="8">
        <v>120.0</v>
      </c>
      <c r="G1060" s="1" t="s">
        <v>1731</v>
      </c>
      <c r="H1060" s="1" t="str">
        <f t="shared" si="1"/>
        <v>Julius</v>
      </c>
      <c r="I1060" s="1" t="str">
        <f t="shared" si="2"/>
        <v>Thomas</v>
      </c>
      <c r="J1060" s="1" t="str">
        <f t="shared" si="3"/>
        <v>#N/A</v>
      </c>
      <c r="K1060" s="1" t="str">
        <f>IFERROR(VLOOKUP($J1060,Players!$D:$E,2,FALSE),VLOOKUP($G1060,Players!A:E,5,FALSE))</f>
        <v>TE</v>
      </c>
    </row>
    <row r="1061" ht="15.75" customHeight="1">
      <c r="A1061" s="1">
        <v>2016.0</v>
      </c>
      <c r="B1061" s="1" t="s">
        <v>28</v>
      </c>
      <c r="C1061" s="1" t="s">
        <v>12</v>
      </c>
      <c r="D1061" s="1">
        <v>5.0</v>
      </c>
      <c r="E1061" s="8">
        <v>11.0</v>
      </c>
      <c r="F1061" s="8">
        <v>121.0</v>
      </c>
      <c r="G1061" s="1" t="s">
        <v>368</v>
      </c>
      <c r="H1061" s="1" t="str">
        <f t="shared" si="1"/>
        <v>#VALUE!</v>
      </c>
      <c r="I1061" s="1" t="str">
        <f t="shared" si="2"/>
        <v>#VALUE!</v>
      </c>
      <c r="J1061" s="1" t="str">
        <f t="shared" si="3"/>
        <v>#N/A</v>
      </c>
      <c r="K1061" s="1" t="str">
        <f>IFERROR(VLOOKUP($J1061,Players!$D:$E,2,FALSE),VLOOKUP($G1061,Players!A:E,5,FALSE))</f>
        <v>DEF</v>
      </c>
    </row>
    <row r="1062" ht="15.75" customHeight="1">
      <c r="A1062" s="1">
        <v>2016.0</v>
      </c>
      <c r="B1062" s="1" t="s">
        <v>28</v>
      </c>
      <c r="C1062" s="1" t="s">
        <v>12</v>
      </c>
      <c r="D1062" s="1">
        <v>5.0</v>
      </c>
      <c r="E1062" s="8">
        <v>12.0</v>
      </c>
      <c r="F1062" s="8">
        <v>144.0</v>
      </c>
      <c r="G1062" s="1" t="s">
        <v>1403</v>
      </c>
      <c r="H1062" s="1" t="str">
        <f t="shared" si="1"/>
        <v>Mason</v>
      </c>
      <c r="I1062" s="1" t="str">
        <f t="shared" si="2"/>
        <v>Crosby</v>
      </c>
      <c r="J1062" s="1" t="str">
        <f t="shared" si="3"/>
        <v>#N/A</v>
      </c>
      <c r="K1062" s="1" t="str">
        <f>IFERROR(VLOOKUP($J1062,Players!$D:$E,2,FALSE),VLOOKUP($G1062,Players!A:E,5,FALSE))</f>
        <v>K</v>
      </c>
    </row>
    <row r="1063" ht="15.75" customHeight="1">
      <c r="A1063" s="1">
        <v>2016.0</v>
      </c>
      <c r="B1063" s="1" t="s">
        <v>28</v>
      </c>
      <c r="C1063" s="1" t="s">
        <v>12</v>
      </c>
      <c r="D1063" s="1">
        <v>5.0</v>
      </c>
      <c r="E1063" s="8">
        <v>13.0</v>
      </c>
      <c r="F1063" s="8">
        <v>145.0</v>
      </c>
      <c r="G1063" s="1" t="s">
        <v>888</v>
      </c>
      <c r="H1063" s="1" t="str">
        <f t="shared" si="1"/>
        <v>Corey</v>
      </c>
      <c r="I1063" s="1" t="str">
        <f t="shared" si="2"/>
        <v>Coleman</v>
      </c>
      <c r="J1063" s="1" t="str">
        <f t="shared" si="3"/>
        <v>#N/A</v>
      </c>
      <c r="K1063" s="1" t="str">
        <f>IFERROR(VLOOKUP($J1063,Players!$D:$E,2,FALSE),VLOOKUP($G1063,Players!A:E,5,FALSE))</f>
        <v>WR</v>
      </c>
    </row>
    <row r="1064" ht="15.75" customHeight="1">
      <c r="A1064" s="1">
        <v>2016.0</v>
      </c>
      <c r="B1064" s="1" t="s">
        <v>28</v>
      </c>
      <c r="C1064" s="1" t="s">
        <v>12</v>
      </c>
      <c r="D1064" s="1">
        <v>5.0</v>
      </c>
      <c r="E1064" s="8">
        <v>14.0</v>
      </c>
      <c r="F1064" s="8">
        <v>168.0</v>
      </c>
      <c r="G1064" s="1" t="s">
        <v>366</v>
      </c>
      <c r="H1064" s="1" t="str">
        <f t="shared" si="1"/>
        <v>Matthew</v>
      </c>
      <c r="I1064" s="1" t="str">
        <f t="shared" si="2"/>
        <v>Stafford</v>
      </c>
      <c r="J1064" s="1" t="str">
        <f t="shared" si="3"/>
        <v>#N/A</v>
      </c>
      <c r="K1064" s="1" t="str">
        <f>IFERROR(VLOOKUP($J1064,Players!$D:$E,2,FALSE),VLOOKUP($G1064,Players!A:E,5,FALSE))</f>
        <v>QB</v>
      </c>
    </row>
    <row r="1065" ht="15.75" customHeight="1">
      <c r="A1065" s="1">
        <v>2016.0</v>
      </c>
      <c r="B1065" s="1" t="s">
        <v>28</v>
      </c>
      <c r="C1065" s="1" t="s">
        <v>12</v>
      </c>
      <c r="D1065" s="1">
        <v>5.0</v>
      </c>
      <c r="E1065" s="8">
        <v>15.0</v>
      </c>
      <c r="F1065" s="8">
        <v>169.0</v>
      </c>
      <c r="G1065" s="1" t="s">
        <v>2048</v>
      </c>
      <c r="H1065" s="1" t="str">
        <f t="shared" si="1"/>
        <v>Theo</v>
      </c>
      <c r="I1065" s="1" t="str">
        <f t="shared" si="2"/>
        <v>Riddick</v>
      </c>
      <c r="J1065" s="1" t="str">
        <f t="shared" si="3"/>
        <v>#N/A</v>
      </c>
      <c r="K1065" s="1" t="str">
        <f>IFERROR(VLOOKUP($J1065,Players!$D:$E,2,FALSE),VLOOKUP($G1065,Players!A:E,5,FALSE))</f>
        <v>#N/A</v>
      </c>
    </row>
    <row r="1066" ht="15.75" customHeight="1">
      <c r="A1066" s="1">
        <v>2016.0</v>
      </c>
      <c r="B1066" s="1" t="s">
        <v>36</v>
      </c>
      <c r="C1066" s="1" t="s">
        <v>17</v>
      </c>
      <c r="D1066" s="1">
        <v>7.0</v>
      </c>
      <c r="E1066" s="8">
        <v>1.0</v>
      </c>
      <c r="F1066" s="8">
        <v>3.0</v>
      </c>
      <c r="G1066" s="1" t="s">
        <v>133</v>
      </c>
      <c r="H1066" s="1" t="str">
        <f t="shared" si="1"/>
        <v>David</v>
      </c>
      <c r="I1066" s="1" t="str">
        <f t="shared" si="2"/>
        <v>Johnson</v>
      </c>
      <c r="J1066" s="1" t="str">
        <f t="shared" si="3"/>
        <v>#N/A</v>
      </c>
      <c r="K1066" s="1" t="str">
        <f>IFERROR(VLOOKUP($J1066,Players!$D:$E,2,FALSE),VLOOKUP($G1066,Players!A:E,5,FALSE))</f>
        <v>RB</v>
      </c>
    </row>
    <row r="1067" ht="15.75" customHeight="1">
      <c r="A1067" s="1">
        <v>2016.0</v>
      </c>
      <c r="B1067" s="1" t="s">
        <v>36</v>
      </c>
      <c r="C1067" s="1" t="s">
        <v>17</v>
      </c>
      <c r="D1067" s="1">
        <v>7.0</v>
      </c>
      <c r="E1067" s="8">
        <v>2.0</v>
      </c>
      <c r="F1067" s="8">
        <v>22.0</v>
      </c>
      <c r="G1067" s="1" t="s">
        <v>80</v>
      </c>
      <c r="H1067" s="1" t="str">
        <f t="shared" si="1"/>
        <v>Keenan</v>
      </c>
      <c r="I1067" s="1" t="str">
        <f t="shared" si="2"/>
        <v>Allen</v>
      </c>
      <c r="J1067" s="1" t="str">
        <f t="shared" si="3"/>
        <v>#N/A</v>
      </c>
      <c r="K1067" s="1" t="str">
        <f>IFERROR(VLOOKUP($J1067,Players!$D:$E,2,FALSE),VLOOKUP($G1067,Players!A:E,5,FALSE))</f>
        <v>WR</v>
      </c>
    </row>
    <row r="1068" ht="15.75" customHeight="1">
      <c r="A1068" s="1">
        <v>2016.0</v>
      </c>
      <c r="B1068" s="1" t="s">
        <v>36</v>
      </c>
      <c r="C1068" s="1" t="s">
        <v>17</v>
      </c>
      <c r="D1068" s="1">
        <v>7.0</v>
      </c>
      <c r="E1068" s="8">
        <v>3.0</v>
      </c>
      <c r="F1068" s="8">
        <v>27.0</v>
      </c>
      <c r="G1068" s="1" t="s">
        <v>263</v>
      </c>
      <c r="H1068" s="1" t="str">
        <f t="shared" si="1"/>
        <v>Amari</v>
      </c>
      <c r="I1068" s="1" t="str">
        <f t="shared" si="2"/>
        <v>Cooper</v>
      </c>
      <c r="J1068" s="1" t="str">
        <f t="shared" si="3"/>
        <v>#N/A</v>
      </c>
      <c r="K1068" s="1" t="str">
        <f>IFERROR(VLOOKUP($J1068,Players!$D:$E,2,FALSE),VLOOKUP($G1068,Players!A:E,5,FALSE))</f>
        <v>WR</v>
      </c>
    </row>
    <row r="1069" ht="15.75" customHeight="1">
      <c r="A1069" s="1">
        <v>2016.0</v>
      </c>
      <c r="B1069" s="1" t="s">
        <v>36</v>
      </c>
      <c r="C1069" s="1" t="s">
        <v>17</v>
      </c>
      <c r="D1069" s="1">
        <v>7.0</v>
      </c>
      <c r="E1069" s="8">
        <v>4.0</v>
      </c>
      <c r="F1069" s="8">
        <v>46.0</v>
      </c>
      <c r="G1069" s="1" t="s">
        <v>2056</v>
      </c>
      <c r="H1069" s="1" t="str">
        <f t="shared" si="1"/>
        <v>Thomas</v>
      </c>
      <c r="I1069" s="1" t="str">
        <f t="shared" si="2"/>
        <v>Rawls</v>
      </c>
      <c r="J1069" s="1" t="str">
        <f t="shared" si="3"/>
        <v>#N/A</v>
      </c>
      <c r="K1069" s="1" t="str">
        <f>IFERROR(VLOOKUP($J1069,Players!$D:$E,2,FALSE),VLOOKUP($G1069,Players!A:E,5,FALSE))</f>
        <v>RB</v>
      </c>
    </row>
    <row r="1070" ht="15.75" customHeight="1">
      <c r="A1070" s="1">
        <v>2016.0</v>
      </c>
      <c r="B1070" s="1" t="s">
        <v>36</v>
      </c>
      <c r="C1070" s="1" t="s">
        <v>17</v>
      </c>
      <c r="D1070" s="1">
        <v>7.0</v>
      </c>
      <c r="E1070" s="8">
        <v>5.0</v>
      </c>
      <c r="F1070" s="8">
        <v>51.0</v>
      </c>
      <c r="G1070" s="1" t="s">
        <v>299</v>
      </c>
      <c r="H1070" s="1" t="str">
        <f t="shared" si="1"/>
        <v>Andrew</v>
      </c>
      <c r="I1070" s="1" t="str">
        <f t="shared" si="2"/>
        <v>Luck</v>
      </c>
      <c r="J1070" s="1" t="str">
        <f t="shared" si="3"/>
        <v>#N/A</v>
      </c>
      <c r="K1070" s="1" t="str">
        <f>IFERROR(VLOOKUP($J1070,Players!$D:$E,2,FALSE),VLOOKUP($G1070,Players!A:E,5,FALSE))</f>
        <v>QB</v>
      </c>
    </row>
    <row r="1071" ht="15.75" customHeight="1">
      <c r="A1071" s="1">
        <v>2016.0</v>
      </c>
      <c r="B1071" s="1" t="s">
        <v>36</v>
      </c>
      <c r="C1071" s="1" t="s">
        <v>17</v>
      </c>
      <c r="D1071" s="1">
        <v>7.0</v>
      </c>
      <c r="E1071" s="8">
        <v>6.0</v>
      </c>
      <c r="F1071" s="8">
        <v>70.0</v>
      </c>
      <c r="G1071" s="1" t="s">
        <v>840</v>
      </c>
      <c r="H1071" s="1" t="str">
        <f t="shared" si="1"/>
        <v>Coby</v>
      </c>
      <c r="I1071" s="1" t="str">
        <f t="shared" si="2"/>
        <v>Fleener</v>
      </c>
      <c r="J1071" s="1" t="str">
        <f t="shared" si="3"/>
        <v>#N/A</v>
      </c>
      <c r="K1071" s="1" t="str">
        <f>IFERROR(VLOOKUP($J1071,Players!$D:$E,2,FALSE),VLOOKUP($G1071,Players!A:E,5,FALSE))</f>
        <v>TE</v>
      </c>
    </row>
    <row r="1072" ht="15.75" customHeight="1">
      <c r="A1072" s="1">
        <v>2016.0</v>
      </c>
      <c r="B1072" s="1" t="s">
        <v>36</v>
      </c>
      <c r="C1072" s="1" t="s">
        <v>17</v>
      </c>
      <c r="D1072" s="1">
        <v>7.0</v>
      </c>
      <c r="E1072" s="8">
        <v>7.0</v>
      </c>
      <c r="F1072" s="8">
        <v>75.0</v>
      </c>
      <c r="G1072" s="1" t="s">
        <v>701</v>
      </c>
      <c r="H1072" s="1" t="str">
        <f t="shared" si="1"/>
        <v>DeSean</v>
      </c>
      <c r="I1072" s="1" t="str">
        <f t="shared" si="2"/>
        <v>Jackson</v>
      </c>
      <c r="J1072" s="1" t="str">
        <f t="shared" si="3"/>
        <v>#N/A</v>
      </c>
      <c r="K1072" s="1" t="str">
        <f>IFERROR(VLOOKUP($J1072,Players!$D:$E,2,FALSE),VLOOKUP($G1072,Players!A:E,5,FALSE))</f>
        <v>WR</v>
      </c>
    </row>
    <row r="1073" ht="15.75" customHeight="1">
      <c r="A1073" s="1">
        <v>2016.0</v>
      </c>
      <c r="B1073" s="1" t="s">
        <v>36</v>
      </c>
      <c r="C1073" s="1" t="s">
        <v>17</v>
      </c>
      <c r="D1073" s="1">
        <v>7.0</v>
      </c>
      <c r="E1073" s="8">
        <v>8.0</v>
      </c>
      <c r="F1073" s="8">
        <v>94.0</v>
      </c>
      <c r="G1073" s="1" t="s">
        <v>105</v>
      </c>
      <c r="H1073" s="1" t="str">
        <f t="shared" si="1"/>
        <v>#VALUE!</v>
      </c>
      <c r="I1073" s="1" t="str">
        <f t="shared" si="2"/>
        <v>#VALUE!</v>
      </c>
      <c r="J1073" s="1" t="str">
        <f t="shared" si="3"/>
        <v>#N/A</v>
      </c>
      <c r="K1073" s="1" t="str">
        <f>IFERROR(VLOOKUP($J1073,Players!$D:$E,2,FALSE),VLOOKUP($G1073,Players!A:E,5,FALSE))</f>
        <v>DEF</v>
      </c>
    </row>
    <row r="1074" ht="15.75" customHeight="1">
      <c r="A1074" s="1">
        <v>2016.0</v>
      </c>
      <c r="B1074" s="1" t="s">
        <v>36</v>
      </c>
      <c r="C1074" s="1" t="s">
        <v>17</v>
      </c>
      <c r="D1074" s="1">
        <v>7.0</v>
      </c>
      <c r="E1074" s="8">
        <v>9.0</v>
      </c>
      <c r="F1074" s="8">
        <v>99.0</v>
      </c>
      <c r="G1074" s="1" t="s">
        <v>2003</v>
      </c>
      <c r="H1074" s="1" t="str">
        <f t="shared" si="1"/>
        <v>Kamar</v>
      </c>
      <c r="I1074" s="1" t="str">
        <f t="shared" si="2"/>
        <v>Aiken</v>
      </c>
      <c r="J1074" s="1" t="str">
        <f t="shared" si="3"/>
        <v>#N/A</v>
      </c>
      <c r="K1074" s="1" t="str">
        <f>IFERROR(VLOOKUP($J1074,Players!$D:$E,2,FALSE),VLOOKUP($G1074,Players!A:E,5,FALSE))</f>
        <v>WR</v>
      </c>
    </row>
    <row r="1075" ht="15.75" customHeight="1">
      <c r="A1075" s="1">
        <v>2016.0</v>
      </c>
      <c r="B1075" s="1" t="s">
        <v>36</v>
      </c>
      <c r="C1075" s="1" t="s">
        <v>17</v>
      </c>
      <c r="D1075" s="1">
        <v>7.0</v>
      </c>
      <c r="E1075" s="8">
        <v>10.0</v>
      </c>
      <c r="F1075" s="8">
        <v>118.0</v>
      </c>
      <c r="G1075" s="1" t="s">
        <v>1961</v>
      </c>
      <c r="H1075" s="1" t="str">
        <f t="shared" si="1"/>
        <v>Justin</v>
      </c>
      <c r="I1075" s="1" t="str">
        <f t="shared" si="2"/>
        <v>Forsett</v>
      </c>
      <c r="J1075" s="1" t="str">
        <f t="shared" si="3"/>
        <v>#N/A</v>
      </c>
      <c r="K1075" s="1" t="str">
        <f>IFERROR(VLOOKUP($J1075,Players!$D:$E,2,FALSE),VLOOKUP($G1075,Players!A:E,5,FALSE))</f>
        <v>RB</v>
      </c>
    </row>
    <row r="1076" ht="15.75" customHeight="1">
      <c r="A1076" s="1">
        <v>2016.0</v>
      </c>
      <c r="B1076" s="1" t="s">
        <v>36</v>
      </c>
      <c r="C1076" s="1" t="s">
        <v>17</v>
      </c>
      <c r="D1076" s="1">
        <v>7.0</v>
      </c>
      <c r="E1076" s="8">
        <v>11.0</v>
      </c>
      <c r="F1076" s="8">
        <v>123.0</v>
      </c>
      <c r="G1076" s="1" t="s">
        <v>694</v>
      </c>
      <c r="H1076" s="1" t="str">
        <f t="shared" si="1"/>
        <v>Jared</v>
      </c>
      <c r="I1076" s="1" t="str">
        <f t="shared" si="2"/>
        <v>Cook</v>
      </c>
      <c r="J1076" s="1" t="str">
        <f t="shared" si="3"/>
        <v>#N/A</v>
      </c>
      <c r="K1076" s="1" t="str">
        <f>IFERROR(VLOOKUP($J1076,Players!$D:$E,2,FALSE),VLOOKUP($G1076,Players!A:E,5,FALSE))</f>
        <v>TE</v>
      </c>
    </row>
    <row r="1077" ht="15.75" customHeight="1">
      <c r="A1077" s="1">
        <v>2016.0</v>
      </c>
      <c r="B1077" s="1" t="s">
        <v>36</v>
      </c>
      <c r="C1077" s="1" t="s">
        <v>17</v>
      </c>
      <c r="D1077" s="1">
        <v>7.0</v>
      </c>
      <c r="E1077" s="8">
        <v>12.0</v>
      </c>
      <c r="F1077" s="8">
        <v>142.0</v>
      </c>
      <c r="G1077" s="1" t="s">
        <v>190</v>
      </c>
      <c r="H1077" s="1" t="str">
        <f t="shared" si="1"/>
        <v>Justin</v>
      </c>
      <c r="I1077" s="1" t="str">
        <f t="shared" si="2"/>
        <v>Tucker</v>
      </c>
      <c r="J1077" s="1" t="str">
        <f t="shared" si="3"/>
        <v>#N/A</v>
      </c>
      <c r="K1077" s="1" t="str">
        <f>IFERROR(VLOOKUP($J1077,Players!$D:$E,2,FALSE),VLOOKUP($G1077,Players!A:E,5,FALSE))</f>
        <v>K</v>
      </c>
    </row>
    <row r="1078" ht="15.75" customHeight="1">
      <c r="A1078" s="1">
        <v>2016.0</v>
      </c>
      <c r="B1078" s="1" t="s">
        <v>36</v>
      </c>
      <c r="C1078" s="1" t="s">
        <v>17</v>
      </c>
      <c r="D1078" s="1">
        <v>7.0</v>
      </c>
      <c r="E1078" s="8">
        <v>13.0</v>
      </c>
      <c r="F1078" s="8">
        <v>147.0</v>
      </c>
      <c r="G1078" s="1" t="s">
        <v>306</v>
      </c>
      <c r="H1078" s="1" t="str">
        <f t="shared" si="1"/>
        <v>Dak</v>
      </c>
      <c r="I1078" s="1" t="str">
        <f t="shared" si="2"/>
        <v>Prescott</v>
      </c>
      <c r="J1078" s="1" t="str">
        <f t="shared" si="3"/>
        <v>#N/A</v>
      </c>
      <c r="K1078" s="1" t="str">
        <f>IFERROR(VLOOKUP($J1078,Players!$D:$E,2,FALSE),VLOOKUP($G1078,Players!A:E,5,FALSE))</f>
        <v>QB</v>
      </c>
    </row>
    <row r="1079" ht="15.75" customHeight="1">
      <c r="A1079" s="1">
        <v>2016.0</v>
      </c>
      <c r="B1079" s="1" t="s">
        <v>36</v>
      </c>
      <c r="C1079" s="1" t="s">
        <v>17</v>
      </c>
      <c r="D1079" s="1">
        <v>7.0</v>
      </c>
      <c r="E1079" s="8">
        <v>14.0</v>
      </c>
      <c r="F1079" s="8">
        <v>166.0</v>
      </c>
      <c r="G1079" s="1" t="s">
        <v>1553</v>
      </c>
      <c r="H1079" s="1" t="str">
        <f t="shared" si="1"/>
        <v>Terrelle</v>
      </c>
      <c r="I1079" s="1" t="str">
        <f t="shared" si="2"/>
        <v>Pryor Sr</v>
      </c>
      <c r="J1079" s="1" t="str">
        <f t="shared" si="3"/>
        <v>#N/A</v>
      </c>
      <c r="K1079" s="1" t="str">
        <f>IFERROR(VLOOKUP($J1079,Players!$D:$E,2,FALSE),VLOOKUP($G1079,Players!A:E,5,FALSE))</f>
        <v>#N/A</v>
      </c>
    </row>
    <row r="1080" ht="15.75" customHeight="1">
      <c r="A1080" s="1">
        <v>2016.0</v>
      </c>
      <c r="B1080" s="1" t="s">
        <v>36</v>
      </c>
      <c r="C1080" s="1" t="s">
        <v>17</v>
      </c>
      <c r="D1080" s="1">
        <v>7.0</v>
      </c>
      <c r="E1080" s="8">
        <v>15.0</v>
      </c>
      <c r="F1080" s="8">
        <v>171.0</v>
      </c>
      <c r="G1080" s="1" t="s">
        <v>369</v>
      </c>
      <c r="H1080" s="1" t="str">
        <f t="shared" si="1"/>
        <v>New</v>
      </c>
      <c r="I1080" s="1" t="str">
        <f t="shared" si="2"/>
        <v>England</v>
      </c>
      <c r="J1080" s="1" t="str">
        <f t="shared" si="3"/>
        <v>#N/A</v>
      </c>
      <c r="K1080" s="1" t="str">
        <f>IFERROR(VLOOKUP($J1080,Players!$D:$E,2,FALSE),VLOOKUP($G1080,Players!A:E,5,FALSE))</f>
        <v>DEF</v>
      </c>
    </row>
  </sheetData>
  <autoFilter ref="$A$1:$K$1"/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5.78"/>
    <col customWidth="1" min="2" max="2" width="11.78"/>
    <col customWidth="1" min="3" max="3" width="17.78"/>
    <col customWidth="1" min="4" max="4" width="25.78"/>
    <col customWidth="1" min="5" max="5" width="11.89"/>
    <col customWidth="1" min="6" max="26" width="9.11"/>
  </cols>
  <sheetData>
    <row r="1" ht="15.75" customHeight="1">
      <c r="A1" s="12" t="s">
        <v>74</v>
      </c>
      <c r="B1" s="12" t="s">
        <v>75</v>
      </c>
      <c r="C1" s="12" t="s">
        <v>76</v>
      </c>
      <c r="D1" s="12" t="s">
        <v>138</v>
      </c>
      <c r="E1" s="12" t="s">
        <v>56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" t="s">
        <v>140</v>
      </c>
      <c r="B2" s="13" t="str">
        <f t="shared" ref="B2:B2986" si="1">TRIM(SUBSTITUTE(LEFT($A2,(FIND(" ",$A2,1)-1)),".",""))</f>
        <v>AC</v>
      </c>
      <c r="C2" s="13" t="str">
        <f t="shared" ref="C2:C2986" si="2">TRIM(SUBSTITUTE(MID($A2,FIND(" ",$A2)+1,256),".",""))</f>
        <v>Leonard</v>
      </c>
      <c r="D2" s="13" t="str">
        <f t="shared" ref="D2:D2986" si="3">TRIM(CONCAT($B2," ",IF(RIGHT($C2,2)="FA",SUBSTITUTE($C2,"FA",""),IF(RIGHT($C2,2)="Sr",SUBSTITUTE($C2,"Sr",""),IF(RIGHT($C2,2)="Jr",SUBSTITUTE($C2,"Jr",""),IF(RIGHT($C2,3)="III",SUBSTITUTE($C2,"III",""),IF(RIGHT($C2,2)="IV",SUBSTITUTE($C2,"IV",""),IF(RIGHT($C2,2)=" V",SUBSTITUTE($C2," V",""),IF(RIGHT($C2,3)=" II",SUBSTITUTE($C2," II",""),$C2)))))))))</f>
        <v>#N/A</v>
      </c>
      <c r="E2" s="1" t="s">
        <v>68</v>
      </c>
    </row>
    <row r="3" ht="15.75" customHeight="1">
      <c r="A3" s="1" t="s">
        <v>141</v>
      </c>
      <c r="B3" s="13" t="str">
        <f t="shared" si="1"/>
        <v>AJ</v>
      </c>
      <c r="C3" s="13" t="str">
        <f t="shared" si="2"/>
        <v>Brown</v>
      </c>
      <c r="D3" s="13" t="str">
        <f t="shared" si="3"/>
        <v>#N/A</v>
      </c>
      <c r="E3" s="1" t="s">
        <v>69</v>
      </c>
    </row>
    <row r="4" ht="15.75" customHeight="1">
      <c r="A4" s="1" t="s">
        <v>149</v>
      </c>
      <c r="B4" s="13" t="str">
        <f t="shared" si="1"/>
        <v>AJ</v>
      </c>
      <c r="C4" s="13" t="str">
        <f t="shared" si="2"/>
        <v>Derby</v>
      </c>
      <c r="D4" s="13" t="str">
        <f t="shared" si="3"/>
        <v>#N/A</v>
      </c>
      <c r="E4" s="1" t="s">
        <v>68</v>
      </c>
    </row>
    <row r="5" ht="15.75" customHeight="1">
      <c r="A5" s="1" t="s">
        <v>151</v>
      </c>
      <c r="B5" s="13" t="str">
        <f t="shared" si="1"/>
        <v>AJ</v>
      </c>
      <c r="C5" s="13" t="str">
        <f t="shared" si="2"/>
        <v>Dillon</v>
      </c>
      <c r="D5" s="13" t="str">
        <f t="shared" si="3"/>
        <v>#N/A</v>
      </c>
      <c r="E5" s="1" t="s">
        <v>66</v>
      </c>
    </row>
    <row r="6" ht="15.75" customHeight="1">
      <c r="A6" s="1" t="s">
        <v>152</v>
      </c>
      <c r="B6" s="13" t="str">
        <f t="shared" si="1"/>
        <v>AJ</v>
      </c>
      <c r="C6" s="13" t="str">
        <f t="shared" si="2"/>
        <v>Green</v>
      </c>
      <c r="D6" s="13" t="str">
        <f t="shared" si="3"/>
        <v>#N/A</v>
      </c>
      <c r="E6" s="1" t="s">
        <v>69</v>
      </c>
    </row>
    <row r="7" ht="15.75" customHeight="1">
      <c r="A7" s="1" t="s">
        <v>153</v>
      </c>
      <c r="B7" s="13" t="str">
        <f t="shared" si="1"/>
        <v>AJ</v>
      </c>
      <c r="C7" s="13" t="str">
        <f t="shared" si="2"/>
        <v>Jenkins</v>
      </c>
      <c r="D7" s="13" t="str">
        <f t="shared" si="3"/>
        <v>#N/A</v>
      </c>
      <c r="E7" s="1" t="s">
        <v>69</v>
      </c>
    </row>
    <row r="8" ht="15.75" customHeight="1">
      <c r="A8" s="1" t="s">
        <v>155</v>
      </c>
      <c r="B8" s="13" t="str">
        <f t="shared" si="1"/>
        <v>AJ</v>
      </c>
      <c r="C8" s="13" t="str">
        <f t="shared" si="2"/>
        <v>McCarron</v>
      </c>
      <c r="D8" s="13" t="str">
        <f t="shared" si="3"/>
        <v>#N/A</v>
      </c>
      <c r="E8" s="1" t="s">
        <v>65</v>
      </c>
    </row>
    <row r="9" ht="15.75" customHeight="1">
      <c r="A9" s="1" t="s">
        <v>156</v>
      </c>
      <c r="B9" s="13" t="str">
        <f t="shared" si="1"/>
        <v>AJ</v>
      </c>
      <c r="C9" s="13" t="str">
        <f t="shared" si="2"/>
        <v>Richardson</v>
      </c>
      <c r="D9" s="13" t="str">
        <f t="shared" si="3"/>
        <v>#N/A</v>
      </c>
      <c r="E9" s="1" t="s">
        <v>69</v>
      </c>
    </row>
    <row r="10" ht="15.75" customHeight="1">
      <c r="A10" s="1" t="s">
        <v>158</v>
      </c>
      <c r="B10" s="13" t="str">
        <f t="shared" si="1"/>
        <v>AT</v>
      </c>
      <c r="C10" s="13" t="str">
        <f t="shared" si="2"/>
        <v>Perry</v>
      </c>
      <c r="D10" s="13" t="str">
        <f t="shared" si="3"/>
        <v>#N/A</v>
      </c>
      <c r="E10" s="1" t="s">
        <v>69</v>
      </c>
    </row>
    <row r="11" ht="15.75" customHeight="1">
      <c r="A11" s="1" t="s">
        <v>159</v>
      </c>
      <c r="B11" s="13" t="str">
        <f t="shared" si="1"/>
        <v>Aaron</v>
      </c>
      <c r="C11" s="13" t="str">
        <f t="shared" si="2"/>
        <v>Burbridge</v>
      </c>
      <c r="D11" s="13" t="str">
        <f t="shared" si="3"/>
        <v>#N/A</v>
      </c>
      <c r="E11" s="1" t="s">
        <v>69</v>
      </c>
    </row>
    <row r="12" ht="15.75" customHeight="1">
      <c r="A12" s="1" t="s">
        <v>161</v>
      </c>
      <c r="B12" s="13" t="str">
        <f t="shared" si="1"/>
        <v>Aaron</v>
      </c>
      <c r="C12" s="13" t="str">
        <f t="shared" si="2"/>
        <v>Dobson</v>
      </c>
      <c r="D12" s="13" t="str">
        <f t="shared" si="3"/>
        <v>#N/A</v>
      </c>
      <c r="E12" s="1" t="s">
        <v>69</v>
      </c>
    </row>
    <row r="13" ht="15.75" customHeight="1">
      <c r="A13" s="1" t="s">
        <v>163</v>
      </c>
      <c r="B13" s="13" t="str">
        <f t="shared" si="1"/>
        <v>Aaron</v>
      </c>
      <c r="C13" s="13" t="str">
        <f t="shared" si="2"/>
        <v>Dumas</v>
      </c>
      <c r="D13" s="13" t="str">
        <f t="shared" si="3"/>
        <v>#N/A</v>
      </c>
      <c r="E13" s="1" t="s">
        <v>66</v>
      </c>
    </row>
    <row r="14" ht="15.75" customHeight="1">
      <c r="A14" s="1" t="s">
        <v>164</v>
      </c>
      <c r="B14" s="13" t="str">
        <f t="shared" si="1"/>
        <v>Aaron</v>
      </c>
      <c r="C14" s="13" t="str">
        <f t="shared" si="2"/>
        <v>Fuller</v>
      </c>
      <c r="D14" s="13" t="str">
        <f t="shared" si="3"/>
        <v>#N/A</v>
      </c>
      <c r="E14" s="1" t="s">
        <v>69</v>
      </c>
    </row>
    <row r="15" ht="15.75" customHeight="1">
      <c r="A15" s="1" t="s">
        <v>166</v>
      </c>
      <c r="B15" s="13" t="str">
        <f t="shared" si="1"/>
        <v>Aaron</v>
      </c>
      <c r="C15" s="13" t="str">
        <f t="shared" si="2"/>
        <v>Green</v>
      </c>
      <c r="D15" s="13" t="str">
        <f t="shared" si="3"/>
        <v>#N/A</v>
      </c>
      <c r="E15" s="1" t="s">
        <v>66</v>
      </c>
    </row>
    <row r="16" ht="15.75" customHeight="1">
      <c r="A16" s="1" t="s">
        <v>167</v>
      </c>
      <c r="B16" s="13" t="str">
        <f t="shared" si="1"/>
        <v>Aaron</v>
      </c>
      <c r="C16" s="13" t="str">
        <f t="shared" si="2"/>
        <v>Jones</v>
      </c>
      <c r="D16" s="13" t="str">
        <f t="shared" si="3"/>
        <v>#N/A</v>
      </c>
      <c r="E16" s="1" t="s">
        <v>66</v>
      </c>
    </row>
    <row r="17" ht="15.75" customHeight="1">
      <c r="A17" s="1" t="s">
        <v>169</v>
      </c>
      <c r="B17" s="13" t="str">
        <f t="shared" si="1"/>
        <v>Aaron</v>
      </c>
      <c r="C17" s="13" t="str">
        <f t="shared" si="2"/>
        <v>Mellette</v>
      </c>
      <c r="D17" s="13" t="str">
        <f t="shared" si="3"/>
        <v>#N/A</v>
      </c>
      <c r="E17" s="1" t="s">
        <v>69</v>
      </c>
    </row>
    <row r="18" ht="15.75" customHeight="1">
      <c r="A18" s="1" t="s">
        <v>171</v>
      </c>
      <c r="B18" s="13" t="str">
        <f t="shared" si="1"/>
        <v>Aaron</v>
      </c>
      <c r="C18" s="13" t="str">
        <f t="shared" si="2"/>
        <v>Murray</v>
      </c>
      <c r="D18" s="13" t="str">
        <f t="shared" si="3"/>
        <v>#N/A</v>
      </c>
      <c r="E18" s="1" t="s">
        <v>65</v>
      </c>
    </row>
    <row r="19" ht="15.75" customHeight="1">
      <c r="A19" s="1" t="s">
        <v>172</v>
      </c>
      <c r="B19" s="13" t="str">
        <f t="shared" si="1"/>
        <v>Aaron</v>
      </c>
      <c r="C19" s="13" t="str">
        <f t="shared" si="2"/>
        <v>Parker</v>
      </c>
      <c r="D19" s="13" t="str">
        <f t="shared" si="3"/>
        <v>#N/A</v>
      </c>
      <c r="E19" s="1" t="s">
        <v>69</v>
      </c>
    </row>
    <row r="20" ht="15.75" customHeight="1">
      <c r="A20" s="1" t="s">
        <v>174</v>
      </c>
      <c r="B20" s="13" t="str">
        <f t="shared" si="1"/>
        <v>Aaron</v>
      </c>
      <c r="C20" s="13" t="str">
        <f t="shared" si="2"/>
        <v>Ripkowski</v>
      </c>
      <c r="D20" s="13" t="str">
        <f t="shared" si="3"/>
        <v>#N/A</v>
      </c>
      <c r="E20" s="1" t="s">
        <v>66</v>
      </c>
    </row>
    <row r="21" ht="15.75" customHeight="1">
      <c r="A21" s="1" t="s">
        <v>176</v>
      </c>
      <c r="B21" s="13" t="str">
        <f t="shared" si="1"/>
        <v>Aaron</v>
      </c>
      <c r="C21" s="13" t="str">
        <f t="shared" si="2"/>
        <v>Rodgers</v>
      </c>
      <c r="D21" s="13" t="str">
        <f t="shared" si="3"/>
        <v>#N/A</v>
      </c>
      <c r="E21" s="1" t="s">
        <v>65</v>
      </c>
    </row>
    <row r="22" ht="15.75" customHeight="1">
      <c r="A22" s="1" t="s">
        <v>177</v>
      </c>
      <c r="B22" s="13" t="str">
        <f t="shared" si="1"/>
        <v>Abram</v>
      </c>
      <c r="C22" s="13" t="str">
        <f t="shared" si="2"/>
        <v>Smith</v>
      </c>
      <c r="D22" s="13" t="str">
        <f t="shared" si="3"/>
        <v>#N/A</v>
      </c>
      <c r="E22" s="1" t="s">
        <v>66</v>
      </c>
    </row>
    <row r="23" ht="15.75" customHeight="1">
      <c r="A23" s="1" t="s">
        <v>179</v>
      </c>
      <c r="B23" s="13" t="str">
        <f t="shared" si="1"/>
        <v>Ace</v>
      </c>
      <c r="C23" s="13" t="str">
        <f t="shared" si="2"/>
        <v>Sanders</v>
      </c>
      <c r="D23" s="13" t="str">
        <f t="shared" si="3"/>
        <v>#N/A</v>
      </c>
      <c r="E23" s="1" t="s">
        <v>69</v>
      </c>
    </row>
    <row r="24" ht="15.75" customHeight="1">
      <c r="A24" s="1" t="s">
        <v>180</v>
      </c>
      <c r="B24" s="13" t="str">
        <f t="shared" si="1"/>
        <v>Adam</v>
      </c>
      <c r="C24" s="13" t="str">
        <f t="shared" si="2"/>
        <v>Choice</v>
      </c>
      <c r="D24" s="13" t="str">
        <f t="shared" si="3"/>
        <v>#N/A</v>
      </c>
      <c r="E24" s="1" t="s">
        <v>66</v>
      </c>
    </row>
    <row r="25" ht="15.75" customHeight="1">
      <c r="A25" s="1" t="s">
        <v>182</v>
      </c>
      <c r="B25" s="13" t="str">
        <f t="shared" si="1"/>
        <v>Adam</v>
      </c>
      <c r="C25" s="13" t="str">
        <f t="shared" si="2"/>
        <v>Humphries</v>
      </c>
      <c r="D25" s="13" t="str">
        <f t="shared" si="3"/>
        <v>#N/A</v>
      </c>
      <c r="E25" s="1" t="s">
        <v>69</v>
      </c>
    </row>
    <row r="26" ht="15.75" customHeight="1">
      <c r="A26" s="1" t="s">
        <v>183</v>
      </c>
      <c r="B26" s="13" t="str">
        <f t="shared" si="1"/>
        <v>Adam</v>
      </c>
      <c r="C26" s="13" t="str">
        <f t="shared" si="2"/>
        <v>Krumholz</v>
      </c>
      <c r="D26" s="13" t="str">
        <f t="shared" si="3"/>
        <v>#N/A</v>
      </c>
      <c r="E26" s="1" t="s">
        <v>69</v>
      </c>
    </row>
    <row r="27" ht="15.75" customHeight="1">
      <c r="A27" s="1" t="s">
        <v>184</v>
      </c>
      <c r="B27" s="13" t="str">
        <f t="shared" si="1"/>
        <v>Adam</v>
      </c>
      <c r="C27" s="13" t="str">
        <f t="shared" si="2"/>
        <v>Shaheen</v>
      </c>
      <c r="D27" s="13" t="str">
        <f t="shared" si="3"/>
        <v>#N/A</v>
      </c>
      <c r="E27" s="1" t="s">
        <v>68</v>
      </c>
    </row>
    <row r="28" ht="15.75" customHeight="1">
      <c r="A28" s="1" t="s">
        <v>112</v>
      </c>
      <c r="B28" s="13" t="str">
        <f t="shared" si="1"/>
        <v>Adam</v>
      </c>
      <c r="C28" s="13" t="str">
        <f t="shared" si="2"/>
        <v>Thielen</v>
      </c>
      <c r="D28" s="13" t="str">
        <f t="shared" si="3"/>
        <v>#N/A</v>
      </c>
      <c r="E28" s="1" t="s">
        <v>69</v>
      </c>
    </row>
    <row r="29" ht="15.75" customHeight="1">
      <c r="A29" s="1" t="s">
        <v>186</v>
      </c>
      <c r="B29" s="13" t="str">
        <f t="shared" si="1"/>
        <v>Adam</v>
      </c>
      <c r="C29" s="13" t="str">
        <f t="shared" si="2"/>
        <v>Trautman</v>
      </c>
      <c r="D29" s="13" t="str">
        <f t="shared" si="3"/>
        <v>#N/A</v>
      </c>
      <c r="E29" s="1" t="s">
        <v>68</v>
      </c>
    </row>
    <row r="30" ht="15.75" customHeight="1">
      <c r="A30" s="1" t="s">
        <v>188</v>
      </c>
      <c r="B30" s="13" t="str">
        <f t="shared" si="1"/>
        <v>Adam</v>
      </c>
      <c r="C30" s="13" t="str">
        <f t="shared" si="2"/>
        <v>Vinatieri</v>
      </c>
      <c r="D30" s="13" t="str">
        <f t="shared" si="3"/>
        <v>#N/A</v>
      </c>
      <c r="E30" s="1" t="s">
        <v>64</v>
      </c>
    </row>
    <row r="31" ht="15.75" customHeight="1">
      <c r="A31" s="1" t="s">
        <v>189</v>
      </c>
      <c r="B31" s="13" t="str">
        <f t="shared" si="1"/>
        <v>Adam</v>
      </c>
      <c r="C31" s="13" t="str">
        <f t="shared" si="2"/>
        <v>Zaruba</v>
      </c>
      <c r="D31" s="13" t="str">
        <f t="shared" si="3"/>
        <v>#N/A</v>
      </c>
      <c r="E31" s="1" t="s">
        <v>68</v>
      </c>
    </row>
    <row r="32" ht="15.75" customHeight="1">
      <c r="A32" s="1" t="s">
        <v>191</v>
      </c>
      <c r="B32" s="13" t="str">
        <f t="shared" si="1"/>
        <v>Adonai</v>
      </c>
      <c r="C32" s="13" t="str">
        <f t="shared" si="2"/>
        <v>Mitchell</v>
      </c>
      <c r="D32" s="13" t="str">
        <f t="shared" si="3"/>
        <v>#N/A</v>
      </c>
      <c r="E32" s="1" t="s">
        <v>69</v>
      </c>
    </row>
    <row r="33" ht="15.75" customHeight="1">
      <c r="A33" s="1" t="s">
        <v>193</v>
      </c>
      <c r="B33" s="13" t="str">
        <f t="shared" si="1"/>
        <v>Adrian</v>
      </c>
      <c r="C33" s="13" t="str">
        <f t="shared" si="2"/>
        <v>Coxson</v>
      </c>
      <c r="D33" s="13" t="str">
        <f t="shared" si="3"/>
        <v>#N/A</v>
      </c>
      <c r="E33" s="1" t="s">
        <v>69</v>
      </c>
    </row>
    <row r="34" ht="15.75" customHeight="1">
      <c r="A34" s="1" t="s">
        <v>194</v>
      </c>
      <c r="B34" s="13" t="str">
        <f t="shared" si="1"/>
        <v>Adrian</v>
      </c>
      <c r="C34" s="13" t="str">
        <f t="shared" si="2"/>
        <v>Hardy</v>
      </c>
      <c r="D34" s="13" t="str">
        <f t="shared" si="3"/>
        <v>#N/A</v>
      </c>
      <c r="E34" s="1" t="s">
        <v>69</v>
      </c>
    </row>
    <row r="35" ht="15.75" customHeight="1">
      <c r="A35" s="1" t="s">
        <v>195</v>
      </c>
      <c r="B35" s="13" t="str">
        <f t="shared" si="1"/>
        <v>Adrian</v>
      </c>
      <c r="C35" s="13" t="str">
        <f t="shared" si="2"/>
        <v>Killins</v>
      </c>
      <c r="D35" s="13" t="str">
        <f t="shared" si="3"/>
        <v>#N/A</v>
      </c>
      <c r="E35" s="1" t="s">
        <v>66</v>
      </c>
    </row>
    <row r="36" ht="15.75" customHeight="1">
      <c r="A36" s="1" t="s">
        <v>197</v>
      </c>
      <c r="B36" s="13" t="str">
        <f t="shared" si="1"/>
        <v>Adrian</v>
      </c>
      <c r="C36" s="13" t="str">
        <f t="shared" si="2"/>
        <v>Peterson</v>
      </c>
      <c r="D36" s="13" t="str">
        <f t="shared" si="3"/>
        <v>#N/A</v>
      </c>
      <c r="E36" s="1" t="s">
        <v>66</v>
      </c>
    </row>
    <row r="37" ht="15.75" customHeight="1">
      <c r="A37" s="1" t="s">
        <v>198</v>
      </c>
      <c r="B37" s="13" t="str">
        <f t="shared" si="1"/>
        <v>Adrien</v>
      </c>
      <c r="C37" s="13" t="str">
        <f t="shared" si="2"/>
        <v>Robinson</v>
      </c>
      <c r="D37" s="13" t="str">
        <f t="shared" si="3"/>
        <v>#N/A</v>
      </c>
      <c r="E37" s="1" t="s">
        <v>68</v>
      </c>
    </row>
    <row r="38" ht="15.75" customHeight="1">
      <c r="A38" s="1" t="s">
        <v>199</v>
      </c>
      <c r="B38" s="13" t="str">
        <f t="shared" si="1"/>
        <v>Aeris</v>
      </c>
      <c r="C38" s="13" t="str">
        <f t="shared" si="2"/>
        <v>Williams</v>
      </c>
      <c r="D38" s="13" t="str">
        <f t="shared" si="3"/>
        <v>#N/A</v>
      </c>
      <c r="E38" s="1" t="s">
        <v>66</v>
      </c>
    </row>
    <row r="39" ht="15.75" customHeight="1">
      <c r="A39" s="1" t="s">
        <v>201</v>
      </c>
      <c r="B39" s="13" t="str">
        <f t="shared" si="1"/>
        <v>Agiye</v>
      </c>
      <c r="C39" s="13" t="str">
        <f t="shared" si="2"/>
        <v>Hall</v>
      </c>
      <c r="D39" s="13" t="str">
        <f t="shared" si="3"/>
        <v>#N/A</v>
      </c>
      <c r="E39" s="1" t="s">
        <v>69</v>
      </c>
    </row>
    <row r="40" ht="15.75" customHeight="1">
      <c r="A40" s="1" t="s">
        <v>202</v>
      </c>
      <c r="B40" s="13" t="str">
        <f t="shared" si="1"/>
        <v>Ahmad</v>
      </c>
      <c r="C40" s="13" t="str">
        <f t="shared" si="2"/>
        <v>Bradshaw</v>
      </c>
      <c r="D40" s="13" t="str">
        <f t="shared" si="3"/>
        <v>#N/A</v>
      </c>
      <c r="E40" s="1" t="s">
        <v>66</v>
      </c>
    </row>
    <row r="41" ht="15.75" customHeight="1">
      <c r="A41" s="1" t="s">
        <v>204</v>
      </c>
      <c r="B41" s="13" t="str">
        <f t="shared" si="1"/>
        <v>Ainias</v>
      </c>
      <c r="C41" s="13" t="str">
        <f t="shared" si="2"/>
        <v>Smith</v>
      </c>
      <c r="D41" s="13" t="str">
        <f t="shared" si="3"/>
        <v>#N/A</v>
      </c>
      <c r="E41" s="1" t="s">
        <v>69</v>
      </c>
    </row>
    <row r="42" ht="15.75" customHeight="1">
      <c r="A42" s="1" t="s">
        <v>205</v>
      </c>
      <c r="B42" s="13" t="str">
        <f t="shared" si="1"/>
        <v>Akeem</v>
      </c>
      <c r="C42" s="13" t="str">
        <f t="shared" si="2"/>
        <v>Hunt</v>
      </c>
      <c r="D42" s="13" t="str">
        <f t="shared" si="3"/>
        <v>#N/A</v>
      </c>
      <c r="E42" s="1" t="s">
        <v>66</v>
      </c>
    </row>
    <row r="43" ht="15.75" customHeight="1">
      <c r="A43" s="1" t="s">
        <v>207</v>
      </c>
      <c r="B43" s="13" t="str">
        <f t="shared" si="1"/>
        <v>Akeem</v>
      </c>
      <c r="C43" s="13" t="str">
        <f t="shared" si="2"/>
        <v>Judd</v>
      </c>
      <c r="D43" s="13" t="str">
        <f t="shared" si="3"/>
        <v>#N/A</v>
      </c>
      <c r="E43" s="1" t="s">
        <v>66</v>
      </c>
    </row>
    <row r="44" ht="15.75" customHeight="1">
      <c r="A44" s="1" t="s">
        <v>208</v>
      </c>
      <c r="B44" s="13" t="str">
        <f t="shared" si="1"/>
        <v>Akrum</v>
      </c>
      <c r="C44" s="13" t="str">
        <f t="shared" si="2"/>
        <v>Wadley</v>
      </c>
      <c r="D44" s="13" t="str">
        <f t="shared" si="3"/>
        <v>#N/A</v>
      </c>
      <c r="E44" s="1" t="s">
        <v>66</v>
      </c>
    </row>
    <row r="45" ht="15.75" customHeight="1">
      <c r="A45" s="1" t="s">
        <v>210</v>
      </c>
      <c r="B45" s="13" t="str">
        <f t="shared" si="1"/>
        <v>Alan</v>
      </c>
      <c r="C45" s="13" t="str">
        <f t="shared" si="2"/>
        <v>Bonner</v>
      </c>
      <c r="D45" s="13" t="str">
        <f t="shared" si="3"/>
        <v>#N/A</v>
      </c>
      <c r="E45" s="1" t="s">
        <v>69</v>
      </c>
    </row>
    <row r="46" ht="15.75" customHeight="1">
      <c r="A46" s="1" t="s">
        <v>211</v>
      </c>
      <c r="B46" s="13" t="str">
        <f t="shared" si="1"/>
        <v>Alan</v>
      </c>
      <c r="C46" s="13" t="str">
        <f t="shared" si="2"/>
        <v>Cross</v>
      </c>
      <c r="D46" s="13" t="str">
        <f t="shared" si="3"/>
        <v>#N/A</v>
      </c>
      <c r="E46" s="1" t="s">
        <v>68</v>
      </c>
    </row>
    <row r="47" ht="15.75" customHeight="1">
      <c r="A47" s="1" t="s">
        <v>212</v>
      </c>
      <c r="B47" s="13" t="str">
        <f t="shared" si="1"/>
        <v>Albert</v>
      </c>
      <c r="C47" s="13" t="str">
        <f t="shared" si="2"/>
        <v>Okwuegbunam</v>
      </c>
      <c r="D47" s="13" t="str">
        <f t="shared" si="3"/>
        <v>#N/A</v>
      </c>
      <c r="E47" s="1" t="s">
        <v>68</v>
      </c>
    </row>
    <row r="48" ht="15.75" customHeight="1">
      <c r="A48" s="1" t="s">
        <v>214</v>
      </c>
      <c r="B48" s="13" t="str">
        <f t="shared" si="1"/>
        <v>Albert</v>
      </c>
      <c r="C48" s="13" t="str">
        <f t="shared" si="2"/>
        <v>Wilson</v>
      </c>
      <c r="D48" s="13" t="str">
        <f t="shared" si="3"/>
        <v>#N/A</v>
      </c>
      <c r="E48" s="1" t="s">
        <v>69</v>
      </c>
    </row>
    <row r="49" ht="15.75" customHeight="1">
      <c r="A49" s="1" t="s">
        <v>215</v>
      </c>
      <c r="B49" s="13" t="str">
        <f t="shared" si="1"/>
        <v>Aldrick</v>
      </c>
      <c r="C49" s="13" t="str">
        <f t="shared" si="2"/>
        <v>Robinson</v>
      </c>
      <c r="D49" s="13" t="str">
        <f t="shared" si="3"/>
        <v>#N/A</v>
      </c>
      <c r="E49" s="1" t="s">
        <v>69</v>
      </c>
    </row>
    <row r="50" ht="15.75" customHeight="1">
      <c r="A50" s="1" t="s">
        <v>217</v>
      </c>
      <c r="B50" s="13" t="str">
        <f t="shared" si="1"/>
        <v>Alec</v>
      </c>
      <c r="C50" s="13" t="str">
        <f t="shared" si="2"/>
        <v>Ingold</v>
      </c>
      <c r="D50" s="13" t="str">
        <f t="shared" si="3"/>
        <v>#N/A</v>
      </c>
      <c r="E50" s="1" t="s">
        <v>66</v>
      </c>
    </row>
    <row r="51" ht="15.75" customHeight="1">
      <c r="A51" s="1" t="s">
        <v>218</v>
      </c>
      <c r="B51" s="13" t="str">
        <f t="shared" si="1"/>
        <v>Alec</v>
      </c>
      <c r="C51" s="13" t="str">
        <f t="shared" si="2"/>
        <v>Pierce</v>
      </c>
      <c r="D51" s="13" t="str">
        <f t="shared" si="3"/>
        <v>#N/A</v>
      </c>
      <c r="E51" s="1" t="s">
        <v>69</v>
      </c>
    </row>
    <row r="52" ht="15.75" customHeight="1">
      <c r="A52" s="1" t="s">
        <v>220</v>
      </c>
      <c r="B52" s="13" t="str">
        <f t="shared" si="1"/>
        <v>Alek</v>
      </c>
      <c r="C52" s="13" t="str">
        <f t="shared" si="2"/>
        <v>Torgersen</v>
      </c>
      <c r="D52" s="13" t="str">
        <f t="shared" si="3"/>
        <v>#N/A</v>
      </c>
      <c r="E52" s="1" t="s">
        <v>65</v>
      </c>
    </row>
    <row r="53" ht="15.75" customHeight="1">
      <c r="A53" s="1" t="s">
        <v>221</v>
      </c>
      <c r="B53" s="13" t="str">
        <f t="shared" si="1"/>
        <v>Alex</v>
      </c>
      <c r="C53" s="13" t="str">
        <f t="shared" si="2"/>
        <v>Armah</v>
      </c>
      <c r="D53" s="13" t="str">
        <f t="shared" si="3"/>
        <v>#N/A</v>
      </c>
      <c r="E53" s="1" t="s">
        <v>66</v>
      </c>
    </row>
    <row r="54" ht="15.75" customHeight="1">
      <c r="A54" s="1" t="s">
        <v>223</v>
      </c>
      <c r="B54" s="13" t="str">
        <f t="shared" si="1"/>
        <v>Alex</v>
      </c>
      <c r="C54" s="13" t="str">
        <f t="shared" si="2"/>
        <v>Bachman</v>
      </c>
      <c r="D54" s="13" t="str">
        <f t="shared" si="3"/>
        <v>#N/A</v>
      </c>
      <c r="E54" s="1" t="s">
        <v>69</v>
      </c>
    </row>
    <row r="55" ht="15.75" customHeight="1">
      <c r="A55" s="1" t="s">
        <v>224</v>
      </c>
      <c r="B55" s="13" t="str">
        <f t="shared" si="1"/>
        <v>Alex</v>
      </c>
      <c r="C55" s="13" t="str">
        <f t="shared" si="2"/>
        <v>Barnes</v>
      </c>
      <c r="D55" s="13" t="str">
        <f t="shared" si="3"/>
        <v>#N/A</v>
      </c>
      <c r="E55" s="1" t="s">
        <v>66</v>
      </c>
    </row>
    <row r="56" ht="15.75" customHeight="1">
      <c r="A56" s="1" t="s">
        <v>226</v>
      </c>
      <c r="B56" s="13" t="str">
        <f t="shared" si="1"/>
        <v>Alex</v>
      </c>
      <c r="C56" s="13" t="str">
        <f t="shared" si="2"/>
        <v>Bayer</v>
      </c>
      <c r="D56" s="13" t="str">
        <f t="shared" si="3"/>
        <v>#N/A</v>
      </c>
      <c r="E56" s="1" t="s">
        <v>68</v>
      </c>
    </row>
    <row r="57" ht="15.75" customHeight="1">
      <c r="A57" s="1" t="s">
        <v>228</v>
      </c>
      <c r="B57" s="13" t="str">
        <f t="shared" si="1"/>
        <v>Alex</v>
      </c>
      <c r="C57" s="13" t="str">
        <f t="shared" si="2"/>
        <v>Collins</v>
      </c>
      <c r="D57" s="13" t="str">
        <f t="shared" si="3"/>
        <v>#N/A</v>
      </c>
      <c r="E57" s="1" t="s">
        <v>66</v>
      </c>
    </row>
    <row r="58" ht="15.75" customHeight="1">
      <c r="A58" s="1" t="s">
        <v>230</v>
      </c>
      <c r="B58" s="13" t="str">
        <f t="shared" si="1"/>
        <v>Alex</v>
      </c>
      <c r="C58" s="13" t="str">
        <f t="shared" si="2"/>
        <v>Ellis</v>
      </c>
      <c r="D58" s="13" t="str">
        <f t="shared" si="3"/>
        <v>#N/A</v>
      </c>
      <c r="E58" s="1" t="s">
        <v>68</v>
      </c>
    </row>
    <row r="59" ht="15.75" customHeight="1">
      <c r="A59" s="1" t="s">
        <v>232</v>
      </c>
      <c r="B59" s="13" t="str">
        <f t="shared" si="1"/>
        <v>Alex</v>
      </c>
      <c r="C59" s="13" t="str">
        <f t="shared" si="2"/>
        <v>Erickson</v>
      </c>
      <c r="D59" s="13" t="str">
        <f t="shared" si="3"/>
        <v>#N/A</v>
      </c>
      <c r="E59" s="1" t="s">
        <v>69</v>
      </c>
    </row>
    <row r="60" ht="15.75" customHeight="1">
      <c r="A60" s="1" t="s">
        <v>233</v>
      </c>
      <c r="B60" s="13" t="str">
        <f t="shared" si="1"/>
        <v>Alex</v>
      </c>
      <c r="C60" s="13" t="str">
        <f t="shared" si="2"/>
        <v>Gray</v>
      </c>
      <c r="D60" s="13" t="str">
        <f t="shared" si="3"/>
        <v>#N/A</v>
      </c>
      <c r="E60" s="1" t="s">
        <v>68</v>
      </c>
    </row>
    <row r="61" ht="15.75" customHeight="1">
      <c r="A61" s="1" t="s">
        <v>234</v>
      </c>
      <c r="B61" s="13" t="str">
        <f t="shared" si="1"/>
        <v>Alex</v>
      </c>
      <c r="C61" s="13" t="str">
        <f t="shared" si="2"/>
        <v>McGough</v>
      </c>
      <c r="D61" s="13" t="str">
        <f t="shared" si="3"/>
        <v>#N/A</v>
      </c>
      <c r="E61" s="1" t="s">
        <v>65</v>
      </c>
    </row>
    <row r="62" ht="15.75" customHeight="1">
      <c r="A62" s="1" t="s">
        <v>236</v>
      </c>
      <c r="B62" s="13" t="str">
        <f t="shared" si="1"/>
        <v>Alex</v>
      </c>
      <c r="C62" s="13" t="str">
        <f t="shared" si="2"/>
        <v>Neutz</v>
      </c>
      <c r="D62" s="13" t="str">
        <f t="shared" si="3"/>
        <v>#N/A</v>
      </c>
      <c r="E62" s="1" t="s">
        <v>69</v>
      </c>
    </row>
    <row r="63" ht="15.75" customHeight="1">
      <c r="A63" s="1" t="s">
        <v>237</v>
      </c>
      <c r="B63" s="13" t="str">
        <f t="shared" si="1"/>
        <v>Alex</v>
      </c>
      <c r="C63" s="13" t="str">
        <f t="shared" si="2"/>
        <v>Smith</v>
      </c>
      <c r="D63" s="13" t="str">
        <f t="shared" si="3"/>
        <v>#N/A</v>
      </c>
      <c r="E63" s="1" t="s">
        <v>65</v>
      </c>
    </row>
    <row r="64" ht="15.75" customHeight="1">
      <c r="A64" s="1" t="s">
        <v>239</v>
      </c>
      <c r="B64" s="13" t="str">
        <f t="shared" si="1"/>
        <v>Alex</v>
      </c>
      <c r="C64" s="13" t="str">
        <f t="shared" si="2"/>
        <v>Tanney</v>
      </c>
      <c r="D64" s="13" t="str">
        <f t="shared" si="3"/>
        <v>#N/A</v>
      </c>
      <c r="E64" s="1" t="s">
        <v>65</v>
      </c>
    </row>
    <row r="65" ht="15.75" customHeight="1">
      <c r="A65" s="1" t="s">
        <v>240</v>
      </c>
      <c r="B65" s="13" t="str">
        <f t="shared" si="1"/>
        <v>Alex</v>
      </c>
      <c r="C65" s="13" t="str">
        <f t="shared" si="2"/>
        <v>Wesley</v>
      </c>
      <c r="D65" s="13" t="str">
        <f t="shared" si="3"/>
        <v>#N/A</v>
      </c>
      <c r="E65" s="1" t="s">
        <v>69</v>
      </c>
    </row>
    <row r="66" ht="15.75" customHeight="1">
      <c r="A66" s="1" t="s">
        <v>242</v>
      </c>
      <c r="B66" s="13" t="str">
        <f t="shared" si="1"/>
        <v>Alexander</v>
      </c>
      <c r="C66" s="13" t="str">
        <f t="shared" si="2"/>
        <v>Hollins</v>
      </c>
      <c r="D66" s="13" t="str">
        <f t="shared" si="3"/>
        <v>#N/A</v>
      </c>
      <c r="E66" s="1" t="s">
        <v>69</v>
      </c>
    </row>
    <row r="67" ht="15.75" customHeight="1">
      <c r="A67" s="1" t="s">
        <v>200</v>
      </c>
      <c r="B67" s="13" t="str">
        <f t="shared" si="1"/>
        <v>Alexander</v>
      </c>
      <c r="C67" s="13" t="str">
        <f t="shared" si="2"/>
        <v>Mattison</v>
      </c>
      <c r="D67" s="13" t="str">
        <f t="shared" si="3"/>
        <v>#N/A</v>
      </c>
      <c r="E67" s="1" t="s">
        <v>66</v>
      </c>
    </row>
    <row r="68" ht="15.75" customHeight="1">
      <c r="A68" s="1" t="s">
        <v>244</v>
      </c>
      <c r="B68" s="13" t="str">
        <f t="shared" si="1"/>
        <v>Alfonso</v>
      </c>
      <c r="C68" s="13" t="str">
        <f t="shared" si="2"/>
        <v>Smith</v>
      </c>
      <c r="D68" s="13" t="str">
        <f t="shared" si="3"/>
        <v>#N/A</v>
      </c>
      <c r="E68" s="1" t="s">
        <v>66</v>
      </c>
    </row>
    <row r="69" ht="15.75" customHeight="1">
      <c r="A69" s="1" t="s">
        <v>245</v>
      </c>
      <c r="B69" s="13" t="str">
        <f t="shared" si="1"/>
        <v>Alfred</v>
      </c>
      <c r="C69" s="13" t="str">
        <f t="shared" si="2"/>
        <v>Blue</v>
      </c>
      <c r="D69" s="13" t="str">
        <f t="shared" si="3"/>
        <v>#N/A</v>
      </c>
      <c r="E69" s="1" t="s">
        <v>66</v>
      </c>
    </row>
    <row r="70" ht="15.75" customHeight="1">
      <c r="A70" s="1" t="s">
        <v>247</v>
      </c>
      <c r="B70" s="13" t="str">
        <f t="shared" si="1"/>
        <v>Alfred</v>
      </c>
      <c r="C70" s="13" t="str">
        <f t="shared" si="2"/>
        <v>Morris</v>
      </c>
      <c r="D70" s="13" t="str">
        <f t="shared" si="3"/>
        <v>#N/A</v>
      </c>
      <c r="E70" s="1" t="s">
        <v>66</v>
      </c>
    </row>
    <row r="71" ht="15.75" customHeight="1">
      <c r="A71" s="1" t="s">
        <v>248</v>
      </c>
      <c r="B71" s="13" t="str">
        <f t="shared" si="1"/>
        <v>Alize</v>
      </c>
      <c r="C71" s="13" t="str">
        <f t="shared" si="2"/>
        <v>Mack</v>
      </c>
      <c r="D71" s="13" t="str">
        <f t="shared" si="3"/>
        <v>#N/A</v>
      </c>
      <c r="E71" s="1" t="s">
        <v>68</v>
      </c>
    </row>
    <row r="72" ht="15.75" customHeight="1">
      <c r="A72" s="1" t="s">
        <v>250</v>
      </c>
      <c r="B72" s="13" t="str">
        <f t="shared" si="1"/>
        <v>Allen</v>
      </c>
      <c r="C72" s="13" t="str">
        <f t="shared" si="2"/>
        <v>Hurns</v>
      </c>
      <c r="D72" s="13" t="str">
        <f t="shared" si="3"/>
        <v>#N/A</v>
      </c>
      <c r="E72" s="1" t="s">
        <v>69</v>
      </c>
    </row>
    <row r="73" ht="15.75" customHeight="1">
      <c r="A73" s="1" t="s">
        <v>251</v>
      </c>
      <c r="B73" s="13" t="str">
        <f t="shared" si="1"/>
        <v>Allen</v>
      </c>
      <c r="C73" s="13" t="str">
        <f t="shared" si="2"/>
        <v>Lazard</v>
      </c>
      <c r="D73" s="13" t="str">
        <f t="shared" si="3"/>
        <v>#N/A</v>
      </c>
      <c r="E73" s="1" t="s">
        <v>69</v>
      </c>
    </row>
    <row r="74" ht="15.75" customHeight="1">
      <c r="A74" s="1" t="s">
        <v>253</v>
      </c>
      <c r="B74" s="13" t="str">
        <f t="shared" si="1"/>
        <v>Allen</v>
      </c>
      <c r="C74" s="13" t="str">
        <f t="shared" si="2"/>
        <v>Robinson</v>
      </c>
      <c r="D74" s="13" t="str">
        <f t="shared" si="3"/>
        <v>#N/A</v>
      </c>
      <c r="E74" s="1" t="s">
        <v>69</v>
      </c>
    </row>
    <row r="75" ht="15.75" customHeight="1">
      <c r="A75" s="1" t="s">
        <v>254</v>
      </c>
      <c r="B75" s="13" t="str">
        <f t="shared" si="1"/>
        <v>Allenzae</v>
      </c>
      <c r="C75" s="13" t="str">
        <f t="shared" si="2"/>
        <v>Staggers</v>
      </c>
      <c r="D75" s="13" t="str">
        <f t="shared" si="3"/>
        <v>#N/A</v>
      </c>
      <c r="E75" s="1" t="s">
        <v>69</v>
      </c>
    </row>
    <row r="76" ht="15.75" customHeight="1">
      <c r="A76" s="1" t="s">
        <v>255</v>
      </c>
      <c r="B76" s="13" t="str">
        <f t="shared" si="1"/>
        <v>Alonzo</v>
      </c>
      <c r="C76" s="13" t="str">
        <f t="shared" si="2"/>
        <v>Harris</v>
      </c>
      <c r="D76" s="13" t="str">
        <f t="shared" si="3"/>
        <v>#N/A</v>
      </c>
      <c r="E76" s="1" t="s">
        <v>66</v>
      </c>
    </row>
    <row r="77" ht="15.75" customHeight="1">
      <c r="A77" s="1" t="s">
        <v>257</v>
      </c>
      <c r="B77" s="13" t="str">
        <f t="shared" si="1"/>
        <v>Alonzo</v>
      </c>
      <c r="C77" s="13" t="str">
        <f t="shared" si="2"/>
        <v>Moore</v>
      </c>
      <c r="D77" s="13" t="str">
        <f t="shared" si="3"/>
        <v>#N/A</v>
      </c>
      <c r="E77" s="1" t="s">
        <v>69</v>
      </c>
    </row>
    <row r="78" ht="15.75" customHeight="1">
      <c r="A78" s="1" t="s">
        <v>258</v>
      </c>
      <c r="B78" s="13" t="str">
        <f t="shared" si="1"/>
        <v>Alonzo</v>
      </c>
      <c r="C78" s="13" t="str">
        <f t="shared" si="2"/>
        <v>Russell</v>
      </c>
      <c r="D78" s="13" t="str">
        <f t="shared" si="3"/>
        <v>#N/A</v>
      </c>
      <c r="E78" s="1" t="s">
        <v>69</v>
      </c>
    </row>
    <row r="79" ht="15.75" customHeight="1">
      <c r="A79" s="1" t="s">
        <v>260</v>
      </c>
      <c r="B79" s="13" t="str">
        <f t="shared" si="1"/>
        <v>Alshon</v>
      </c>
      <c r="C79" s="13" t="str">
        <f t="shared" si="2"/>
        <v>Jeffery</v>
      </c>
      <c r="D79" s="13" t="str">
        <f t="shared" si="3"/>
        <v>#N/A</v>
      </c>
      <c r="E79" s="1" t="s">
        <v>69</v>
      </c>
    </row>
    <row r="80" ht="15.75" customHeight="1">
      <c r="A80" s="1" t="s">
        <v>262</v>
      </c>
      <c r="B80" s="13" t="str">
        <f t="shared" si="1"/>
        <v>Alvester</v>
      </c>
      <c r="C80" s="13" t="str">
        <f t="shared" si="2"/>
        <v>Alexander</v>
      </c>
      <c r="D80" s="13" t="str">
        <f t="shared" si="3"/>
        <v>#N/A</v>
      </c>
      <c r="E80" s="1" t="s">
        <v>66</v>
      </c>
    </row>
    <row r="81" ht="15.75" customHeight="1">
      <c r="A81" s="1" t="s">
        <v>108</v>
      </c>
      <c r="B81" s="13" t="str">
        <f t="shared" si="1"/>
        <v>Alvin</v>
      </c>
      <c r="C81" s="13" t="str">
        <f t="shared" si="2"/>
        <v>Kamara</v>
      </c>
      <c r="D81" s="13" t="str">
        <f t="shared" si="3"/>
        <v>#N/A</v>
      </c>
      <c r="E81" s="1" t="s">
        <v>66</v>
      </c>
    </row>
    <row r="82" ht="15.75" customHeight="1">
      <c r="A82" s="1" t="s">
        <v>264</v>
      </c>
      <c r="B82" s="13" t="str">
        <f t="shared" si="1"/>
        <v>Amara</v>
      </c>
      <c r="C82" s="13" t="str">
        <f t="shared" si="2"/>
        <v>Darboh</v>
      </c>
      <c r="D82" s="13" t="str">
        <f t="shared" si="3"/>
        <v>#N/A</v>
      </c>
      <c r="E82" s="1" t="s">
        <v>69</v>
      </c>
    </row>
    <row r="83" ht="15.75" customHeight="1">
      <c r="A83" s="1" t="s">
        <v>263</v>
      </c>
      <c r="B83" s="13" t="str">
        <f t="shared" si="1"/>
        <v>Amari</v>
      </c>
      <c r="C83" s="13" t="str">
        <f t="shared" si="2"/>
        <v>Cooper</v>
      </c>
      <c r="D83" s="13" t="str">
        <f t="shared" si="3"/>
        <v>#N/A</v>
      </c>
      <c r="E83" s="1" t="s">
        <v>69</v>
      </c>
    </row>
    <row r="84" ht="15.75" customHeight="1">
      <c r="A84" s="1" t="s">
        <v>266</v>
      </c>
      <c r="B84" s="13" t="str">
        <f t="shared" si="1"/>
        <v>Amari</v>
      </c>
      <c r="C84" s="13" t="str">
        <f t="shared" si="2"/>
        <v>Daniels</v>
      </c>
      <c r="D84" s="13" t="str">
        <f t="shared" si="3"/>
        <v>#N/A</v>
      </c>
      <c r="E84" s="1" t="s">
        <v>66</v>
      </c>
    </row>
    <row r="85" ht="15.75" customHeight="1">
      <c r="A85" s="1" t="s">
        <v>268</v>
      </c>
      <c r="B85" s="13" t="str">
        <f t="shared" si="1"/>
        <v>Amari</v>
      </c>
      <c r="C85" s="13" t="str">
        <f t="shared" si="2"/>
        <v>Rodgers</v>
      </c>
      <c r="D85" s="13" t="str">
        <f t="shared" si="3"/>
        <v>#N/A</v>
      </c>
      <c r="E85" s="1" t="s">
        <v>69</v>
      </c>
    </row>
    <row r="86" ht="15.75" customHeight="1">
      <c r="A86" s="1" t="s">
        <v>269</v>
      </c>
      <c r="B86" s="13" t="str">
        <f t="shared" si="1"/>
        <v>Amba</v>
      </c>
      <c r="C86" s="13" t="str">
        <f t="shared" si="2"/>
        <v>Etta-Tawo</v>
      </c>
      <c r="D86" s="13" t="str">
        <f t="shared" si="3"/>
        <v>#N/A</v>
      </c>
      <c r="E86" s="1" t="s">
        <v>69</v>
      </c>
    </row>
    <row r="87" ht="15.75" customHeight="1">
      <c r="A87" s="1" t="s">
        <v>271</v>
      </c>
      <c r="B87" s="13" t="str">
        <f t="shared" si="1"/>
        <v>Ameer</v>
      </c>
      <c r="C87" s="13" t="str">
        <f t="shared" si="2"/>
        <v>Abdullah</v>
      </c>
      <c r="D87" s="13" t="str">
        <f t="shared" si="3"/>
        <v>#N/A</v>
      </c>
      <c r="E87" s="1" t="s">
        <v>66</v>
      </c>
    </row>
    <row r="88" ht="15.75" customHeight="1">
      <c r="A88" s="1" t="s">
        <v>272</v>
      </c>
      <c r="B88" s="13" t="str">
        <f t="shared" si="1"/>
        <v>Amon-Ra</v>
      </c>
      <c r="C88" s="13" t="str">
        <f t="shared" si="2"/>
        <v>St Brown</v>
      </c>
      <c r="D88" s="13" t="str">
        <f t="shared" si="3"/>
        <v>#N/A</v>
      </c>
      <c r="E88" s="1" t="s">
        <v>69</v>
      </c>
    </row>
    <row r="89" ht="15.75" customHeight="1">
      <c r="A89" s="1" t="s">
        <v>274</v>
      </c>
      <c r="B89" s="13" t="str">
        <f t="shared" si="1"/>
        <v>Andre</v>
      </c>
      <c r="C89" s="13" t="str">
        <f t="shared" si="2"/>
        <v>Brown</v>
      </c>
      <c r="D89" s="13" t="str">
        <f t="shared" si="3"/>
        <v>#N/A</v>
      </c>
      <c r="E89" s="1" t="s">
        <v>66</v>
      </c>
    </row>
    <row r="90" ht="15.75" customHeight="1">
      <c r="A90" s="1" t="s">
        <v>275</v>
      </c>
      <c r="B90" s="13" t="str">
        <f t="shared" si="1"/>
        <v>Andre</v>
      </c>
      <c r="C90" s="13" t="str">
        <f t="shared" si="2"/>
        <v>Caldwell</v>
      </c>
      <c r="D90" s="13" t="str">
        <f t="shared" si="3"/>
        <v>#N/A</v>
      </c>
      <c r="E90" s="1" t="s">
        <v>69</v>
      </c>
    </row>
    <row r="91" ht="15.75" customHeight="1">
      <c r="A91" s="1" t="s">
        <v>277</v>
      </c>
      <c r="B91" s="13" t="str">
        <f t="shared" si="1"/>
        <v>Andre</v>
      </c>
      <c r="C91" s="13" t="str">
        <f t="shared" si="2"/>
        <v>Davis</v>
      </c>
      <c r="D91" s="13" t="str">
        <f t="shared" si="3"/>
        <v>#N/A</v>
      </c>
      <c r="E91" s="1" t="s">
        <v>69</v>
      </c>
    </row>
    <row r="92" ht="15.75" customHeight="1">
      <c r="A92" s="1" t="s">
        <v>278</v>
      </c>
      <c r="B92" s="13" t="str">
        <f t="shared" si="1"/>
        <v>Andre</v>
      </c>
      <c r="C92" s="13" t="str">
        <f t="shared" si="2"/>
        <v>Debose</v>
      </c>
      <c r="D92" s="13" t="str">
        <f t="shared" si="3"/>
        <v>#N/A</v>
      </c>
      <c r="E92" s="1" t="s">
        <v>69</v>
      </c>
    </row>
    <row r="93" ht="15.75" customHeight="1">
      <c r="A93" s="1" t="s">
        <v>280</v>
      </c>
      <c r="B93" s="13" t="str">
        <f t="shared" si="1"/>
        <v>Andre</v>
      </c>
      <c r="C93" s="13" t="str">
        <f t="shared" si="2"/>
        <v>Dollar</v>
      </c>
      <c r="D93" s="13" t="str">
        <f t="shared" si="3"/>
        <v>#N/A</v>
      </c>
      <c r="E93" s="1" t="s">
        <v>68</v>
      </c>
    </row>
    <row r="94" ht="15.75" customHeight="1">
      <c r="A94" s="1" t="s">
        <v>281</v>
      </c>
      <c r="B94" s="13" t="str">
        <f t="shared" si="1"/>
        <v>Andre</v>
      </c>
      <c r="C94" s="13" t="str">
        <f t="shared" si="2"/>
        <v>Ellington</v>
      </c>
      <c r="D94" s="13" t="str">
        <f t="shared" si="3"/>
        <v>#N/A</v>
      </c>
      <c r="E94" s="1" t="s">
        <v>66</v>
      </c>
    </row>
    <row r="95" ht="15.75" customHeight="1">
      <c r="A95" s="1" t="s">
        <v>283</v>
      </c>
      <c r="B95" s="13" t="str">
        <f t="shared" si="1"/>
        <v>Andre</v>
      </c>
      <c r="C95" s="13" t="str">
        <f t="shared" si="2"/>
        <v>Hardy</v>
      </c>
      <c r="D95" s="13" t="str">
        <f t="shared" si="3"/>
        <v>#N/A</v>
      </c>
      <c r="E95" s="1" t="s">
        <v>68</v>
      </c>
    </row>
    <row r="96" ht="15.75" customHeight="1">
      <c r="A96" s="1" t="s">
        <v>284</v>
      </c>
      <c r="B96" s="13" t="str">
        <f t="shared" si="1"/>
        <v>Andre</v>
      </c>
      <c r="C96" s="13" t="str">
        <f t="shared" si="2"/>
        <v>Holmes</v>
      </c>
      <c r="D96" s="13" t="str">
        <f t="shared" si="3"/>
        <v>#N/A</v>
      </c>
      <c r="E96" s="1" t="s">
        <v>69</v>
      </c>
    </row>
    <row r="97" ht="15.75" customHeight="1">
      <c r="A97" s="1" t="s">
        <v>286</v>
      </c>
      <c r="B97" s="13" t="str">
        <f t="shared" si="1"/>
        <v>Andre</v>
      </c>
      <c r="C97" s="13" t="str">
        <f t="shared" si="2"/>
        <v>Johnson</v>
      </c>
      <c r="D97" s="13" t="str">
        <f t="shared" si="3"/>
        <v>#N/A</v>
      </c>
      <c r="E97" s="1" t="s">
        <v>69</v>
      </c>
    </row>
    <row r="98" ht="15.75" customHeight="1">
      <c r="A98" s="1" t="s">
        <v>286</v>
      </c>
      <c r="B98" s="13" t="str">
        <f t="shared" si="1"/>
        <v>Andre</v>
      </c>
      <c r="C98" s="13" t="str">
        <f t="shared" si="2"/>
        <v>Johnson</v>
      </c>
      <c r="D98" s="13" t="str">
        <f t="shared" si="3"/>
        <v>#N/A</v>
      </c>
      <c r="E98" s="1" t="s">
        <v>69</v>
      </c>
    </row>
    <row r="99" ht="15.75" customHeight="1">
      <c r="A99" s="1" t="s">
        <v>287</v>
      </c>
      <c r="B99" s="13" t="str">
        <f t="shared" si="1"/>
        <v>Andre</v>
      </c>
      <c r="C99" s="13" t="str">
        <f t="shared" si="2"/>
        <v>Levrone</v>
      </c>
      <c r="D99" s="13" t="str">
        <f t="shared" si="3"/>
        <v>#N/A</v>
      </c>
      <c r="E99" s="1" t="s">
        <v>69</v>
      </c>
    </row>
    <row r="100" ht="15.75" customHeight="1">
      <c r="A100" s="1" t="s">
        <v>289</v>
      </c>
      <c r="B100" s="13" t="str">
        <f t="shared" si="1"/>
        <v>Andre</v>
      </c>
      <c r="C100" s="13" t="str">
        <f t="shared" si="2"/>
        <v>Lindsay</v>
      </c>
      <c r="D100" s="13" t="str">
        <f t="shared" si="3"/>
        <v>#N/A</v>
      </c>
      <c r="E100" s="1" t="s">
        <v>69</v>
      </c>
    </row>
    <row r="101" ht="15.75" customHeight="1">
      <c r="A101" s="1" t="s">
        <v>290</v>
      </c>
      <c r="B101" s="13" t="str">
        <f t="shared" si="1"/>
        <v>Andre</v>
      </c>
      <c r="C101" s="13" t="str">
        <f t="shared" si="2"/>
        <v>Patton</v>
      </c>
      <c r="D101" s="13" t="str">
        <f t="shared" si="3"/>
        <v>#N/A</v>
      </c>
      <c r="E101" s="1" t="s">
        <v>69</v>
      </c>
    </row>
    <row r="102" ht="15.75" customHeight="1">
      <c r="A102" s="1" t="s">
        <v>292</v>
      </c>
      <c r="B102" s="13" t="str">
        <f t="shared" si="1"/>
        <v>Andre</v>
      </c>
      <c r="C102" s="13" t="str">
        <f t="shared" si="2"/>
        <v>Roberts</v>
      </c>
      <c r="D102" s="13" t="str">
        <f t="shared" si="3"/>
        <v>#N/A</v>
      </c>
      <c r="E102" s="1" t="s">
        <v>69</v>
      </c>
    </row>
    <row r="103" ht="15.75" customHeight="1">
      <c r="A103" s="1" t="s">
        <v>293</v>
      </c>
      <c r="B103" s="13" t="str">
        <f t="shared" si="1"/>
        <v>Andre</v>
      </c>
      <c r="C103" s="13" t="str">
        <f t="shared" si="2"/>
        <v>Williams</v>
      </c>
      <c r="D103" s="13" t="str">
        <f t="shared" si="3"/>
        <v>#N/A</v>
      </c>
      <c r="E103" s="1" t="s">
        <v>66</v>
      </c>
    </row>
    <row r="104" ht="15.75" customHeight="1">
      <c r="A104" s="1" t="s">
        <v>295</v>
      </c>
      <c r="B104" s="13" t="str">
        <f t="shared" si="1"/>
        <v>Andre</v>
      </c>
      <c r="C104" s="13" t="str">
        <f t="shared" si="2"/>
        <v>Wilson</v>
      </c>
      <c r="D104" s="13" t="str">
        <f t="shared" si="3"/>
        <v>#N/A</v>
      </c>
      <c r="E104" s="1" t="s">
        <v>69</v>
      </c>
    </row>
    <row r="105" ht="15.75" customHeight="1">
      <c r="A105" s="1" t="s">
        <v>296</v>
      </c>
      <c r="B105" s="13" t="str">
        <f t="shared" si="1"/>
        <v>Andrew</v>
      </c>
      <c r="C105" s="13" t="str">
        <f t="shared" si="2"/>
        <v>Beck</v>
      </c>
      <c r="D105" s="13" t="str">
        <f t="shared" si="3"/>
        <v>#N/A</v>
      </c>
      <c r="E105" s="1" t="s">
        <v>68</v>
      </c>
    </row>
    <row r="106" ht="15.75" customHeight="1">
      <c r="A106" s="1" t="s">
        <v>297</v>
      </c>
      <c r="B106" s="13" t="str">
        <f t="shared" si="1"/>
        <v>Andrew</v>
      </c>
      <c r="C106" s="13" t="str">
        <f t="shared" si="2"/>
        <v>Hawkins</v>
      </c>
      <c r="D106" s="13" t="str">
        <f t="shared" si="3"/>
        <v>#N/A</v>
      </c>
      <c r="E106" s="1" t="s">
        <v>69</v>
      </c>
    </row>
    <row r="107" ht="15.75" customHeight="1">
      <c r="A107" s="1" t="s">
        <v>299</v>
      </c>
      <c r="B107" s="13" t="str">
        <f t="shared" si="1"/>
        <v>Andrew</v>
      </c>
      <c r="C107" s="13" t="str">
        <f t="shared" si="2"/>
        <v>Luck</v>
      </c>
      <c r="D107" s="13" t="str">
        <f t="shared" si="3"/>
        <v>#N/A</v>
      </c>
      <c r="E107" s="1" t="s">
        <v>65</v>
      </c>
    </row>
    <row r="108" ht="15.75" customHeight="1">
      <c r="A108" s="1" t="s">
        <v>300</v>
      </c>
      <c r="B108" s="13" t="str">
        <f t="shared" si="1"/>
        <v>Andrew</v>
      </c>
      <c r="C108" s="13" t="str">
        <f t="shared" si="2"/>
        <v>Ogletree</v>
      </c>
      <c r="D108" s="13" t="str">
        <f t="shared" si="3"/>
        <v>#N/A</v>
      </c>
      <c r="E108" s="1" t="s">
        <v>68</v>
      </c>
    </row>
    <row r="109" ht="15.75" customHeight="1">
      <c r="A109" s="1" t="s">
        <v>302</v>
      </c>
      <c r="B109" s="13" t="str">
        <f t="shared" si="1"/>
        <v>Andrew</v>
      </c>
      <c r="C109" s="13" t="str">
        <f t="shared" si="2"/>
        <v>Quarless</v>
      </c>
      <c r="D109" s="13" t="str">
        <f t="shared" si="3"/>
        <v>#N/A</v>
      </c>
      <c r="E109" s="1" t="s">
        <v>68</v>
      </c>
    </row>
    <row r="110" ht="15.75" customHeight="1">
      <c r="A110" s="1" t="s">
        <v>303</v>
      </c>
      <c r="B110" s="13" t="str">
        <f t="shared" si="1"/>
        <v>Andrew</v>
      </c>
      <c r="C110" s="13" t="str">
        <f t="shared" si="2"/>
        <v>Vollert</v>
      </c>
      <c r="D110" s="13" t="str">
        <f t="shared" si="3"/>
        <v>#N/A</v>
      </c>
      <c r="E110" s="1" t="s">
        <v>68</v>
      </c>
    </row>
    <row r="111" ht="15.75" customHeight="1">
      <c r="A111" s="1" t="s">
        <v>305</v>
      </c>
      <c r="B111" s="13" t="str">
        <f t="shared" si="1"/>
        <v>Andy</v>
      </c>
      <c r="C111" s="13" t="str">
        <f t="shared" si="2"/>
        <v>Cruse</v>
      </c>
      <c r="D111" s="13" t="str">
        <f t="shared" si="3"/>
        <v>#N/A</v>
      </c>
      <c r="E111" s="1" t="s">
        <v>69</v>
      </c>
    </row>
    <row r="112" ht="15.75" customHeight="1">
      <c r="A112" s="1" t="s">
        <v>307</v>
      </c>
      <c r="B112" s="13" t="str">
        <f t="shared" si="1"/>
        <v>Andy</v>
      </c>
      <c r="C112" s="13" t="str">
        <f t="shared" si="2"/>
        <v>Dalton</v>
      </c>
      <c r="D112" s="13" t="str">
        <f t="shared" si="3"/>
        <v>#N/A</v>
      </c>
      <c r="E112" s="1" t="s">
        <v>65</v>
      </c>
    </row>
    <row r="113" ht="15.75" customHeight="1">
      <c r="A113" s="1" t="s">
        <v>308</v>
      </c>
      <c r="B113" s="13" t="str">
        <f t="shared" si="1"/>
        <v>Andy</v>
      </c>
      <c r="C113" s="13" t="str">
        <f t="shared" si="2"/>
        <v>Isabella</v>
      </c>
      <c r="D113" s="13" t="str">
        <f t="shared" si="3"/>
        <v>#N/A</v>
      </c>
      <c r="E113" s="1" t="s">
        <v>69</v>
      </c>
    </row>
    <row r="114" ht="15.75" customHeight="1">
      <c r="A114" s="1" t="s">
        <v>309</v>
      </c>
      <c r="B114" s="13" t="str">
        <f t="shared" si="1"/>
        <v>Andy</v>
      </c>
      <c r="C114" s="13" t="str">
        <f t="shared" si="2"/>
        <v>Janovich</v>
      </c>
      <c r="D114" s="13" t="str">
        <f t="shared" si="3"/>
        <v>#N/A</v>
      </c>
      <c r="E114" s="1" t="s">
        <v>66</v>
      </c>
    </row>
    <row r="115" ht="15.75" customHeight="1">
      <c r="A115" s="1" t="s">
        <v>311</v>
      </c>
      <c r="B115" s="13" t="str">
        <f t="shared" si="1"/>
        <v>Andy</v>
      </c>
      <c r="C115" s="13" t="str">
        <f t="shared" si="2"/>
        <v>Jones</v>
      </c>
      <c r="D115" s="13" t="str">
        <f t="shared" si="3"/>
        <v>#N/A</v>
      </c>
      <c r="E115" s="1" t="s">
        <v>69</v>
      </c>
    </row>
    <row r="116" ht="15.75" customHeight="1">
      <c r="A116" s="1" t="s">
        <v>313</v>
      </c>
      <c r="B116" s="13" t="str">
        <f t="shared" si="1"/>
        <v>Anquan</v>
      </c>
      <c r="C116" s="13" t="str">
        <f t="shared" si="2"/>
        <v>Boldin</v>
      </c>
      <c r="D116" s="13" t="str">
        <f t="shared" si="3"/>
        <v>#N/A</v>
      </c>
      <c r="E116" s="1" t="s">
        <v>69</v>
      </c>
    </row>
    <row r="117" ht="15.75" customHeight="1">
      <c r="A117" s="1" t="s">
        <v>314</v>
      </c>
      <c r="B117" s="13" t="str">
        <f t="shared" si="1"/>
        <v>Anthony</v>
      </c>
      <c r="C117" s="13" t="str">
        <f t="shared" si="2"/>
        <v>Boone</v>
      </c>
      <c r="D117" s="13" t="str">
        <f t="shared" si="3"/>
        <v>#N/A</v>
      </c>
      <c r="E117" s="1" t="s">
        <v>65</v>
      </c>
    </row>
    <row r="118" ht="15.75" customHeight="1">
      <c r="A118" s="1" t="s">
        <v>316</v>
      </c>
      <c r="B118" s="13" t="str">
        <f t="shared" si="1"/>
        <v>Anthony</v>
      </c>
      <c r="C118" s="13" t="str">
        <f t="shared" si="2"/>
        <v>Dable</v>
      </c>
      <c r="D118" s="13" t="str">
        <f t="shared" si="3"/>
        <v>#N/A</v>
      </c>
      <c r="E118" s="1" t="s">
        <v>69</v>
      </c>
    </row>
    <row r="119" ht="15.75" customHeight="1">
      <c r="A119" s="1" t="s">
        <v>317</v>
      </c>
      <c r="B119" s="13" t="str">
        <f t="shared" si="1"/>
        <v>Anthony</v>
      </c>
      <c r="C119" s="13" t="str">
        <f t="shared" si="2"/>
        <v>Denham</v>
      </c>
      <c r="D119" s="13" t="str">
        <f t="shared" si="3"/>
        <v>#N/A</v>
      </c>
      <c r="E119" s="1" t="s">
        <v>68</v>
      </c>
    </row>
    <row r="120" ht="15.75" customHeight="1">
      <c r="A120" s="1" t="s">
        <v>319</v>
      </c>
      <c r="B120" s="13" t="str">
        <f t="shared" si="1"/>
        <v>Anthony</v>
      </c>
      <c r="C120" s="13" t="str">
        <f t="shared" si="2"/>
        <v>Dixon</v>
      </c>
      <c r="D120" s="13" t="str">
        <f t="shared" si="3"/>
        <v>#N/A</v>
      </c>
      <c r="E120" s="1" t="s">
        <v>66</v>
      </c>
    </row>
    <row r="121" ht="15.75" customHeight="1">
      <c r="A121" s="1" t="s">
        <v>321</v>
      </c>
      <c r="B121" s="13" t="str">
        <f t="shared" si="1"/>
        <v>Anthony</v>
      </c>
      <c r="C121" s="13" t="str">
        <f t="shared" si="2"/>
        <v>Fasano</v>
      </c>
      <c r="D121" s="13" t="str">
        <f t="shared" si="3"/>
        <v>#N/A</v>
      </c>
      <c r="E121" s="1" t="s">
        <v>68</v>
      </c>
    </row>
    <row r="122" ht="15.75" customHeight="1">
      <c r="A122" s="1" t="s">
        <v>322</v>
      </c>
      <c r="B122" s="13" t="str">
        <f t="shared" si="1"/>
        <v>Anthony</v>
      </c>
      <c r="C122" s="13" t="str">
        <f t="shared" si="2"/>
        <v>Firkser</v>
      </c>
      <c r="D122" s="13" t="str">
        <f t="shared" si="3"/>
        <v>#N/A</v>
      </c>
      <c r="E122" s="1" t="s">
        <v>68</v>
      </c>
    </row>
    <row r="123" ht="15.75" customHeight="1">
      <c r="A123" s="1" t="s">
        <v>324</v>
      </c>
      <c r="B123" s="13" t="str">
        <f t="shared" si="1"/>
        <v>Anthony</v>
      </c>
      <c r="C123" s="13" t="str">
        <f t="shared" si="2"/>
        <v>Gonzalez</v>
      </c>
      <c r="D123" s="13" t="str">
        <f t="shared" si="3"/>
        <v>#N/A</v>
      </c>
      <c r="E123" s="1" t="s">
        <v>69</v>
      </c>
    </row>
    <row r="124" ht="15.75" customHeight="1">
      <c r="A124" s="1" t="s">
        <v>326</v>
      </c>
      <c r="B124" s="13" t="str">
        <f t="shared" si="1"/>
        <v>Anthony</v>
      </c>
      <c r="C124" s="13" t="str">
        <f t="shared" si="2"/>
        <v>Gordon</v>
      </c>
      <c r="D124" s="13" t="str">
        <f t="shared" si="3"/>
        <v>#N/A</v>
      </c>
      <c r="E124" s="1" t="s">
        <v>65</v>
      </c>
    </row>
    <row r="125" ht="15.75" customHeight="1">
      <c r="A125" s="1" t="s">
        <v>327</v>
      </c>
      <c r="B125" s="13" t="str">
        <f t="shared" si="1"/>
        <v>Anthony</v>
      </c>
      <c r="C125" s="13" t="str">
        <f t="shared" si="2"/>
        <v>Johnson</v>
      </c>
      <c r="D125" s="13" t="str">
        <f t="shared" si="3"/>
        <v>#N/A</v>
      </c>
      <c r="E125" s="1" t="s">
        <v>69</v>
      </c>
    </row>
    <row r="126" ht="15.75" customHeight="1">
      <c r="A126" s="1" t="s">
        <v>329</v>
      </c>
      <c r="B126" s="13" t="str">
        <f t="shared" si="1"/>
        <v>Anthony</v>
      </c>
      <c r="C126" s="13" t="str">
        <f t="shared" si="2"/>
        <v>McCoy</v>
      </c>
      <c r="D126" s="13" t="str">
        <f t="shared" si="3"/>
        <v>#N/A</v>
      </c>
      <c r="E126" s="1" t="s">
        <v>68</v>
      </c>
    </row>
    <row r="127" ht="15.75" customHeight="1">
      <c r="A127" s="1" t="s">
        <v>330</v>
      </c>
      <c r="B127" s="13" t="str">
        <f t="shared" si="1"/>
        <v>Anthony</v>
      </c>
      <c r="C127" s="13" t="str">
        <f t="shared" si="2"/>
        <v>McFarland</v>
      </c>
      <c r="D127" s="13" t="str">
        <f t="shared" si="3"/>
        <v>#N/A</v>
      </c>
      <c r="E127" s="1" t="s">
        <v>66</v>
      </c>
    </row>
    <row r="128" ht="15.75" customHeight="1">
      <c r="A128" s="1" t="s">
        <v>332</v>
      </c>
      <c r="B128" s="13" t="str">
        <f t="shared" si="1"/>
        <v>Anthony</v>
      </c>
      <c r="C128" s="13" t="str">
        <f t="shared" si="2"/>
        <v>Miller</v>
      </c>
      <c r="D128" s="13" t="str">
        <f t="shared" si="3"/>
        <v>#N/A</v>
      </c>
      <c r="E128" s="1" t="s">
        <v>69</v>
      </c>
    </row>
    <row r="129" ht="15.75" customHeight="1">
      <c r="A129" s="1" t="s">
        <v>333</v>
      </c>
      <c r="B129" s="13" t="str">
        <f t="shared" si="1"/>
        <v>Anthony</v>
      </c>
      <c r="C129" s="13" t="str">
        <f t="shared" si="2"/>
        <v>Ratliff-Williams</v>
      </c>
      <c r="D129" s="13" t="str">
        <f t="shared" si="3"/>
        <v>#N/A</v>
      </c>
      <c r="E129" s="1" t="s">
        <v>69</v>
      </c>
    </row>
    <row r="130" ht="15.75" customHeight="1">
      <c r="A130" s="1" t="s">
        <v>334</v>
      </c>
      <c r="B130" s="13" t="str">
        <f t="shared" si="1"/>
        <v>Anthony</v>
      </c>
      <c r="C130" s="13" t="str">
        <f t="shared" si="2"/>
        <v>Richardson</v>
      </c>
      <c r="D130" s="13" t="str">
        <f t="shared" si="3"/>
        <v>#N/A</v>
      </c>
      <c r="E130" s="1" t="s">
        <v>65</v>
      </c>
    </row>
    <row r="131" ht="15.75" customHeight="1">
      <c r="A131" s="1" t="s">
        <v>336</v>
      </c>
      <c r="B131" s="13" t="str">
        <f t="shared" si="1"/>
        <v>Anthony</v>
      </c>
      <c r="C131" s="13" t="str">
        <f t="shared" si="2"/>
        <v>Schwartz</v>
      </c>
      <c r="D131" s="13" t="str">
        <f t="shared" si="3"/>
        <v>#N/A</v>
      </c>
      <c r="E131" s="1" t="s">
        <v>69</v>
      </c>
    </row>
    <row r="132" ht="15.75" customHeight="1">
      <c r="A132" s="1" t="s">
        <v>337</v>
      </c>
      <c r="B132" s="13" t="str">
        <f t="shared" si="1"/>
        <v>Anthony</v>
      </c>
      <c r="C132" s="13" t="str">
        <f t="shared" si="2"/>
        <v>Sherman</v>
      </c>
      <c r="D132" s="13" t="str">
        <f t="shared" si="3"/>
        <v>#N/A</v>
      </c>
      <c r="E132" s="1" t="s">
        <v>66</v>
      </c>
    </row>
    <row r="133" ht="15.75" customHeight="1">
      <c r="A133" s="1" t="s">
        <v>338</v>
      </c>
      <c r="B133" s="13" t="str">
        <f t="shared" si="1"/>
        <v>Antoine</v>
      </c>
      <c r="C133" s="13" t="str">
        <f t="shared" si="2"/>
        <v>Wesley</v>
      </c>
      <c r="D133" s="13" t="str">
        <f t="shared" si="3"/>
        <v>#N/A</v>
      </c>
      <c r="E133" s="1" t="s">
        <v>69</v>
      </c>
    </row>
    <row r="134" ht="15.75" customHeight="1">
      <c r="A134" s="1" t="s">
        <v>340</v>
      </c>
      <c r="B134" s="13" t="str">
        <f t="shared" si="1"/>
        <v>Antone</v>
      </c>
      <c r="C134" s="13" t="str">
        <f t="shared" si="2"/>
        <v>Smith</v>
      </c>
      <c r="D134" s="13" t="str">
        <f t="shared" si="3"/>
        <v>#N/A</v>
      </c>
      <c r="E134" s="1" t="s">
        <v>66</v>
      </c>
    </row>
    <row r="135" ht="15.75" customHeight="1">
      <c r="A135" s="1" t="s">
        <v>341</v>
      </c>
      <c r="B135" s="13" t="str">
        <f t="shared" si="1"/>
        <v>Antonio</v>
      </c>
      <c r="C135" s="13" t="str">
        <f t="shared" si="2"/>
        <v>Andrews</v>
      </c>
      <c r="D135" s="13" t="str">
        <f t="shared" si="3"/>
        <v>#N/A</v>
      </c>
      <c r="E135" s="1" t="s">
        <v>66</v>
      </c>
    </row>
    <row r="136" ht="15.75" customHeight="1">
      <c r="A136" s="1" t="s">
        <v>229</v>
      </c>
      <c r="B136" s="13" t="str">
        <f t="shared" si="1"/>
        <v>Antonio</v>
      </c>
      <c r="C136" s="13" t="str">
        <f t="shared" si="2"/>
        <v>Brown</v>
      </c>
      <c r="D136" s="13" t="str">
        <f t="shared" si="3"/>
        <v>#N/A</v>
      </c>
      <c r="E136" s="1" t="s">
        <v>69</v>
      </c>
    </row>
    <row r="137" ht="15.75" customHeight="1">
      <c r="A137" s="1" t="s">
        <v>343</v>
      </c>
      <c r="B137" s="13" t="str">
        <f t="shared" si="1"/>
        <v>Antonio</v>
      </c>
      <c r="C137" s="13" t="str">
        <f t="shared" si="2"/>
        <v>Callaway</v>
      </c>
      <c r="D137" s="13" t="str">
        <f t="shared" si="3"/>
        <v>#N/A</v>
      </c>
      <c r="E137" s="1" t="s">
        <v>69</v>
      </c>
    </row>
    <row r="138" ht="15.75" customHeight="1">
      <c r="A138" s="1" t="s">
        <v>344</v>
      </c>
      <c r="B138" s="13" t="str">
        <f t="shared" si="1"/>
        <v>Antonio</v>
      </c>
      <c r="C138" s="13" t="str">
        <f t="shared" si="2"/>
        <v>Gandy-Golden</v>
      </c>
      <c r="D138" s="13" t="str">
        <f t="shared" si="3"/>
        <v>#N/A</v>
      </c>
      <c r="E138" s="1" t="s">
        <v>69</v>
      </c>
    </row>
    <row r="139" ht="15.75" customHeight="1">
      <c r="A139" s="1" t="s">
        <v>346</v>
      </c>
      <c r="B139" s="13" t="str">
        <f t="shared" si="1"/>
        <v>Antonio</v>
      </c>
      <c r="C139" s="13" t="str">
        <f t="shared" si="2"/>
        <v>Gates</v>
      </c>
      <c r="D139" s="13" t="str">
        <f t="shared" si="3"/>
        <v>#N/A</v>
      </c>
      <c r="E139" s="1" t="s">
        <v>68</v>
      </c>
    </row>
    <row r="140" ht="15.75" customHeight="1">
      <c r="A140" s="1" t="s">
        <v>109</v>
      </c>
      <c r="B140" s="13" t="str">
        <f t="shared" si="1"/>
        <v>Antonio</v>
      </c>
      <c r="C140" s="13" t="str">
        <f t="shared" si="2"/>
        <v>Gibson</v>
      </c>
      <c r="D140" s="13" t="str">
        <f t="shared" si="3"/>
        <v>#N/A</v>
      </c>
      <c r="E140" s="1" t="s">
        <v>66</v>
      </c>
    </row>
    <row r="141" ht="15.75" customHeight="1">
      <c r="A141" s="1" t="s">
        <v>349</v>
      </c>
      <c r="B141" s="13" t="str">
        <f t="shared" si="1"/>
        <v>Antonio</v>
      </c>
      <c r="C141" s="13" t="str">
        <f t="shared" si="2"/>
        <v>Nunn</v>
      </c>
      <c r="D141" s="13" t="str">
        <f t="shared" si="3"/>
        <v>#N/A</v>
      </c>
      <c r="E141" s="1" t="s">
        <v>69</v>
      </c>
    </row>
    <row r="142" ht="15.75" customHeight="1">
      <c r="A142" s="1" t="s">
        <v>351</v>
      </c>
      <c r="B142" s="13" t="str">
        <f t="shared" si="1"/>
        <v>Antonio</v>
      </c>
      <c r="C142" s="13" t="str">
        <f t="shared" si="2"/>
        <v>Williams</v>
      </c>
      <c r="D142" s="13" t="str">
        <f t="shared" si="3"/>
        <v>#N/A</v>
      </c>
      <c r="E142" s="1" t="s">
        <v>69</v>
      </c>
    </row>
    <row r="143" ht="15.75" customHeight="1">
      <c r="A143" s="1" t="s">
        <v>351</v>
      </c>
      <c r="B143" s="13" t="str">
        <f t="shared" si="1"/>
        <v>Antonio</v>
      </c>
      <c r="C143" s="13" t="str">
        <f t="shared" si="2"/>
        <v>Williams</v>
      </c>
      <c r="D143" s="13" t="str">
        <f t="shared" si="3"/>
        <v>#N/A</v>
      </c>
      <c r="E143" s="1" t="s">
        <v>66</v>
      </c>
    </row>
    <row r="144" ht="15.75" customHeight="1">
      <c r="A144" s="1" t="s">
        <v>353</v>
      </c>
      <c r="B144" s="13" t="str">
        <f t="shared" si="1"/>
        <v>Antony</v>
      </c>
      <c r="C144" s="13" t="str">
        <f t="shared" si="2"/>
        <v>Auclair</v>
      </c>
      <c r="D144" s="13" t="str">
        <f t="shared" si="3"/>
        <v>#N/A</v>
      </c>
      <c r="E144" s="1" t="s">
        <v>68</v>
      </c>
    </row>
    <row r="145" ht="15.75" customHeight="1">
      <c r="A145" s="1" t="s">
        <v>355</v>
      </c>
      <c r="B145" s="13" t="str">
        <f t="shared" si="1"/>
        <v>Antwan</v>
      </c>
      <c r="C145" s="13" t="str">
        <f t="shared" si="2"/>
        <v>Davis</v>
      </c>
      <c r="D145" s="13" t="str">
        <f t="shared" si="3"/>
        <v>#N/A</v>
      </c>
      <c r="E145" s="1" t="s">
        <v>69</v>
      </c>
    </row>
    <row r="146" ht="15.75" customHeight="1">
      <c r="A146" s="1" t="s">
        <v>356</v>
      </c>
      <c r="B146" s="13" t="str">
        <f t="shared" si="1"/>
        <v>Antwan</v>
      </c>
      <c r="C146" s="13" t="str">
        <f t="shared" si="2"/>
        <v>Goodley</v>
      </c>
      <c r="D146" s="13" t="str">
        <f t="shared" si="3"/>
        <v>#N/A</v>
      </c>
      <c r="E146" s="1" t="s">
        <v>69</v>
      </c>
    </row>
    <row r="147" ht="15.75" customHeight="1">
      <c r="A147" s="1" t="s">
        <v>358</v>
      </c>
      <c r="B147" s="13" t="str">
        <f t="shared" si="1"/>
        <v>Antwane</v>
      </c>
      <c r="C147" s="13" t="str">
        <f t="shared" si="2"/>
        <v>Grant</v>
      </c>
      <c r="D147" s="13" t="str">
        <f t="shared" si="3"/>
        <v>#N/A</v>
      </c>
      <c r="E147" s="1" t="s">
        <v>69</v>
      </c>
    </row>
    <row r="148" ht="15.75" customHeight="1">
      <c r="A148" s="1" t="s">
        <v>359</v>
      </c>
      <c r="B148" s="13" t="str">
        <f t="shared" si="1"/>
        <v>Antwane</v>
      </c>
      <c r="C148" s="13" t="str">
        <f t="shared" si="2"/>
        <v>Wells</v>
      </c>
      <c r="D148" s="13" t="str">
        <f t="shared" si="3"/>
        <v>#N/A</v>
      </c>
      <c r="E148" s="1" t="s">
        <v>69</v>
      </c>
    </row>
    <row r="149" ht="15.75" customHeight="1">
      <c r="A149" s="1" t="s">
        <v>361</v>
      </c>
      <c r="B149" s="13" t="str">
        <f t="shared" si="1"/>
        <v>Aqeel</v>
      </c>
      <c r="C149" s="13" t="str">
        <f t="shared" si="2"/>
        <v>Glass</v>
      </c>
      <c r="D149" s="13" t="str">
        <f t="shared" si="3"/>
        <v>#N/A</v>
      </c>
      <c r="E149" s="1" t="s">
        <v>65</v>
      </c>
    </row>
    <row r="150" ht="15.75" customHeight="1">
      <c r="A150" s="1" t="s">
        <v>363</v>
      </c>
      <c r="B150" s="13" t="str">
        <f t="shared" si="1"/>
        <v>Arch</v>
      </c>
      <c r="C150" s="13" t="str">
        <f t="shared" si="2"/>
        <v>Manning</v>
      </c>
      <c r="D150" s="13" t="str">
        <f t="shared" si="3"/>
        <v>#N/A</v>
      </c>
      <c r="E150" s="1" t="s">
        <v>65</v>
      </c>
    </row>
    <row r="151" ht="15.75" customHeight="1">
      <c r="A151" s="1" t="s">
        <v>364</v>
      </c>
      <c r="B151" s="13" t="str">
        <f t="shared" si="1"/>
        <v>ArDarius</v>
      </c>
      <c r="C151" s="13" t="str">
        <f t="shared" si="2"/>
        <v>Stewart</v>
      </c>
      <c r="D151" s="13" t="str">
        <f t="shared" si="3"/>
        <v>#N/A</v>
      </c>
      <c r="E151" s="1" t="s">
        <v>69</v>
      </c>
    </row>
    <row r="152" ht="15.75" customHeight="1">
      <c r="A152" s="1" t="s">
        <v>365</v>
      </c>
      <c r="B152" s="13" t="str">
        <f t="shared" si="1"/>
        <v>Arian</v>
      </c>
      <c r="C152" s="13" t="str">
        <f t="shared" si="2"/>
        <v>Foster</v>
      </c>
      <c r="D152" s="13" t="str">
        <f t="shared" si="3"/>
        <v>#N/A</v>
      </c>
      <c r="E152" s="1" t="s">
        <v>66</v>
      </c>
    </row>
    <row r="153" ht="15.75" customHeight="1">
      <c r="A153" s="1" t="s">
        <v>367</v>
      </c>
      <c r="B153" s="13" t="str">
        <f t="shared" si="1"/>
        <v>Arik</v>
      </c>
      <c r="C153" s="13" t="str">
        <f t="shared" si="2"/>
        <v>Gilbert</v>
      </c>
      <c r="D153" s="13" t="str">
        <f t="shared" si="3"/>
        <v>#N/A</v>
      </c>
      <c r="E153" s="1" t="s">
        <v>68</v>
      </c>
    </row>
    <row r="154" ht="15.75" customHeight="1">
      <c r="A154" s="1" t="s">
        <v>368</v>
      </c>
      <c r="B154" s="13" t="str">
        <f t="shared" si="1"/>
        <v>#VALUE!</v>
      </c>
      <c r="C154" s="13" t="str">
        <f t="shared" si="2"/>
        <v>#VALUE!</v>
      </c>
      <c r="D154" s="13" t="str">
        <f t="shared" si="3"/>
        <v>#N/A</v>
      </c>
      <c r="E154" s="1" t="s">
        <v>63</v>
      </c>
    </row>
    <row r="155" ht="15.75" customHeight="1">
      <c r="A155" s="1" t="s">
        <v>370</v>
      </c>
      <c r="B155" s="13" t="str">
        <f t="shared" si="1"/>
        <v>Armon</v>
      </c>
      <c r="C155" s="13" t="str">
        <f t="shared" si="2"/>
        <v>Binns</v>
      </c>
      <c r="D155" s="13" t="str">
        <f t="shared" si="3"/>
        <v>#N/A</v>
      </c>
      <c r="E155" s="1" t="s">
        <v>69</v>
      </c>
    </row>
    <row r="156" ht="15.75" customHeight="1">
      <c r="A156" s="1" t="s">
        <v>371</v>
      </c>
      <c r="B156" s="13" t="str">
        <f t="shared" si="1"/>
        <v>Arnaz</v>
      </c>
      <c r="C156" s="13" t="str">
        <f t="shared" si="2"/>
        <v>Battle</v>
      </c>
      <c r="D156" s="13" t="str">
        <f t="shared" si="3"/>
        <v>#N/A</v>
      </c>
      <c r="E156" s="1" t="s">
        <v>69</v>
      </c>
    </row>
    <row r="157" ht="15.75" customHeight="1">
      <c r="A157" s="1" t="s">
        <v>373</v>
      </c>
      <c r="B157" s="13" t="str">
        <f t="shared" si="1"/>
        <v>Arrelious</v>
      </c>
      <c r="C157" s="13" t="str">
        <f t="shared" si="2"/>
        <v>Benn</v>
      </c>
      <c r="D157" s="13" t="str">
        <f t="shared" si="3"/>
        <v>#N/A</v>
      </c>
      <c r="E157" s="1" t="s">
        <v>69</v>
      </c>
    </row>
    <row r="158" ht="15.75" customHeight="1">
      <c r="A158" s="1" t="s">
        <v>374</v>
      </c>
      <c r="B158" s="13" t="str">
        <f t="shared" si="1"/>
        <v>Art</v>
      </c>
      <c r="C158" s="13" t="str">
        <f t="shared" si="2"/>
        <v>Thompkins</v>
      </c>
      <c r="D158" s="13" t="str">
        <f t="shared" si="3"/>
        <v>#N/A</v>
      </c>
      <c r="E158" s="1" t="s">
        <v>66</v>
      </c>
    </row>
    <row r="159" ht="15.75" customHeight="1">
      <c r="A159" s="1" t="s">
        <v>376</v>
      </c>
      <c r="B159" s="13" t="str">
        <f t="shared" si="1"/>
        <v>Artavis</v>
      </c>
      <c r="C159" s="13" t="str">
        <f t="shared" si="2"/>
        <v>Pierce</v>
      </c>
      <c r="D159" s="13" t="str">
        <f t="shared" si="3"/>
        <v>#N/A</v>
      </c>
      <c r="E159" s="1" t="s">
        <v>66</v>
      </c>
    </row>
    <row r="160" ht="15.75" customHeight="1">
      <c r="A160" s="1" t="s">
        <v>378</v>
      </c>
      <c r="B160" s="13" t="str">
        <f t="shared" si="1"/>
        <v>Artavis</v>
      </c>
      <c r="C160" s="13" t="str">
        <f t="shared" si="2"/>
        <v>Scott</v>
      </c>
      <c r="D160" s="13" t="str">
        <f t="shared" si="3"/>
        <v>#N/A</v>
      </c>
      <c r="E160" s="1" t="s">
        <v>69</v>
      </c>
    </row>
    <row r="161" ht="15.75" customHeight="1">
      <c r="A161" s="1" t="s">
        <v>379</v>
      </c>
      <c r="B161" s="13" t="str">
        <f t="shared" si="1"/>
        <v>Artayvious</v>
      </c>
      <c r="C161" s="13" t="str">
        <f t="shared" si="2"/>
        <v>Lynn</v>
      </c>
      <c r="D161" s="13" t="str">
        <f t="shared" si="3"/>
        <v>#N/A</v>
      </c>
      <c r="E161" s="1" t="s">
        <v>68</v>
      </c>
    </row>
    <row r="162" ht="15.75" customHeight="1">
      <c r="A162" s="1" t="s">
        <v>380</v>
      </c>
      <c r="B162" s="13" t="str">
        <f t="shared" si="1"/>
        <v>Arthur</v>
      </c>
      <c r="C162" s="13" t="str">
        <f t="shared" si="2"/>
        <v>Lynch</v>
      </c>
      <c r="D162" s="13" t="str">
        <f t="shared" si="3"/>
        <v>#N/A</v>
      </c>
      <c r="E162" s="1" t="s">
        <v>68</v>
      </c>
    </row>
    <row r="163" ht="15.75" customHeight="1">
      <c r="A163" s="1" t="s">
        <v>382</v>
      </c>
      <c r="B163" s="13" t="str">
        <f t="shared" si="1"/>
        <v>Asa</v>
      </c>
      <c r="C163" s="13" t="str">
        <f t="shared" si="2"/>
        <v>Watson</v>
      </c>
      <c r="D163" s="13" t="str">
        <f t="shared" si="3"/>
        <v>#N/A</v>
      </c>
      <c r="E163" s="1" t="s">
        <v>68</v>
      </c>
    </row>
    <row r="164" ht="15.75" customHeight="1">
      <c r="A164" s="1" t="s">
        <v>383</v>
      </c>
      <c r="B164" s="13" t="str">
        <f t="shared" si="1"/>
        <v>Asante</v>
      </c>
      <c r="C164" s="13" t="str">
        <f t="shared" si="2"/>
        <v>Cleveland</v>
      </c>
      <c r="D164" s="13" t="str">
        <f t="shared" si="3"/>
        <v>#N/A</v>
      </c>
      <c r="E164" s="1" t="s">
        <v>68</v>
      </c>
    </row>
    <row r="165" ht="15.75" customHeight="1">
      <c r="A165" s="1" t="s">
        <v>384</v>
      </c>
      <c r="B165" s="13" t="str">
        <f t="shared" si="1"/>
        <v>Ashley</v>
      </c>
      <c r="C165" s="13" t="str">
        <f t="shared" si="2"/>
        <v>Lelie</v>
      </c>
      <c r="D165" s="13" t="str">
        <f t="shared" si="3"/>
        <v>#N/A</v>
      </c>
      <c r="E165" s="1" t="s">
        <v>69</v>
      </c>
    </row>
    <row r="166" ht="15.75" customHeight="1">
      <c r="A166" s="1" t="s">
        <v>386</v>
      </c>
      <c r="B166" s="13" t="str">
        <f t="shared" si="1"/>
        <v>Ashton</v>
      </c>
      <c r="C166" s="13" t="str">
        <f t="shared" si="2"/>
        <v>Dulin</v>
      </c>
      <c r="D166" s="13" t="str">
        <f t="shared" si="3"/>
        <v>#N/A</v>
      </c>
      <c r="E166" s="1" t="s">
        <v>69</v>
      </c>
    </row>
    <row r="167" ht="15.75" customHeight="1">
      <c r="A167" s="1" t="s">
        <v>387</v>
      </c>
      <c r="B167" s="13" t="str">
        <f t="shared" si="1"/>
        <v>Asim</v>
      </c>
      <c r="C167" s="13" t="str">
        <f t="shared" si="2"/>
        <v>Rose</v>
      </c>
      <c r="D167" s="13" t="str">
        <f t="shared" si="3"/>
        <v>#N/A</v>
      </c>
      <c r="E167" s="1" t="s">
        <v>66</v>
      </c>
    </row>
    <row r="168" ht="15.75" customHeight="1">
      <c r="A168" s="1" t="s">
        <v>388</v>
      </c>
      <c r="B168" s="13" t="str">
        <f t="shared" si="1"/>
        <v>Auden</v>
      </c>
      <c r="C168" s="13" t="str">
        <f t="shared" si="2"/>
        <v>Tate</v>
      </c>
      <c r="D168" s="13" t="str">
        <f t="shared" si="3"/>
        <v>#N/A</v>
      </c>
      <c r="E168" s="1" t="s">
        <v>69</v>
      </c>
    </row>
    <row r="169" ht="15.75" customHeight="1">
      <c r="A169" s="1" t="s">
        <v>390</v>
      </c>
      <c r="B169" s="13" t="str">
        <f t="shared" si="1"/>
        <v>Austin</v>
      </c>
      <c r="C169" s="13" t="str">
        <f t="shared" si="2"/>
        <v>Allen</v>
      </c>
      <c r="D169" s="13" t="str">
        <f t="shared" si="3"/>
        <v>#N/A</v>
      </c>
      <c r="E169" s="1" t="s">
        <v>65</v>
      </c>
    </row>
    <row r="170" ht="15.75" customHeight="1">
      <c r="A170" s="1" t="s">
        <v>390</v>
      </c>
      <c r="B170" s="13" t="str">
        <f t="shared" si="1"/>
        <v>Austin</v>
      </c>
      <c r="C170" s="13" t="str">
        <f t="shared" si="2"/>
        <v>Allen</v>
      </c>
      <c r="D170" s="13" t="str">
        <f t="shared" si="3"/>
        <v>#N/A</v>
      </c>
      <c r="E170" s="1" t="s">
        <v>68</v>
      </c>
    </row>
    <row r="171" ht="15.75" customHeight="1">
      <c r="A171" s="1" t="s">
        <v>392</v>
      </c>
      <c r="B171" s="13" t="str">
        <f t="shared" si="1"/>
        <v>Austin</v>
      </c>
      <c r="C171" s="13" t="str">
        <f t="shared" si="2"/>
        <v>Appleby</v>
      </c>
      <c r="D171" s="13" t="str">
        <f t="shared" si="3"/>
        <v>#N/A</v>
      </c>
      <c r="E171" s="1" t="s">
        <v>65</v>
      </c>
    </row>
    <row r="172" ht="15.75" customHeight="1">
      <c r="A172" s="1" t="s">
        <v>393</v>
      </c>
      <c r="B172" s="13" t="str">
        <f t="shared" si="1"/>
        <v>Austin</v>
      </c>
      <c r="C172" s="13" t="str">
        <f t="shared" si="2"/>
        <v>Carr</v>
      </c>
      <c r="D172" s="13" t="str">
        <f t="shared" si="3"/>
        <v>#N/A</v>
      </c>
      <c r="E172" s="1" t="s">
        <v>69</v>
      </c>
    </row>
    <row r="173" ht="15.75" customHeight="1">
      <c r="A173" s="1" t="s">
        <v>395</v>
      </c>
      <c r="B173" s="13" t="str">
        <f t="shared" si="1"/>
        <v>Austin</v>
      </c>
      <c r="C173" s="13" t="str">
        <f t="shared" si="2"/>
        <v>Collie</v>
      </c>
      <c r="D173" s="13" t="str">
        <f t="shared" si="3"/>
        <v>#N/A</v>
      </c>
      <c r="E173" s="1" t="s">
        <v>69</v>
      </c>
    </row>
    <row r="174" ht="15.75" customHeight="1">
      <c r="A174" s="1" t="s">
        <v>396</v>
      </c>
      <c r="B174" s="13" t="str">
        <f t="shared" si="1"/>
        <v>Austin</v>
      </c>
      <c r="C174" s="13" t="str">
        <f t="shared" si="2"/>
        <v>Davis</v>
      </c>
      <c r="D174" s="13" t="str">
        <f t="shared" si="3"/>
        <v>#N/A</v>
      </c>
      <c r="E174" s="1" t="s">
        <v>65</v>
      </c>
    </row>
    <row r="175" ht="15.75" customHeight="1">
      <c r="A175" s="1" t="s">
        <v>397</v>
      </c>
      <c r="B175" s="13" t="str">
        <f t="shared" si="1"/>
        <v>Austin</v>
      </c>
      <c r="C175" s="13" t="str">
        <f t="shared" si="2"/>
        <v>Dodge</v>
      </c>
      <c r="D175" s="13" t="str">
        <f t="shared" si="3"/>
        <v>#N/A</v>
      </c>
      <c r="E175" s="1" t="s">
        <v>65</v>
      </c>
    </row>
    <row r="176" ht="15.75" customHeight="1">
      <c r="A176" s="1" t="s">
        <v>399</v>
      </c>
      <c r="B176" s="13" t="str">
        <f t="shared" si="1"/>
        <v>Austin</v>
      </c>
      <c r="C176" s="13" t="str">
        <f t="shared" si="2"/>
        <v>Duke</v>
      </c>
      <c r="D176" s="13" t="str">
        <f t="shared" si="3"/>
        <v>#N/A</v>
      </c>
      <c r="E176" s="1" t="s">
        <v>69</v>
      </c>
    </row>
    <row r="177" ht="15.75" customHeight="1">
      <c r="A177" s="1" t="s">
        <v>256</v>
      </c>
      <c r="B177" s="13" t="str">
        <f t="shared" si="1"/>
        <v>Austin</v>
      </c>
      <c r="C177" s="13" t="str">
        <f t="shared" si="2"/>
        <v>Ekeler</v>
      </c>
      <c r="D177" s="13" t="str">
        <f t="shared" si="3"/>
        <v>#N/A</v>
      </c>
      <c r="E177" s="1" t="s">
        <v>66</v>
      </c>
    </row>
    <row r="178" ht="15.75" customHeight="1">
      <c r="A178" s="1" t="s">
        <v>401</v>
      </c>
      <c r="B178" s="13" t="str">
        <f t="shared" si="1"/>
        <v>Austin</v>
      </c>
      <c r="C178" s="13" t="str">
        <f t="shared" si="2"/>
        <v>Fort</v>
      </c>
      <c r="D178" s="13" t="str">
        <f t="shared" si="3"/>
        <v>#N/A</v>
      </c>
      <c r="E178" s="1" t="s">
        <v>68</v>
      </c>
    </row>
    <row r="179" ht="15.75" customHeight="1">
      <c r="A179" s="1" t="s">
        <v>403</v>
      </c>
      <c r="B179" s="13" t="str">
        <f t="shared" si="1"/>
        <v>Austin</v>
      </c>
      <c r="C179" s="13" t="str">
        <f t="shared" si="2"/>
        <v>Franklin</v>
      </c>
      <c r="D179" s="13" t="str">
        <f t="shared" si="3"/>
        <v>#N/A</v>
      </c>
      <c r="E179" s="1" t="s">
        <v>69</v>
      </c>
    </row>
    <row r="180" ht="15.75" customHeight="1">
      <c r="A180" s="1" t="s">
        <v>404</v>
      </c>
      <c r="B180" s="13" t="str">
        <f t="shared" si="1"/>
        <v>Austin</v>
      </c>
      <c r="C180" s="13" t="str">
        <f t="shared" si="2"/>
        <v>Hill</v>
      </c>
      <c r="D180" s="13" t="str">
        <f t="shared" si="3"/>
        <v>#N/A</v>
      </c>
      <c r="E180" s="1" t="s">
        <v>69</v>
      </c>
    </row>
    <row r="181" ht="15.75" customHeight="1">
      <c r="A181" s="1" t="s">
        <v>406</v>
      </c>
      <c r="B181" s="13" t="str">
        <f t="shared" si="1"/>
        <v>Austin</v>
      </c>
      <c r="C181" s="13" t="str">
        <f t="shared" si="2"/>
        <v>Hooper</v>
      </c>
      <c r="D181" s="13" t="str">
        <f t="shared" si="3"/>
        <v>#N/A</v>
      </c>
      <c r="E181" s="1" t="s">
        <v>68</v>
      </c>
    </row>
    <row r="182" ht="15.75" customHeight="1">
      <c r="A182" s="1" t="s">
        <v>408</v>
      </c>
      <c r="B182" s="13" t="str">
        <f t="shared" si="1"/>
        <v>Austin</v>
      </c>
      <c r="C182" s="13" t="str">
        <f t="shared" si="2"/>
        <v>Johnson</v>
      </c>
      <c r="D182" s="13" t="str">
        <f t="shared" si="3"/>
        <v>#N/A</v>
      </c>
      <c r="E182" s="1" t="s">
        <v>66</v>
      </c>
    </row>
    <row r="183" ht="15.75" customHeight="1">
      <c r="A183" s="1" t="s">
        <v>409</v>
      </c>
      <c r="B183" s="13" t="str">
        <f t="shared" si="1"/>
        <v>Austin</v>
      </c>
      <c r="C183" s="13" t="str">
        <f t="shared" si="2"/>
        <v>Jones</v>
      </c>
      <c r="D183" s="13" t="str">
        <f t="shared" si="3"/>
        <v>#N/A</v>
      </c>
      <c r="E183" s="1" t="s">
        <v>66</v>
      </c>
    </row>
    <row r="184" ht="15.75" customHeight="1">
      <c r="A184" s="1" t="s">
        <v>411</v>
      </c>
      <c r="B184" s="13" t="str">
        <f t="shared" si="1"/>
        <v>Austin</v>
      </c>
      <c r="C184" s="13" t="str">
        <f t="shared" si="2"/>
        <v>Mack</v>
      </c>
      <c r="D184" s="13" t="str">
        <f t="shared" si="3"/>
        <v>#N/A</v>
      </c>
      <c r="E184" s="1" t="s">
        <v>69</v>
      </c>
    </row>
    <row r="185" ht="15.75" customHeight="1">
      <c r="A185" s="1" t="s">
        <v>413</v>
      </c>
      <c r="B185" s="13" t="str">
        <f t="shared" si="1"/>
        <v>Austin</v>
      </c>
      <c r="C185" s="13" t="str">
        <f t="shared" si="2"/>
        <v>Pettis</v>
      </c>
      <c r="D185" s="13" t="str">
        <f t="shared" si="3"/>
        <v>#N/A</v>
      </c>
      <c r="E185" s="1" t="s">
        <v>69</v>
      </c>
    </row>
    <row r="186" ht="15.75" customHeight="1">
      <c r="A186" s="1" t="s">
        <v>414</v>
      </c>
      <c r="B186" s="13" t="str">
        <f t="shared" si="1"/>
        <v>Austin</v>
      </c>
      <c r="C186" s="13" t="str">
        <f t="shared" si="2"/>
        <v>Proehl</v>
      </c>
      <c r="D186" s="13" t="str">
        <f t="shared" si="3"/>
        <v>#N/A</v>
      </c>
      <c r="E186" s="1" t="s">
        <v>69</v>
      </c>
    </row>
    <row r="187" ht="15.75" customHeight="1">
      <c r="A187" s="1" t="s">
        <v>415</v>
      </c>
      <c r="B187" s="13" t="str">
        <f t="shared" si="1"/>
        <v>Austin</v>
      </c>
      <c r="C187" s="13" t="str">
        <f t="shared" si="2"/>
        <v>Roberts</v>
      </c>
      <c r="D187" s="13" t="str">
        <f t="shared" si="3"/>
        <v>#N/A</v>
      </c>
      <c r="E187" s="1" t="s">
        <v>68</v>
      </c>
    </row>
    <row r="188" ht="15.75" customHeight="1">
      <c r="A188" s="1" t="s">
        <v>417</v>
      </c>
      <c r="B188" s="13" t="str">
        <f t="shared" si="1"/>
        <v>Austin</v>
      </c>
      <c r="C188" s="13" t="str">
        <f t="shared" si="2"/>
        <v>Seferian-Jenkins</v>
      </c>
      <c r="D188" s="13" t="str">
        <f t="shared" si="3"/>
        <v>#N/A</v>
      </c>
      <c r="E188" s="1" t="s">
        <v>68</v>
      </c>
    </row>
    <row r="189" ht="15.75" customHeight="1">
      <c r="A189" s="1" t="s">
        <v>418</v>
      </c>
      <c r="B189" s="13" t="str">
        <f t="shared" si="1"/>
        <v>Austin</v>
      </c>
      <c r="C189" s="13" t="str">
        <f t="shared" si="2"/>
        <v>Stogner</v>
      </c>
      <c r="D189" s="13" t="str">
        <f t="shared" si="3"/>
        <v>#N/A</v>
      </c>
      <c r="E189" s="1" t="s">
        <v>68</v>
      </c>
    </row>
    <row r="190" ht="15.75" customHeight="1">
      <c r="A190" s="1" t="s">
        <v>420</v>
      </c>
      <c r="B190" s="13" t="str">
        <f t="shared" si="1"/>
        <v>Austin</v>
      </c>
      <c r="C190" s="13" t="str">
        <f t="shared" si="2"/>
        <v>Trammell</v>
      </c>
      <c r="D190" s="13" t="str">
        <f t="shared" si="3"/>
        <v>#N/A</v>
      </c>
      <c r="E190" s="1" t="s">
        <v>69</v>
      </c>
    </row>
    <row r="191" ht="15.75" customHeight="1">
      <c r="A191" s="1" t="s">
        <v>421</v>
      </c>
      <c r="B191" s="13" t="str">
        <f t="shared" si="1"/>
        <v>Austin</v>
      </c>
      <c r="C191" s="13" t="str">
        <f t="shared" si="2"/>
        <v>Traylor</v>
      </c>
      <c r="D191" s="13" t="str">
        <f t="shared" si="3"/>
        <v>#N/A</v>
      </c>
      <c r="E191" s="1" t="s">
        <v>68</v>
      </c>
    </row>
    <row r="192" ht="15.75" customHeight="1">
      <c r="A192" s="1" t="s">
        <v>423</v>
      </c>
      <c r="B192" s="13" t="str">
        <f t="shared" si="1"/>
        <v>Austin</v>
      </c>
      <c r="C192" s="13" t="str">
        <f t="shared" si="2"/>
        <v>Walter</v>
      </c>
      <c r="D192" s="13" t="str">
        <f t="shared" si="3"/>
        <v>#N/A</v>
      </c>
      <c r="E192" s="1" t="s">
        <v>66</v>
      </c>
    </row>
    <row r="193" ht="15.75" customHeight="1">
      <c r="A193" s="1" t="s">
        <v>424</v>
      </c>
      <c r="B193" s="13" t="str">
        <f t="shared" si="1"/>
        <v>Austin</v>
      </c>
      <c r="C193" s="13" t="str">
        <f t="shared" si="2"/>
        <v>Watkins</v>
      </c>
      <c r="D193" s="13" t="str">
        <f t="shared" si="3"/>
        <v>#N/A</v>
      </c>
      <c r="E193" s="1" t="s">
        <v>69</v>
      </c>
    </row>
    <row r="194" ht="15.75" customHeight="1">
      <c r="A194" s="1" t="s">
        <v>426</v>
      </c>
      <c r="B194" s="13" t="str">
        <f t="shared" si="1"/>
        <v>Austin</v>
      </c>
      <c r="C194" s="13" t="str">
        <f t="shared" si="2"/>
        <v>Willis</v>
      </c>
      <c r="D194" s="13" t="str">
        <f t="shared" si="3"/>
        <v>#N/A</v>
      </c>
      <c r="E194" s="1" t="s">
        <v>69</v>
      </c>
    </row>
    <row r="195" ht="15.75" customHeight="1">
      <c r="A195" s="1" t="s">
        <v>427</v>
      </c>
      <c r="B195" s="13" t="str">
        <f t="shared" si="1"/>
        <v>BJ</v>
      </c>
      <c r="C195" s="13" t="str">
        <f t="shared" si="2"/>
        <v>Catalon</v>
      </c>
      <c r="D195" s="13" t="str">
        <f t="shared" si="3"/>
        <v>#N/A</v>
      </c>
      <c r="E195" s="1" t="s">
        <v>66</v>
      </c>
    </row>
    <row r="196" ht="15.75" customHeight="1">
      <c r="A196" s="1" t="s">
        <v>429</v>
      </c>
      <c r="B196" s="13" t="str">
        <f t="shared" si="1"/>
        <v>BJ</v>
      </c>
      <c r="C196" s="13" t="str">
        <f t="shared" si="2"/>
        <v>Cunningham</v>
      </c>
      <c r="D196" s="13" t="str">
        <f t="shared" si="3"/>
        <v>#N/A</v>
      </c>
      <c r="E196" s="1" t="s">
        <v>69</v>
      </c>
    </row>
    <row r="197" ht="15.75" customHeight="1">
      <c r="A197" s="1" t="s">
        <v>431</v>
      </c>
      <c r="B197" s="13" t="str">
        <f t="shared" si="1"/>
        <v>BJ</v>
      </c>
      <c r="C197" s="13" t="str">
        <f t="shared" si="2"/>
        <v>Smith</v>
      </c>
      <c r="D197" s="13" t="str">
        <f t="shared" si="3"/>
        <v>#N/A</v>
      </c>
      <c r="E197" s="1" t="s">
        <v>66</v>
      </c>
    </row>
    <row r="198" ht="15.75" customHeight="1">
      <c r="A198" s="1" t="s">
        <v>432</v>
      </c>
      <c r="B198" s="13" t="str">
        <f t="shared" si="1"/>
        <v>Bailey</v>
      </c>
      <c r="C198" s="13" t="str">
        <f t="shared" si="2"/>
        <v>Zappe</v>
      </c>
      <c r="D198" s="13" t="str">
        <f t="shared" si="3"/>
        <v>#N/A</v>
      </c>
      <c r="E198" s="1" t="s">
        <v>65</v>
      </c>
    </row>
    <row r="199" ht="15.75" customHeight="1">
      <c r="A199" s="1" t="s">
        <v>434</v>
      </c>
      <c r="B199" s="13" t="str">
        <f t="shared" si="1"/>
        <v>Baker</v>
      </c>
      <c r="C199" s="13" t="str">
        <f t="shared" si="2"/>
        <v>Mayfield</v>
      </c>
      <c r="D199" s="13" t="str">
        <f t="shared" si="3"/>
        <v>#N/A</v>
      </c>
      <c r="E199" s="1" t="s">
        <v>65</v>
      </c>
    </row>
    <row r="200" ht="15.75" customHeight="1">
      <c r="A200" s="1" t="s">
        <v>87</v>
      </c>
      <c r="B200" s="13" t="str">
        <f t="shared" si="1"/>
        <v>#VALUE!</v>
      </c>
      <c r="C200" s="13" t="str">
        <f t="shared" si="2"/>
        <v>#VALUE!</v>
      </c>
      <c r="D200" s="13" t="str">
        <f t="shared" si="3"/>
        <v>#N/A</v>
      </c>
      <c r="E200" s="1" t="s">
        <v>63</v>
      </c>
    </row>
    <row r="201" ht="15.75" customHeight="1">
      <c r="A201" s="1" t="s">
        <v>436</v>
      </c>
      <c r="B201" s="13" t="str">
        <f t="shared" si="1"/>
        <v>Barry</v>
      </c>
      <c r="C201" s="13" t="str">
        <f t="shared" si="2"/>
        <v>Sanders</v>
      </c>
      <c r="D201" s="13" t="str">
        <f t="shared" si="3"/>
        <v>#N/A</v>
      </c>
      <c r="E201" s="1" t="s">
        <v>66</v>
      </c>
    </row>
    <row r="202" ht="15.75" customHeight="1">
      <c r="A202" s="1" t="s">
        <v>437</v>
      </c>
      <c r="B202" s="13" t="str">
        <f t="shared" si="1"/>
        <v>Bart</v>
      </c>
      <c r="C202" s="13" t="str">
        <f t="shared" si="2"/>
        <v>Houston</v>
      </c>
      <c r="D202" s="13" t="str">
        <f t="shared" si="3"/>
        <v>#N/A</v>
      </c>
      <c r="E202" s="1" t="s">
        <v>65</v>
      </c>
    </row>
    <row r="203" ht="15.75" customHeight="1">
      <c r="A203" s="1" t="s">
        <v>439</v>
      </c>
      <c r="B203" s="13" t="str">
        <f t="shared" si="1"/>
        <v>Baylor</v>
      </c>
      <c r="C203" s="13" t="str">
        <f t="shared" si="2"/>
        <v>Cupp</v>
      </c>
      <c r="D203" s="13" t="str">
        <f t="shared" si="3"/>
        <v>#N/A</v>
      </c>
      <c r="E203" s="1" t="s">
        <v>68</v>
      </c>
    </row>
    <row r="204" ht="15.75" customHeight="1">
      <c r="A204" s="1" t="s">
        <v>441</v>
      </c>
      <c r="B204" s="13" t="str">
        <f t="shared" si="1"/>
        <v>Beau</v>
      </c>
      <c r="C204" s="13" t="str">
        <f t="shared" si="2"/>
        <v>Gardner</v>
      </c>
      <c r="D204" s="13" t="str">
        <f t="shared" si="3"/>
        <v>#N/A</v>
      </c>
      <c r="E204" s="1" t="s">
        <v>68</v>
      </c>
    </row>
    <row r="205" ht="15.75" customHeight="1">
      <c r="A205" s="1" t="s">
        <v>442</v>
      </c>
      <c r="B205" s="13" t="str">
        <f t="shared" si="1"/>
        <v>Beau</v>
      </c>
      <c r="C205" s="13" t="str">
        <f t="shared" si="2"/>
        <v>Sandland</v>
      </c>
      <c r="D205" s="13" t="str">
        <f t="shared" si="3"/>
        <v>#N/A</v>
      </c>
      <c r="E205" s="1" t="s">
        <v>68</v>
      </c>
    </row>
    <row r="206" ht="15.75" customHeight="1">
      <c r="A206" s="1" t="s">
        <v>444</v>
      </c>
      <c r="B206" s="13" t="str">
        <f t="shared" si="1"/>
        <v>Beaux</v>
      </c>
      <c r="C206" s="13" t="str">
        <f t="shared" si="2"/>
        <v>Collins</v>
      </c>
      <c r="D206" s="13" t="str">
        <f t="shared" si="3"/>
        <v>#N/A</v>
      </c>
      <c r="E206" s="1" t="s">
        <v>69</v>
      </c>
    </row>
    <row r="207" ht="15.75" customHeight="1">
      <c r="A207" s="1" t="s">
        <v>446</v>
      </c>
      <c r="B207" s="13" t="str">
        <f t="shared" si="1"/>
        <v>Ben</v>
      </c>
      <c r="C207" s="13" t="str">
        <f t="shared" si="2"/>
        <v>Braunecker</v>
      </c>
      <c r="D207" s="13" t="str">
        <f t="shared" si="3"/>
        <v>#N/A</v>
      </c>
      <c r="E207" s="1" t="s">
        <v>68</v>
      </c>
    </row>
    <row r="208" ht="15.75" customHeight="1">
      <c r="A208" s="1" t="s">
        <v>447</v>
      </c>
      <c r="B208" s="13" t="str">
        <f t="shared" si="1"/>
        <v>Ben</v>
      </c>
      <c r="C208" s="13" t="str">
        <f t="shared" si="2"/>
        <v>DiNucci</v>
      </c>
      <c r="D208" s="13" t="str">
        <f t="shared" si="3"/>
        <v>#N/A</v>
      </c>
      <c r="E208" s="1" t="s">
        <v>65</v>
      </c>
    </row>
    <row r="209" ht="15.75" customHeight="1">
      <c r="A209" s="1" t="s">
        <v>448</v>
      </c>
      <c r="B209" s="13" t="str">
        <f t="shared" si="1"/>
        <v>Ben</v>
      </c>
      <c r="C209" s="13" t="str">
        <f t="shared" si="2"/>
        <v>Edwards</v>
      </c>
      <c r="D209" s="13" t="str">
        <f t="shared" si="3"/>
        <v>#N/A</v>
      </c>
      <c r="E209" s="1" t="s">
        <v>69</v>
      </c>
    </row>
    <row r="210" ht="15.75" customHeight="1">
      <c r="A210" s="1" t="s">
        <v>450</v>
      </c>
      <c r="B210" s="13" t="str">
        <f t="shared" si="1"/>
        <v>Ben</v>
      </c>
      <c r="C210" s="13" t="str">
        <f t="shared" si="2"/>
        <v>Ellefson</v>
      </c>
      <c r="D210" s="13" t="str">
        <f t="shared" si="3"/>
        <v>#N/A</v>
      </c>
      <c r="E210" s="1" t="s">
        <v>68</v>
      </c>
    </row>
    <row r="211" ht="15.75" customHeight="1">
      <c r="A211" s="1" t="s">
        <v>451</v>
      </c>
      <c r="B211" s="13" t="str">
        <f t="shared" si="1"/>
        <v>Ben</v>
      </c>
      <c r="C211" s="13" t="str">
        <f t="shared" si="2"/>
        <v>Johnson</v>
      </c>
      <c r="D211" s="13" t="str">
        <f t="shared" si="3"/>
        <v>#N/A</v>
      </c>
      <c r="E211" s="1" t="s">
        <v>68</v>
      </c>
    </row>
    <row r="212" ht="15.75" customHeight="1">
      <c r="A212" s="1" t="s">
        <v>453</v>
      </c>
      <c r="B212" s="13" t="str">
        <f t="shared" si="1"/>
        <v>Ben</v>
      </c>
      <c r="C212" s="13" t="str">
        <f t="shared" si="2"/>
        <v>Koyack</v>
      </c>
      <c r="D212" s="13" t="str">
        <f t="shared" si="3"/>
        <v>#N/A</v>
      </c>
      <c r="E212" s="1" t="s">
        <v>68</v>
      </c>
    </row>
    <row r="213" ht="15.75" customHeight="1">
      <c r="A213" s="1" t="s">
        <v>454</v>
      </c>
      <c r="B213" s="13" t="str">
        <f t="shared" si="1"/>
        <v>Ben</v>
      </c>
      <c r="C213" s="13" t="str">
        <f t="shared" si="2"/>
        <v>Malena</v>
      </c>
      <c r="D213" s="13" t="str">
        <f t="shared" si="3"/>
        <v>#N/A</v>
      </c>
      <c r="E213" s="1" t="s">
        <v>66</v>
      </c>
    </row>
    <row r="214" ht="15.75" customHeight="1">
      <c r="A214" s="1" t="s">
        <v>455</v>
      </c>
      <c r="B214" s="13" t="str">
        <f t="shared" si="1"/>
        <v>Ben</v>
      </c>
      <c r="C214" s="13" t="str">
        <f t="shared" si="2"/>
        <v>Mason</v>
      </c>
      <c r="D214" s="13" t="str">
        <f t="shared" si="3"/>
        <v>#N/A</v>
      </c>
      <c r="E214" s="1" t="s">
        <v>66</v>
      </c>
    </row>
    <row r="215" ht="15.75" customHeight="1">
      <c r="A215" s="1" t="s">
        <v>457</v>
      </c>
      <c r="B215" s="13" t="str">
        <f t="shared" si="1"/>
        <v>Ben</v>
      </c>
      <c r="C215" s="13" t="str">
        <f t="shared" si="2"/>
        <v>Roethlisberger</v>
      </c>
      <c r="D215" s="13" t="str">
        <f t="shared" si="3"/>
        <v>#N/A</v>
      </c>
      <c r="E215" s="1" t="s">
        <v>65</v>
      </c>
    </row>
    <row r="216" ht="15.75" customHeight="1">
      <c r="A216" s="1" t="s">
        <v>458</v>
      </c>
      <c r="B216" s="13" t="str">
        <f t="shared" si="1"/>
        <v>Ben</v>
      </c>
      <c r="C216" s="13" t="str">
        <f t="shared" si="2"/>
        <v>Skowronek</v>
      </c>
      <c r="D216" s="13" t="str">
        <f t="shared" si="3"/>
        <v>#N/A</v>
      </c>
      <c r="E216" s="1" t="s">
        <v>69</v>
      </c>
    </row>
    <row r="217" ht="15.75" customHeight="1">
      <c r="A217" s="1" t="s">
        <v>460</v>
      </c>
      <c r="B217" s="13" t="str">
        <f t="shared" si="1"/>
        <v>Ben</v>
      </c>
      <c r="C217" s="13" t="str">
        <f t="shared" si="2"/>
        <v>Tate</v>
      </c>
      <c r="D217" s="13" t="str">
        <f t="shared" si="3"/>
        <v>#N/A</v>
      </c>
      <c r="E217" s="1" t="s">
        <v>66</v>
      </c>
    </row>
    <row r="218" ht="15.75" customHeight="1">
      <c r="A218" s="1" t="s">
        <v>461</v>
      </c>
      <c r="B218" s="13" t="str">
        <f t="shared" si="1"/>
        <v>Ben</v>
      </c>
      <c r="C218" s="13" t="str">
        <f t="shared" si="2"/>
        <v>Watson</v>
      </c>
      <c r="D218" s="13" t="str">
        <f t="shared" si="3"/>
        <v>#N/A</v>
      </c>
      <c r="E218" s="1" t="s">
        <v>68</v>
      </c>
    </row>
    <row r="219" ht="15.75" customHeight="1">
      <c r="A219" s="1" t="s">
        <v>463</v>
      </c>
      <c r="B219" s="13" t="str">
        <f t="shared" si="1"/>
        <v>BenJarvis</v>
      </c>
      <c r="C219" s="13" t="str">
        <f t="shared" si="2"/>
        <v>Green-Ellis</v>
      </c>
      <c r="D219" s="13" t="str">
        <f t="shared" si="3"/>
        <v>#N/A</v>
      </c>
      <c r="E219" s="1" t="s">
        <v>66</v>
      </c>
    </row>
    <row r="220" ht="15.75" customHeight="1">
      <c r="A220" s="1" t="s">
        <v>464</v>
      </c>
      <c r="B220" s="13" t="str">
        <f t="shared" si="1"/>
        <v>Bennie</v>
      </c>
      <c r="C220" s="13" t="str">
        <f t="shared" si="2"/>
        <v>Fowler</v>
      </c>
      <c r="D220" s="13" t="str">
        <f t="shared" si="3"/>
        <v>#N/A</v>
      </c>
      <c r="E220" s="1" t="s">
        <v>69</v>
      </c>
    </row>
    <row r="221" ht="15.75" customHeight="1">
      <c r="A221" s="1" t="s">
        <v>465</v>
      </c>
      <c r="B221" s="13" t="str">
        <f t="shared" si="1"/>
        <v>Benny</v>
      </c>
      <c r="C221" s="13" t="str">
        <f t="shared" si="2"/>
        <v>Cunningham</v>
      </c>
      <c r="D221" s="13" t="str">
        <f t="shared" si="3"/>
        <v>#N/A</v>
      </c>
      <c r="E221" s="1" t="s">
        <v>66</v>
      </c>
    </row>
    <row r="222" ht="15.75" customHeight="1">
      <c r="A222" s="1" t="s">
        <v>466</v>
      </c>
      <c r="B222" s="13" t="str">
        <f t="shared" si="1"/>
        <v>Benny</v>
      </c>
      <c r="C222" s="13" t="str">
        <f t="shared" si="2"/>
        <v>LeMay</v>
      </c>
      <c r="D222" s="13" t="str">
        <f t="shared" si="3"/>
        <v>#N/A</v>
      </c>
      <c r="E222" s="1" t="s">
        <v>66</v>
      </c>
    </row>
    <row r="223" ht="15.75" customHeight="1">
      <c r="A223" s="1" t="s">
        <v>467</v>
      </c>
      <c r="B223" s="13" t="str">
        <f t="shared" si="1"/>
        <v>Benny</v>
      </c>
      <c r="C223" s="13" t="str">
        <f t="shared" si="2"/>
        <v>Snell</v>
      </c>
      <c r="D223" s="13" t="str">
        <f t="shared" si="3"/>
        <v>#N/A</v>
      </c>
      <c r="E223" s="1" t="s">
        <v>66</v>
      </c>
    </row>
    <row r="224" ht="15.75" customHeight="1">
      <c r="A224" s="1" t="s">
        <v>468</v>
      </c>
      <c r="B224" s="13" t="str">
        <f t="shared" si="1"/>
        <v>Bernard</v>
      </c>
      <c r="C224" s="13" t="str">
        <f t="shared" si="2"/>
        <v>Berrian</v>
      </c>
      <c r="D224" s="13" t="str">
        <f t="shared" si="3"/>
        <v>#N/A</v>
      </c>
      <c r="E224" s="1" t="s">
        <v>69</v>
      </c>
    </row>
    <row r="225" ht="15.75" customHeight="1">
      <c r="A225" s="1" t="s">
        <v>469</v>
      </c>
      <c r="B225" s="13" t="str">
        <f t="shared" si="1"/>
        <v>Bernard</v>
      </c>
      <c r="C225" s="13" t="str">
        <f t="shared" si="2"/>
        <v>Pierce</v>
      </c>
      <c r="D225" s="13" t="str">
        <f t="shared" si="3"/>
        <v>#N/A</v>
      </c>
      <c r="E225" s="1" t="s">
        <v>66</v>
      </c>
    </row>
    <row r="226" ht="15.75" customHeight="1">
      <c r="A226" s="1" t="s">
        <v>470</v>
      </c>
      <c r="B226" s="13" t="str">
        <f t="shared" si="1"/>
        <v>Bernard</v>
      </c>
      <c r="C226" s="13" t="str">
        <f t="shared" si="2"/>
        <v>Reedy</v>
      </c>
      <c r="D226" s="13" t="str">
        <f t="shared" si="3"/>
        <v>#N/A</v>
      </c>
      <c r="E226" s="1" t="s">
        <v>69</v>
      </c>
    </row>
    <row r="227" ht="15.75" customHeight="1">
      <c r="A227" s="1" t="s">
        <v>471</v>
      </c>
      <c r="B227" s="13" t="str">
        <f t="shared" si="1"/>
        <v>Bijan</v>
      </c>
      <c r="C227" s="13" t="str">
        <f t="shared" si="2"/>
        <v>Robinson</v>
      </c>
      <c r="D227" s="13" t="str">
        <f t="shared" si="3"/>
        <v>#N/A</v>
      </c>
      <c r="E227" s="1" t="s">
        <v>66</v>
      </c>
    </row>
    <row r="228" ht="15.75" customHeight="1">
      <c r="A228" s="1" t="s">
        <v>472</v>
      </c>
      <c r="B228" s="13" t="str">
        <f t="shared" si="1"/>
        <v>Bilal</v>
      </c>
      <c r="C228" s="13" t="str">
        <f t="shared" si="2"/>
        <v>Powell</v>
      </c>
      <c r="D228" s="13" t="str">
        <f t="shared" si="3"/>
        <v>#N/A</v>
      </c>
      <c r="E228" s="1" t="s">
        <v>66</v>
      </c>
    </row>
    <row r="229" ht="15.75" customHeight="1">
      <c r="A229" s="1" t="s">
        <v>473</v>
      </c>
      <c r="B229" s="13" t="str">
        <f t="shared" si="1"/>
        <v>Billy</v>
      </c>
      <c r="C229" s="13" t="str">
        <f t="shared" si="2"/>
        <v>Brown</v>
      </c>
      <c r="D229" s="13" t="str">
        <f t="shared" si="3"/>
        <v>#N/A</v>
      </c>
      <c r="E229" s="1" t="s">
        <v>68</v>
      </c>
    </row>
    <row r="230" ht="15.75" customHeight="1">
      <c r="A230" s="1" t="s">
        <v>474</v>
      </c>
      <c r="B230" s="13" t="str">
        <f t="shared" si="1"/>
        <v>Billy</v>
      </c>
      <c r="C230" s="13" t="str">
        <f t="shared" si="2"/>
        <v>Kemp</v>
      </c>
      <c r="D230" s="13" t="str">
        <f t="shared" si="3"/>
        <v>#N/A</v>
      </c>
      <c r="E230" s="1" t="s">
        <v>69</v>
      </c>
    </row>
    <row r="231" ht="15.75" customHeight="1">
      <c r="A231" s="1" t="s">
        <v>475</v>
      </c>
      <c r="B231" s="13" t="str">
        <f t="shared" si="1"/>
        <v>Binjimen</v>
      </c>
      <c r="C231" s="13" t="str">
        <f t="shared" si="2"/>
        <v>Victor</v>
      </c>
      <c r="D231" s="13" t="str">
        <f t="shared" si="3"/>
        <v>#N/A</v>
      </c>
      <c r="E231" s="1" t="s">
        <v>69</v>
      </c>
    </row>
    <row r="232" ht="15.75" customHeight="1">
      <c r="A232" s="1" t="s">
        <v>476</v>
      </c>
      <c r="B232" s="13" t="str">
        <f t="shared" si="1"/>
        <v>Bishop</v>
      </c>
      <c r="C232" s="13" t="str">
        <f t="shared" si="2"/>
        <v>Sankey</v>
      </c>
      <c r="D232" s="13" t="str">
        <f t="shared" si="3"/>
        <v>#N/A</v>
      </c>
      <c r="E232" s="1" t="s">
        <v>66</v>
      </c>
    </row>
    <row r="233" ht="15.75" customHeight="1">
      <c r="A233" s="1" t="s">
        <v>477</v>
      </c>
      <c r="B233" s="13" t="str">
        <f t="shared" si="1"/>
        <v>BJ</v>
      </c>
      <c r="C233" s="13" t="str">
        <f t="shared" si="2"/>
        <v>Baylor</v>
      </c>
      <c r="D233" s="13" t="str">
        <f t="shared" si="3"/>
        <v>#N/A</v>
      </c>
      <c r="E233" s="1" t="s">
        <v>66</v>
      </c>
    </row>
    <row r="234" ht="15.75" customHeight="1">
      <c r="A234" s="1" t="s">
        <v>479</v>
      </c>
      <c r="B234" s="13" t="str">
        <f t="shared" si="1"/>
        <v>Blaine</v>
      </c>
      <c r="C234" s="13" t="str">
        <f t="shared" si="2"/>
        <v>Gabbert</v>
      </c>
      <c r="D234" s="13" t="str">
        <f t="shared" si="3"/>
        <v>#N/A</v>
      </c>
      <c r="E234" s="1" t="s">
        <v>65</v>
      </c>
    </row>
    <row r="235" ht="15.75" customHeight="1">
      <c r="A235" s="1" t="s">
        <v>480</v>
      </c>
      <c r="B235" s="13" t="str">
        <f t="shared" si="1"/>
        <v>Blake</v>
      </c>
      <c r="C235" s="13" t="str">
        <f t="shared" si="2"/>
        <v>Annen</v>
      </c>
      <c r="D235" s="13" t="str">
        <f t="shared" si="3"/>
        <v>#N/A</v>
      </c>
      <c r="E235" s="1" t="s">
        <v>68</v>
      </c>
    </row>
    <row r="236" ht="15.75" customHeight="1">
      <c r="A236" s="1" t="s">
        <v>482</v>
      </c>
      <c r="B236" s="13" t="str">
        <f t="shared" si="1"/>
        <v>Blake</v>
      </c>
      <c r="C236" s="13" t="str">
        <f t="shared" si="2"/>
        <v>Bell</v>
      </c>
      <c r="D236" s="13" t="str">
        <f t="shared" si="3"/>
        <v>#N/A</v>
      </c>
      <c r="E236" s="1" t="s">
        <v>68</v>
      </c>
    </row>
    <row r="237" ht="15.75" customHeight="1">
      <c r="A237" s="1" t="s">
        <v>483</v>
      </c>
      <c r="B237" s="13" t="str">
        <f t="shared" si="1"/>
        <v>Blake</v>
      </c>
      <c r="C237" s="13" t="str">
        <f t="shared" si="2"/>
        <v>Bortles</v>
      </c>
      <c r="D237" s="13" t="str">
        <f t="shared" si="3"/>
        <v>#N/A</v>
      </c>
      <c r="E237" s="1" t="s">
        <v>65</v>
      </c>
    </row>
    <row r="238" ht="15.75" customHeight="1">
      <c r="A238" s="1" t="s">
        <v>484</v>
      </c>
      <c r="B238" s="13" t="str">
        <f t="shared" si="1"/>
        <v>Blake</v>
      </c>
      <c r="C238" s="13" t="str">
        <f t="shared" si="2"/>
        <v>Corum</v>
      </c>
      <c r="D238" s="13" t="str">
        <f t="shared" si="3"/>
        <v>#N/A</v>
      </c>
      <c r="E238" s="1" t="s">
        <v>66</v>
      </c>
    </row>
    <row r="239" ht="15.75" customHeight="1">
      <c r="A239" s="1" t="s">
        <v>486</v>
      </c>
      <c r="B239" s="13" t="str">
        <f t="shared" si="1"/>
        <v>Blake</v>
      </c>
      <c r="C239" s="13" t="str">
        <f t="shared" si="2"/>
        <v>Jackson</v>
      </c>
      <c r="D239" s="13" t="str">
        <f t="shared" si="3"/>
        <v>#N/A</v>
      </c>
      <c r="E239" s="1" t="s">
        <v>69</v>
      </c>
    </row>
    <row r="240" ht="15.75" customHeight="1">
      <c r="A240" s="1" t="s">
        <v>486</v>
      </c>
      <c r="B240" s="13" t="str">
        <f t="shared" si="1"/>
        <v>Blake</v>
      </c>
      <c r="C240" s="13" t="str">
        <f t="shared" si="2"/>
        <v>Jackson</v>
      </c>
      <c r="D240" s="13" t="str">
        <f t="shared" si="3"/>
        <v>#N/A</v>
      </c>
      <c r="E240" s="1" t="s">
        <v>68</v>
      </c>
    </row>
    <row r="241" ht="15.75" customHeight="1">
      <c r="A241" s="1" t="s">
        <v>487</v>
      </c>
      <c r="B241" s="13" t="str">
        <f t="shared" si="1"/>
        <v>Blake</v>
      </c>
      <c r="C241" s="13" t="str">
        <f t="shared" si="2"/>
        <v>Jarwin</v>
      </c>
      <c r="D241" s="13" t="str">
        <f t="shared" si="3"/>
        <v>#N/A</v>
      </c>
      <c r="E241" s="1" t="s">
        <v>68</v>
      </c>
    </row>
    <row r="242" ht="15.75" customHeight="1">
      <c r="A242" s="1" t="s">
        <v>489</v>
      </c>
      <c r="B242" s="13" t="str">
        <f t="shared" si="1"/>
        <v>Blake</v>
      </c>
      <c r="C242" s="13" t="str">
        <f t="shared" si="2"/>
        <v>Mack</v>
      </c>
      <c r="D242" s="13" t="str">
        <f t="shared" si="3"/>
        <v>#N/A</v>
      </c>
      <c r="E242" s="1" t="s">
        <v>68</v>
      </c>
    </row>
    <row r="243" ht="15.75" customHeight="1">
      <c r="A243" s="1" t="s">
        <v>490</v>
      </c>
      <c r="B243" s="13" t="str">
        <f t="shared" si="1"/>
        <v>Blake</v>
      </c>
      <c r="C243" s="13" t="str">
        <f t="shared" si="2"/>
        <v>Proehl</v>
      </c>
      <c r="D243" s="13" t="str">
        <f t="shared" si="3"/>
        <v>#N/A</v>
      </c>
      <c r="E243" s="1" t="s">
        <v>69</v>
      </c>
    </row>
    <row r="244" ht="15.75" customHeight="1">
      <c r="A244" s="1" t="s">
        <v>492</v>
      </c>
      <c r="B244" s="13" t="str">
        <f t="shared" si="1"/>
        <v>Blake</v>
      </c>
      <c r="C244" s="13" t="str">
        <f t="shared" si="2"/>
        <v>Sims</v>
      </c>
      <c r="D244" s="13" t="str">
        <f t="shared" si="3"/>
        <v>#N/A</v>
      </c>
      <c r="E244" s="1" t="s">
        <v>66</v>
      </c>
    </row>
    <row r="245" ht="15.75" customHeight="1">
      <c r="A245" s="1" t="s">
        <v>493</v>
      </c>
      <c r="B245" s="13" t="str">
        <f t="shared" si="1"/>
        <v>Bo</v>
      </c>
      <c r="C245" s="13" t="str">
        <f t="shared" si="2"/>
        <v>Jackson</v>
      </c>
      <c r="D245" s="13" t="str">
        <f t="shared" si="3"/>
        <v>#N/A</v>
      </c>
      <c r="E245" s="1" t="s">
        <v>66</v>
      </c>
    </row>
    <row r="246" ht="15.75" customHeight="1">
      <c r="A246" s="1" t="s">
        <v>495</v>
      </c>
      <c r="B246" s="13" t="str">
        <f t="shared" si="1"/>
        <v>Bo</v>
      </c>
      <c r="C246" s="13" t="str">
        <f t="shared" si="2"/>
        <v>Melton</v>
      </c>
      <c r="D246" s="13" t="str">
        <f t="shared" si="3"/>
        <v>#N/A</v>
      </c>
      <c r="E246" s="1" t="s">
        <v>69</v>
      </c>
    </row>
    <row r="247" ht="15.75" customHeight="1">
      <c r="A247" s="1" t="s">
        <v>496</v>
      </c>
      <c r="B247" s="13" t="str">
        <f t="shared" si="1"/>
        <v>Bo</v>
      </c>
      <c r="C247" s="13" t="str">
        <f t="shared" si="2"/>
        <v>Nix</v>
      </c>
      <c r="D247" s="13" t="str">
        <f t="shared" si="3"/>
        <v>#N/A</v>
      </c>
      <c r="E247" s="1" t="s">
        <v>65</v>
      </c>
    </row>
    <row r="248" ht="15.75" customHeight="1">
      <c r="A248" s="1" t="s">
        <v>497</v>
      </c>
      <c r="B248" s="13" t="str">
        <f t="shared" si="1"/>
        <v>Bo</v>
      </c>
      <c r="C248" s="13" t="str">
        <f t="shared" si="2"/>
        <v>Scarbrough</v>
      </c>
      <c r="D248" s="13" t="str">
        <f t="shared" si="3"/>
        <v>#N/A</v>
      </c>
      <c r="E248" s="1" t="s">
        <v>66</v>
      </c>
    </row>
    <row r="249" ht="15.75" customHeight="1">
      <c r="A249" s="1" t="s">
        <v>499</v>
      </c>
      <c r="B249" s="13" t="str">
        <f t="shared" si="1"/>
        <v>Bo</v>
      </c>
      <c r="C249" s="13" t="str">
        <f t="shared" si="2"/>
        <v>Wallace</v>
      </c>
      <c r="D249" s="13" t="str">
        <f t="shared" si="3"/>
        <v>#N/A</v>
      </c>
      <c r="E249" s="1" t="s">
        <v>65</v>
      </c>
    </row>
    <row r="250" ht="15.75" customHeight="1">
      <c r="A250" s="1" t="s">
        <v>500</v>
      </c>
      <c r="B250" s="13" t="str">
        <f t="shared" si="1"/>
        <v>Bobby</v>
      </c>
      <c r="C250" s="13" t="str">
        <f t="shared" si="2"/>
        <v>Rainey</v>
      </c>
      <c r="D250" s="13" t="str">
        <f t="shared" si="3"/>
        <v>#N/A</v>
      </c>
      <c r="E250" s="1" t="s">
        <v>66</v>
      </c>
    </row>
    <row r="251" ht="15.75" customHeight="1">
      <c r="A251" s="1" t="s">
        <v>501</v>
      </c>
      <c r="B251" s="13" t="str">
        <f t="shared" si="1"/>
        <v>Bobo</v>
      </c>
      <c r="C251" s="13" t="str">
        <f t="shared" si="2"/>
        <v>Wilson</v>
      </c>
      <c r="D251" s="13" t="str">
        <f t="shared" si="3"/>
        <v>#N/A</v>
      </c>
      <c r="E251" s="1" t="s">
        <v>69</v>
      </c>
    </row>
    <row r="252" ht="15.75" customHeight="1">
      <c r="A252" s="1" t="s">
        <v>503</v>
      </c>
      <c r="B252" s="13" t="str">
        <f t="shared" si="1"/>
        <v>Boom</v>
      </c>
      <c r="C252" s="13" t="str">
        <f t="shared" si="2"/>
        <v>Williams</v>
      </c>
      <c r="D252" s="13" t="str">
        <f t="shared" si="3"/>
        <v>#N/A</v>
      </c>
      <c r="E252" s="1" t="s">
        <v>66</v>
      </c>
    </row>
    <row r="253" ht="15.75" customHeight="1">
      <c r="A253" s="1" t="s">
        <v>504</v>
      </c>
      <c r="B253" s="13" t="str">
        <f t="shared" si="1"/>
        <v>Boston</v>
      </c>
      <c r="C253" s="13" t="str">
        <f t="shared" si="2"/>
        <v>Scott</v>
      </c>
      <c r="D253" s="13" t="str">
        <f t="shared" si="3"/>
        <v>#N/A</v>
      </c>
      <c r="E253" s="1" t="s">
        <v>66</v>
      </c>
    </row>
    <row r="254" ht="15.75" customHeight="1">
      <c r="A254" s="1" t="s">
        <v>506</v>
      </c>
      <c r="B254" s="13" t="str">
        <f t="shared" si="1"/>
        <v>Brad</v>
      </c>
      <c r="C254" s="13" t="str">
        <f t="shared" si="2"/>
        <v>Kaaya</v>
      </c>
      <c r="D254" s="13" t="str">
        <f t="shared" si="3"/>
        <v>#N/A</v>
      </c>
      <c r="E254" s="1" t="s">
        <v>65</v>
      </c>
    </row>
    <row r="255" ht="15.75" customHeight="1">
      <c r="A255" s="1" t="s">
        <v>507</v>
      </c>
      <c r="B255" s="13" t="str">
        <f t="shared" si="1"/>
        <v>Brad</v>
      </c>
      <c r="C255" s="13" t="str">
        <f t="shared" si="2"/>
        <v>Smith</v>
      </c>
      <c r="D255" s="13" t="str">
        <f t="shared" si="3"/>
        <v>#N/A</v>
      </c>
      <c r="E255" s="1" t="s">
        <v>69</v>
      </c>
    </row>
    <row r="256" ht="15.75" customHeight="1">
      <c r="A256" s="1" t="s">
        <v>508</v>
      </c>
      <c r="B256" s="13" t="str">
        <f t="shared" si="1"/>
        <v>Braden</v>
      </c>
      <c r="C256" s="13" t="str">
        <f t="shared" si="2"/>
        <v>Galloway</v>
      </c>
      <c r="D256" s="13" t="str">
        <f t="shared" si="3"/>
        <v>#N/A</v>
      </c>
      <c r="E256" s="1" t="s">
        <v>68</v>
      </c>
    </row>
    <row r="257" ht="15.75" customHeight="1">
      <c r="A257" s="1" t="s">
        <v>510</v>
      </c>
      <c r="B257" s="13" t="str">
        <f t="shared" si="1"/>
        <v>Bradley</v>
      </c>
      <c r="C257" s="13" t="str">
        <f t="shared" si="2"/>
        <v>Marquez</v>
      </c>
      <c r="D257" s="13" t="str">
        <f t="shared" si="3"/>
        <v>#N/A</v>
      </c>
      <c r="E257" s="1" t="s">
        <v>69</v>
      </c>
    </row>
    <row r="258" ht="15.75" customHeight="1">
      <c r="A258" s="1" t="s">
        <v>511</v>
      </c>
      <c r="B258" s="13" t="str">
        <f t="shared" si="1"/>
        <v>Bradley</v>
      </c>
      <c r="C258" s="13" t="str">
        <f t="shared" si="2"/>
        <v>Sowell</v>
      </c>
      <c r="D258" s="13" t="str">
        <f t="shared" si="3"/>
        <v>#N/A</v>
      </c>
      <c r="E258" s="1" t="s">
        <v>68</v>
      </c>
    </row>
    <row r="259" ht="15.75" customHeight="1">
      <c r="A259" s="1" t="s">
        <v>512</v>
      </c>
      <c r="B259" s="13" t="str">
        <f t="shared" si="1"/>
        <v>Brady</v>
      </c>
      <c r="C259" s="13" t="str">
        <f t="shared" si="2"/>
        <v>White</v>
      </c>
      <c r="D259" s="13" t="str">
        <f t="shared" si="3"/>
        <v>#N/A</v>
      </c>
      <c r="E259" s="1" t="s">
        <v>65</v>
      </c>
    </row>
    <row r="260" ht="15.75" customHeight="1">
      <c r="A260" s="1" t="s">
        <v>513</v>
      </c>
      <c r="B260" s="13" t="str">
        <f t="shared" si="1"/>
        <v>Braedon</v>
      </c>
      <c r="C260" s="13" t="str">
        <f t="shared" si="2"/>
        <v>Bowman</v>
      </c>
      <c r="D260" s="13" t="str">
        <f t="shared" si="3"/>
        <v>#N/A</v>
      </c>
      <c r="E260" s="1" t="s">
        <v>68</v>
      </c>
    </row>
    <row r="261" ht="15.75" customHeight="1">
      <c r="A261" s="1" t="s">
        <v>514</v>
      </c>
      <c r="B261" s="13" t="str">
        <f t="shared" si="1"/>
        <v>Braelon</v>
      </c>
      <c r="C261" s="13" t="str">
        <f t="shared" si="2"/>
        <v>Allen</v>
      </c>
      <c r="D261" s="13" t="str">
        <f t="shared" si="3"/>
        <v>#N/A</v>
      </c>
      <c r="E261" s="1" t="s">
        <v>66</v>
      </c>
    </row>
    <row r="262" ht="15.75" customHeight="1">
      <c r="A262" s="1" t="s">
        <v>515</v>
      </c>
      <c r="B262" s="13" t="str">
        <f t="shared" si="1"/>
        <v>Bralon</v>
      </c>
      <c r="C262" s="13" t="str">
        <f t="shared" si="2"/>
        <v>Addison</v>
      </c>
      <c r="D262" s="13" t="str">
        <f t="shared" si="3"/>
        <v>#N/A</v>
      </c>
      <c r="E262" s="1" t="s">
        <v>66</v>
      </c>
    </row>
    <row r="263" ht="15.75" customHeight="1">
      <c r="A263" s="1" t="s">
        <v>516</v>
      </c>
      <c r="B263" s="13" t="str">
        <f t="shared" si="1"/>
        <v>Bra'lon</v>
      </c>
      <c r="C263" s="13" t="str">
        <f t="shared" si="2"/>
        <v>Cherry</v>
      </c>
      <c r="D263" s="13" t="str">
        <f t="shared" si="3"/>
        <v>#N/A</v>
      </c>
      <c r="E263" s="1" t="s">
        <v>69</v>
      </c>
    </row>
    <row r="264" ht="15.75" customHeight="1">
      <c r="A264" s="1" t="s">
        <v>517</v>
      </c>
      <c r="B264" s="13" t="str">
        <f t="shared" si="1"/>
        <v>Bralon</v>
      </c>
      <c r="C264" s="13" t="str">
        <f t="shared" si="2"/>
        <v>Robinson</v>
      </c>
      <c r="D264" s="13" t="str">
        <f t="shared" si="3"/>
        <v>#N/A</v>
      </c>
      <c r="E264" s="1" t="s">
        <v>69</v>
      </c>
    </row>
    <row r="265" ht="15.75" customHeight="1">
      <c r="A265" s="1" t="s">
        <v>518</v>
      </c>
      <c r="B265" s="13" t="str">
        <f t="shared" si="1"/>
        <v>Branden</v>
      </c>
      <c r="C265" s="13" t="str">
        <f t="shared" si="2"/>
        <v>Mack</v>
      </c>
      <c r="D265" s="13" t="str">
        <f t="shared" si="3"/>
        <v>#N/A</v>
      </c>
      <c r="E265" s="1" t="s">
        <v>69</v>
      </c>
    </row>
    <row r="266" ht="15.75" customHeight="1">
      <c r="A266" s="1" t="s">
        <v>519</v>
      </c>
      <c r="B266" s="13" t="str">
        <f t="shared" si="1"/>
        <v>Branden</v>
      </c>
      <c r="C266" s="13" t="str">
        <f t="shared" si="2"/>
        <v>Oliver</v>
      </c>
      <c r="D266" s="13" t="str">
        <f t="shared" si="3"/>
        <v>#N/A</v>
      </c>
      <c r="E266" s="1" t="s">
        <v>66</v>
      </c>
    </row>
    <row r="267" ht="15.75" customHeight="1">
      <c r="A267" s="1" t="s">
        <v>147</v>
      </c>
      <c r="B267" s="13" t="str">
        <f t="shared" si="1"/>
        <v>Brandin</v>
      </c>
      <c r="C267" s="13" t="str">
        <f t="shared" si="2"/>
        <v>Cooks</v>
      </c>
      <c r="D267" s="13" t="str">
        <f t="shared" si="3"/>
        <v>#N/A</v>
      </c>
      <c r="E267" s="1" t="s">
        <v>69</v>
      </c>
    </row>
    <row r="268" ht="15.75" customHeight="1">
      <c r="A268" s="1" t="s">
        <v>394</v>
      </c>
      <c r="B268" s="13" t="str">
        <f t="shared" si="1"/>
        <v>Brandon</v>
      </c>
      <c r="C268" s="13" t="str">
        <f t="shared" si="2"/>
        <v>Aiyuk</v>
      </c>
      <c r="D268" s="13" t="str">
        <f t="shared" si="3"/>
        <v>#N/A</v>
      </c>
      <c r="E268" s="1" t="s">
        <v>69</v>
      </c>
    </row>
    <row r="269" ht="15.75" customHeight="1">
      <c r="A269" s="1" t="s">
        <v>520</v>
      </c>
      <c r="B269" s="13" t="str">
        <f t="shared" si="1"/>
        <v>Brandon</v>
      </c>
      <c r="C269" s="13" t="str">
        <f t="shared" si="2"/>
        <v>Allen</v>
      </c>
      <c r="D269" s="13" t="str">
        <f t="shared" si="3"/>
        <v>#N/A</v>
      </c>
      <c r="E269" s="1" t="s">
        <v>65</v>
      </c>
    </row>
    <row r="270" ht="15.75" customHeight="1">
      <c r="A270" s="1" t="s">
        <v>521</v>
      </c>
      <c r="B270" s="13" t="str">
        <f t="shared" si="1"/>
        <v>Brandon</v>
      </c>
      <c r="C270" s="13" t="str">
        <f t="shared" si="2"/>
        <v>Barnes</v>
      </c>
      <c r="D270" s="13" t="str">
        <f t="shared" si="3"/>
        <v>#N/A</v>
      </c>
      <c r="E270" s="1" t="s">
        <v>68</v>
      </c>
    </row>
    <row r="271" ht="15.75" customHeight="1">
      <c r="A271" s="1" t="s">
        <v>522</v>
      </c>
      <c r="B271" s="13" t="str">
        <f t="shared" si="1"/>
        <v>Brandon</v>
      </c>
      <c r="C271" s="13" t="str">
        <f t="shared" si="2"/>
        <v>Bolden</v>
      </c>
      <c r="D271" s="13" t="str">
        <f t="shared" si="3"/>
        <v>#N/A</v>
      </c>
      <c r="E271" s="1" t="s">
        <v>66</v>
      </c>
    </row>
    <row r="272" ht="15.75" customHeight="1">
      <c r="A272" s="1" t="s">
        <v>523</v>
      </c>
      <c r="B272" s="13" t="str">
        <f t="shared" si="1"/>
        <v>Brandon</v>
      </c>
      <c r="C272" s="13" t="str">
        <f t="shared" si="2"/>
        <v>Bostick</v>
      </c>
      <c r="D272" s="13" t="str">
        <f t="shared" si="3"/>
        <v>#N/A</v>
      </c>
      <c r="E272" s="1" t="s">
        <v>68</v>
      </c>
    </row>
    <row r="273" ht="15.75" customHeight="1">
      <c r="A273" s="1" t="s">
        <v>525</v>
      </c>
      <c r="B273" s="13" t="str">
        <f t="shared" si="1"/>
        <v>Brandon</v>
      </c>
      <c r="C273" s="13" t="str">
        <f t="shared" si="2"/>
        <v>Bridge</v>
      </c>
      <c r="D273" s="13" t="str">
        <f t="shared" si="3"/>
        <v>#N/A</v>
      </c>
      <c r="E273" s="1" t="s">
        <v>65</v>
      </c>
    </row>
    <row r="274" ht="15.75" customHeight="1">
      <c r="A274" s="1" t="s">
        <v>526</v>
      </c>
      <c r="B274" s="13" t="str">
        <f t="shared" si="1"/>
        <v>Brandon</v>
      </c>
      <c r="C274" s="13" t="str">
        <f t="shared" si="2"/>
        <v>Burks</v>
      </c>
      <c r="D274" s="13" t="str">
        <f t="shared" si="3"/>
        <v>#N/A</v>
      </c>
      <c r="E274" s="1" t="s">
        <v>66</v>
      </c>
    </row>
    <row r="275" ht="15.75" customHeight="1">
      <c r="A275" s="1" t="s">
        <v>528</v>
      </c>
      <c r="B275" s="13" t="str">
        <f t="shared" si="1"/>
        <v>Brandon</v>
      </c>
      <c r="C275" s="13" t="str">
        <f t="shared" si="2"/>
        <v>Coleman</v>
      </c>
      <c r="D275" s="13" t="str">
        <f t="shared" si="3"/>
        <v>#N/A</v>
      </c>
      <c r="E275" s="1" t="s">
        <v>69</v>
      </c>
    </row>
    <row r="276" ht="15.75" customHeight="1">
      <c r="A276" s="1" t="s">
        <v>529</v>
      </c>
      <c r="B276" s="13" t="str">
        <f t="shared" si="1"/>
        <v>Brandon</v>
      </c>
      <c r="C276" s="13" t="str">
        <f t="shared" si="2"/>
        <v>Dillon</v>
      </c>
      <c r="D276" s="13" t="str">
        <f t="shared" si="3"/>
        <v>#N/A</v>
      </c>
      <c r="E276" s="1" t="s">
        <v>68</v>
      </c>
    </row>
    <row r="277" ht="15.75" customHeight="1">
      <c r="A277" s="1" t="s">
        <v>530</v>
      </c>
      <c r="B277" s="13" t="str">
        <f t="shared" si="1"/>
        <v>Brandon</v>
      </c>
      <c r="C277" s="13" t="str">
        <f t="shared" si="2"/>
        <v>Doughty</v>
      </c>
      <c r="D277" s="13" t="str">
        <f t="shared" si="3"/>
        <v>#N/A</v>
      </c>
      <c r="E277" s="1" t="s">
        <v>65</v>
      </c>
    </row>
    <row r="278" ht="15.75" customHeight="1">
      <c r="A278" s="1" t="s">
        <v>532</v>
      </c>
      <c r="B278" s="13" t="str">
        <f t="shared" si="1"/>
        <v>Brandon</v>
      </c>
      <c r="C278" s="13" t="str">
        <f t="shared" si="2"/>
        <v>Gibson</v>
      </c>
      <c r="D278" s="13" t="str">
        <f t="shared" si="3"/>
        <v>#N/A</v>
      </c>
      <c r="E278" s="1" t="s">
        <v>69</v>
      </c>
    </row>
    <row r="279" ht="15.75" customHeight="1">
      <c r="A279" s="1" t="s">
        <v>533</v>
      </c>
      <c r="B279" s="13" t="str">
        <f t="shared" si="1"/>
        <v>Brandon</v>
      </c>
      <c r="C279" s="13" t="str">
        <f t="shared" si="2"/>
        <v>LaFell</v>
      </c>
      <c r="D279" s="13" t="str">
        <f t="shared" si="3"/>
        <v>#N/A</v>
      </c>
      <c r="E279" s="1" t="s">
        <v>69</v>
      </c>
    </row>
    <row r="280" ht="15.75" customHeight="1">
      <c r="A280" s="1" t="s">
        <v>535</v>
      </c>
      <c r="B280" s="13" t="str">
        <f t="shared" si="1"/>
        <v>Brandon</v>
      </c>
      <c r="C280" s="13" t="str">
        <f t="shared" si="2"/>
        <v>Lloyd</v>
      </c>
      <c r="D280" s="13" t="str">
        <f t="shared" si="3"/>
        <v>#N/A</v>
      </c>
      <c r="E280" s="1" t="s">
        <v>69</v>
      </c>
    </row>
    <row r="281" ht="15.75" customHeight="1">
      <c r="A281" s="1" t="s">
        <v>536</v>
      </c>
      <c r="B281" s="13" t="str">
        <f t="shared" si="1"/>
        <v>Brandon</v>
      </c>
      <c r="C281" s="13" t="str">
        <f t="shared" si="2"/>
        <v>Marshall</v>
      </c>
      <c r="D281" s="13" t="str">
        <f t="shared" si="3"/>
        <v>#N/A</v>
      </c>
      <c r="E281" s="1" t="s">
        <v>69</v>
      </c>
    </row>
    <row r="282" ht="15.75" customHeight="1">
      <c r="A282" s="1" t="s">
        <v>537</v>
      </c>
      <c r="B282" s="13" t="str">
        <f t="shared" si="1"/>
        <v>Brandon</v>
      </c>
      <c r="C282" s="13" t="str">
        <f t="shared" si="2"/>
        <v>McManus</v>
      </c>
      <c r="D282" s="13" t="str">
        <f t="shared" si="3"/>
        <v>#N/A</v>
      </c>
      <c r="E282" s="1" t="s">
        <v>64</v>
      </c>
    </row>
    <row r="283" ht="15.75" customHeight="1">
      <c r="A283" s="1" t="s">
        <v>538</v>
      </c>
      <c r="B283" s="13" t="str">
        <f t="shared" si="1"/>
        <v>Brandon</v>
      </c>
      <c r="C283" s="13" t="str">
        <f t="shared" si="2"/>
        <v>Myers</v>
      </c>
      <c r="D283" s="13" t="str">
        <f t="shared" si="3"/>
        <v>#N/A</v>
      </c>
      <c r="E283" s="1" t="s">
        <v>68</v>
      </c>
    </row>
    <row r="284" ht="15.75" customHeight="1">
      <c r="A284" s="1" t="s">
        <v>539</v>
      </c>
      <c r="B284" s="13" t="str">
        <f t="shared" si="1"/>
        <v>Brandon</v>
      </c>
      <c r="C284" s="13" t="str">
        <f t="shared" si="2"/>
        <v>Pettigrew</v>
      </c>
      <c r="D284" s="13" t="str">
        <f t="shared" si="3"/>
        <v>#N/A</v>
      </c>
      <c r="E284" s="1" t="s">
        <v>68</v>
      </c>
    </row>
    <row r="285" ht="15.75" customHeight="1">
      <c r="A285" s="1" t="s">
        <v>540</v>
      </c>
      <c r="B285" s="13" t="str">
        <f t="shared" si="1"/>
        <v>Brandon</v>
      </c>
      <c r="C285" s="13" t="str">
        <f t="shared" si="2"/>
        <v>Powell</v>
      </c>
      <c r="D285" s="13" t="str">
        <f t="shared" si="3"/>
        <v>#N/A</v>
      </c>
      <c r="E285" s="1" t="s">
        <v>69</v>
      </c>
    </row>
    <row r="286" ht="15.75" customHeight="1">
      <c r="A286" s="1" t="s">
        <v>542</v>
      </c>
      <c r="B286" s="13" t="str">
        <f t="shared" si="1"/>
        <v>Brandon</v>
      </c>
      <c r="C286" s="13" t="str">
        <f t="shared" si="2"/>
        <v>Radcliff</v>
      </c>
      <c r="D286" s="13" t="str">
        <f t="shared" si="3"/>
        <v>#N/A</v>
      </c>
      <c r="E286" s="1" t="s">
        <v>66</v>
      </c>
    </row>
    <row r="287" ht="15.75" customHeight="1">
      <c r="A287" s="1" t="s">
        <v>543</v>
      </c>
      <c r="B287" s="13" t="str">
        <f t="shared" si="1"/>
        <v>Brandon</v>
      </c>
      <c r="C287" s="13" t="str">
        <f t="shared" si="2"/>
        <v>Reilly</v>
      </c>
      <c r="D287" s="13" t="str">
        <f t="shared" si="3"/>
        <v>#N/A</v>
      </c>
      <c r="E287" s="1" t="s">
        <v>69</v>
      </c>
    </row>
    <row r="288" ht="15.75" customHeight="1">
      <c r="A288" s="1" t="s">
        <v>544</v>
      </c>
      <c r="B288" s="13" t="str">
        <f t="shared" si="1"/>
        <v>Brandon</v>
      </c>
      <c r="C288" s="13" t="str">
        <f t="shared" si="2"/>
        <v>Shippen</v>
      </c>
      <c r="D288" s="13" t="str">
        <f t="shared" si="3"/>
        <v>#N/A</v>
      </c>
      <c r="E288" s="1" t="s">
        <v>69</v>
      </c>
    </row>
    <row r="289" ht="15.75" customHeight="1">
      <c r="A289" s="1" t="s">
        <v>545</v>
      </c>
      <c r="B289" s="13" t="str">
        <f t="shared" si="1"/>
        <v>Brandon</v>
      </c>
      <c r="C289" s="13" t="str">
        <f t="shared" si="2"/>
        <v>Silvers</v>
      </c>
      <c r="D289" s="13" t="str">
        <f t="shared" si="3"/>
        <v>#N/A</v>
      </c>
      <c r="E289" s="1" t="s">
        <v>65</v>
      </c>
    </row>
    <row r="290" ht="15.75" customHeight="1">
      <c r="A290" s="1" t="s">
        <v>546</v>
      </c>
      <c r="B290" s="13" t="str">
        <f t="shared" si="1"/>
        <v>Brandon</v>
      </c>
      <c r="C290" s="13" t="str">
        <f t="shared" si="2"/>
        <v>Smith</v>
      </c>
      <c r="D290" s="13" t="str">
        <f t="shared" si="3"/>
        <v>#N/A</v>
      </c>
      <c r="E290" s="1" t="s">
        <v>69</v>
      </c>
    </row>
    <row r="291" ht="15.75" customHeight="1">
      <c r="A291" s="1" t="s">
        <v>547</v>
      </c>
      <c r="B291" s="13" t="str">
        <f t="shared" si="1"/>
        <v>Brandon</v>
      </c>
      <c r="C291" s="13" t="str">
        <f t="shared" si="2"/>
        <v>Tate</v>
      </c>
      <c r="D291" s="13" t="str">
        <f t="shared" si="3"/>
        <v>#N/A</v>
      </c>
      <c r="E291" s="1" t="s">
        <v>69</v>
      </c>
    </row>
    <row r="292" ht="15.75" customHeight="1">
      <c r="A292" s="1" t="s">
        <v>548</v>
      </c>
      <c r="B292" s="13" t="str">
        <f t="shared" si="1"/>
        <v>Brandon</v>
      </c>
      <c r="C292" s="13" t="str">
        <f t="shared" si="2"/>
        <v>Weeden</v>
      </c>
      <c r="D292" s="13" t="str">
        <f t="shared" si="3"/>
        <v>#N/A</v>
      </c>
      <c r="E292" s="1" t="s">
        <v>65</v>
      </c>
    </row>
    <row r="293" ht="15.75" customHeight="1">
      <c r="A293" s="1" t="s">
        <v>549</v>
      </c>
      <c r="B293" s="13" t="str">
        <f t="shared" si="1"/>
        <v>Brandon</v>
      </c>
      <c r="C293" s="13" t="str">
        <f t="shared" si="2"/>
        <v>Wegher</v>
      </c>
      <c r="D293" s="13" t="str">
        <f t="shared" si="3"/>
        <v>#N/A</v>
      </c>
      <c r="E293" s="1" t="s">
        <v>66</v>
      </c>
    </row>
    <row r="294" ht="15.75" customHeight="1">
      <c r="A294" s="1" t="s">
        <v>550</v>
      </c>
      <c r="B294" s="13" t="str">
        <f t="shared" si="1"/>
        <v>Brandon</v>
      </c>
      <c r="C294" s="13" t="str">
        <f t="shared" si="2"/>
        <v>Wilds</v>
      </c>
      <c r="D294" s="13" t="str">
        <f t="shared" si="3"/>
        <v>#N/A</v>
      </c>
      <c r="E294" s="1" t="s">
        <v>66</v>
      </c>
    </row>
    <row r="295" ht="15.75" customHeight="1">
      <c r="A295" s="1" t="s">
        <v>551</v>
      </c>
      <c r="B295" s="13" t="str">
        <f t="shared" si="1"/>
        <v>Brandon</v>
      </c>
      <c r="C295" s="13" t="str">
        <f t="shared" si="2"/>
        <v>Williams</v>
      </c>
      <c r="D295" s="13" t="str">
        <f t="shared" si="3"/>
        <v>#N/A</v>
      </c>
      <c r="E295" s="1" t="s">
        <v>68</v>
      </c>
    </row>
    <row r="296" ht="15.75" customHeight="1">
      <c r="A296" s="1" t="s">
        <v>552</v>
      </c>
      <c r="B296" s="13" t="str">
        <f t="shared" si="1"/>
        <v>Brandon</v>
      </c>
      <c r="C296" s="13" t="str">
        <f t="shared" si="2"/>
        <v>Zylstra</v>
      </c>
      <c r="D296" s="13" t="str">
        <f t="shared" si="3"/>
        <v>#N/A</v>
      </c>
      <c r="E296" s="1" t="s">
        <v>69</v>
      </c>
    </row>
    <row r="297" ht="15.75" customHeight="1">
      <c r="A297" s="1" t="s">
        <v>553</v>
      </c>
      <c r="B297" s="13" t="str">
        <f t="shared" si="1"/>
        <v>Branson</v>
      </c>
      <c r="C297" s="13" t="str">
        <f t="shared" si="2"/>
        <v>Robinson</v>
      </c>
      <c r="D297" s="13" t="str">
        <f t="shared" si="3"/>
        <v>#N/A</v>
      </c>
      <c r="E297" s="1" t="s">
        <v>66</v>
      </c>
    </row>
    <row r="298" ht="15.75" customHeight="1">
      <c r="A298" s="1" t="s">
        <v>555</v>
      </c>
      <c r="B298" s="13" t="str">
        <f t="shared" si="1"/>
        <v>Brant</v>
      </c>
      <c r="C298" s="13" t="str">
        <f t="shared" si="2"/>
        <v>Kuithe</v>
      </c>
      <c r="D298" s="13" t="str">
        <f t="shared" si="3"/>
        <v>#N/A</v>
      </c>
      <c r="E298" s="1" t="s">
        <v>68</v>
      </c>
    </row>
    <row r="299" ht="15.75" customHeight="1">
      <c r="A299" s="1" t="s">
        <v>556</v>
      </c>
      <c r="B299" s="13" t="str">
        <f t="shared" si="1"/>
        <v>Braxton</v>
      </c>
      <c r="C299" s="13" t="str">
        <f t="shared" si="2"/>
        <v>Berrios</v>
      </c>
      <c r="D299" s="13" t="str">
        <f t="shared" si="3"/>
        <v>#N/A</v>
      </c>
      <c r="E299" s="1" t="s">
        <v>69</v>
      </c>
    </row>
    <row r="300" ht="15.75" customHeight="1">
      <c r="A300" s="1" t="s">
        <v>557</v>
      </c>
      <c r="B300" s="13" t="str">
        <f t="shared" si="1"/>
        <v>Braxton</v>
      </c>
      <c r="C300" s="13" t="str">
        <f t="shared" si="2"/>
        <v>Deaver</v>
      </c>
      <c r="D300" s="13" t="str">
        <f t="shared" si="3"/>
        <v>#N/A</v>
      </c>
      <c r="E300" s="1" t="s">
        <v>68</v>
      </c>
    </row>
    <row r="301" ht="15.75" customHeight="1">
      <c r="A301" s="1" t="s">
        <v>558</v>
      </c>
      <c r="B301" s="13" t="str">
        <f t="shared" si="1"/>
        <v>Braxton</v>
      </c>
      <c r="C301" s="13" t="str">
        <f t="shared" si="2"/>
        <v>Miller</v>
      </c>
      <c r="D301" s="13" t="str">
        <f t="shared" si="3"/>
        <v>#N/A</v>
      </c>
      <c r="E301" s="1" t="s">
        <v>69</v>
      </c>
    </row>
    <row r="302" ht="15.75" customHeight="1">
      <c r="A302" s="1" t="s">
        <v>559</v>
      </c>
      <c r="B302" s="13" t="str">
        <f t="shared" si="1"/>
        <v>Braylon</v>
      </c>
      <c r="C302" s="13" t="str">
        <f t="shared" si="2"/>
        <v>Edwards</v>
      </c>
      <c r="D302" s="13" t="str">
        <f t="shared" si="3"/>
        <v>#N/A</v>
      </c>
      <c r="E302" s="1" t="s">
        <v>69</v>
      </c>
    </row>
    <row r="303" ht="15.75" customHeight="1">
      <c r="A303" s="1" t="s">
        <v>560</v>
      </c>
      <c r="B303" s="13" t="str">
        <f t="shared" si="1"/>
        <v>Braylon</v>
      </c>
      <c r="C303" s="13" t="str">
        <f t="shared" si="2"/>
        <v>Heard</v>
      </c>
      <c r="D303" s="13" t="str">
        <f t="shared" si="3"/>
        <v>#N/A</v>
      </c>
      <c r="E303" s="1" t="s">
        <v>66</v>
      </c>
    </row>
    <row r="304" ht="15.75" customHeight="1">
      <c r="A304" s="1" t="s">
        <v>561</v>
      </c>
      <c r="B304" s="13" t="str">
        <f t="shared" si="1"/>
        <v>Braylon</v>
      </c>
      <c r="C304" s="13" t="str">
        <f t="shared" si="2"/>
        <v>Sanders</v>
      </c>
      <c r="D304" s="13" t="str">
        <f t="shared" si="3"/>
        <v>#N/A</v>
      </c>
      <c r="E304" s="1" t="s">
        <v>69</v>
      </c>
    </row>
    <row r="305" ht="15.75" customHeight="1">
      <c r="A305" s="1" t="s">
        <v>562</v>
      </c>
      <c r="B305" s="13" t="str">
        <f t="shared" si="1"/>
        <v>Breece</v>
      </c>
      <c r="C305" s="13" t="str">
        <f t="shared" si="2"/>
        <v>Hall</v>
      </c>
      <c r="D305" s="13" t="str">
        <f t="shared" si="3"/>
        <v>#N/A</v>
      </c>
      <c r="E305" s="1" t="s">
        <v>66</v>
      </c>
    </row>
    <row r="306" ht="15.75" customHeight="1">
      <c r="A306" s="1" t="s">
        <v>563</v>
      </c>
      <c r="B306" s="13" t="str">
        <f t="shared" si="1"/>
        <v>Brelan</v>
      </c>
      <c r="C306" s="13" t="str">
        <f t="shared" si="2"/>
        <v>Chancellor</v>
      </c>
      <c r="D306" s="13" t="str">
        <f t="shared" si="3"/>
        <v>#N/A</v>
      </c>
      <c r="E306" s="1" t="s">
        <v>69</v>
      </c>
    </row>
    <row r="307" ht="15.75" customHeight="1">
      <c r="A307" s="1" t="s">
        <v>564</v>
      </c>
      <c r="B307" s="13" t="str">
        <f t="shared" si="1"/>
        <v>Brendan</v>
      </c>
      <c r="C307" s="13" t="str">
        <f t="shared" si="2"/>
        <v>Langley</v>
      </c>
      <c r="D307" s="13" t="str">
        <f t="shared" si="3"/>
        <v>#N/A</v>
      </c>
      <c r="E307" s="1" t="s">
        <v>69</v>
      </c>
    </row>
    <row r="308" ht="15.75" customHeight="1">
      <c r="A308" s="1" t="s">
        <v>565</v>
      </c>
      <c r="B308" s="13" t="str">
        <f t="shared" si="1"/>
        <v>Brenden</v>
      </c>
      <c r="C308" s="13" t="str">
        <f t="shared" si="2"/>
        <v>Knox</v>
      </c>
      <c r="D308" s="13" t="str">
        <f t="shared" si="3"/>
        <v>#N/A</v>
      </c>
      <c r="E308" s="1" t="s">
        <v>66</v>
      </c>
    </row>
    <row r="309" ht="15.75" customHeight="1">
      <c r="A309" s="1" t="s">
        <v>567</v>
      </c>
      <c r="B309" s="13" t="str">
        <f t="shared" si="1"/>
        <v>Brenden</v>
      </c>
      <c r="C309" s="13" t="str">
        <f t="shared" si="2"/>
        <v>Rice</v>
      </c>
      <c r="D309" s="13" t="str">
        <f t="shared" si="3"/>
        <v>#N/A</v>
      </c>
      <c r="E309" s="1" t="s">
        <v>69</v>
      </c>
    </row>
    <row r="310" ht="15.75" customHeight="1">
      <c r="A310" s="1" t="s">
        <v>568</v>
      </c>
      <c r="B310" s="13" t="str">
        <f t="shared" si="1"/>
        <v>Brendon</v>
      </c>
      <c r="C310" s="13" t="str">
        <f t="shared" si="2"/>
        <v>Kay</v>
      </c>
      <c r="D310" s="13" t="str">
        <f t="shared" si="3"/>
        <v>#N/A</v>
      </c>
      <c r="E310" s="1" t="s">
        <v>65</v>
      </c>
    </row>
    <row r="311" ht="15.75" customHeight="1">
      <c r="A311" s="1" t="s">
        <v>569</v>
      </c>
      <c r="B311" s="13" t="str">
        <f t="shared" si="1"/>
        <v>Brendon</v>
      </c>
      <c r="C311" s="13" t="str">
        <f t="shared" si="2"/>
        <v>Lewis</v>
      </c>
      <c r="D311" s="13" t="str">
        <f t="shared" si="3"/>
        <v>#N/A</v>
      </c>
      <c r="E311" s="1" t="s">
        <v>65</v>
      </c>
    </row>
    <row r="312" ht="15.75" customHeight="1">
      <c r="A312" s="1" t="s">
        <v>570</v>
      </c>
      <c r="B312" s="13" t="str">
        <f t="shared" si="1"/>
        <v>Brennan</v>
      </c>
      <c r="C312" s="13" t="str">
        <f t="shared" si="2"/>
        <v>Armstrong</v>
      </c>
      <c r="D312" s="13" t="str">
        <f t="shared" si="3"/>
        <v>#N/A</v>
      </c>
      <c r="E312" s="1" t="s">
        <v>65</v>
      </c>
    </row>
    <row r="313" ht="15.75" customHeight="1">
      <c r="A313" s="1" t="s">
        <v>571</v>
      </c>
      <c r="B313" s="13" t="str">
        <f t="shared" si="1"/>
        <v>Brennan</v>
      </c>
      <c r="C313" s="13" t="str">
        <f t="shared" si="2"/>
        <v>Clay</v>
      </c>
      <c r="D313" s="13" t="str">
        <f t="shared" si="3"/>
        <v>#N/A</v>
      </c>
      <c r="E313" s="1" t="s">
        <v>66</v>
      </c>
    </row>
    <row r="314" ht="15.75" customHeight="1">
      <c r="A314" s="1" t="s">
        <v>572</v>
      </c>
      <c r="B314" s="13" t="str">
        <f t="shared" si="1"/>
        <v>Brennan</v>
      </c>
      <c r="C314" s="13" t="str">
        <f t="shared" si="2"/>
        <v>Eagles</v>
      </c>
      <c r="D314" s="13" t="str">
        <f t="shared" si="3"/>
        <v>#N/A</v>
      </c>
      <c r="E314" s="1" t="s">
        <v>69</v>
      </c>
    </row>
    <row r="315" ht="15.75" customHeight="1">
      <c r="A315" s="1" t="s">
        <v>574</v>
      </c>
      <c r="B315" s="13" t="str">
        <f t="shared" si="1"/>
        <v>Brennan</v>
      </c>
      <c r="C315" s="13" t="str">
        <f t="shared" si="2"/>
        <v>Presley</v>
      </c>
      <c r="D315" s="13" t="str">
        <f t="shared" si="3"/>
        <v>#N/A</v>
      </c>
      <c r="E315" s="1" t="s">
        <v>69</v>
      </c>
    </row>
    <row r="316" ht="15.75" customHeight="1">
      <c r="A316" s="1" t="s">
        <v>576</v>
      </c>
      <c r="B316" s="13" t="str">
        <f t="shared" si="1"/>
        <v>Brent</v>
      </c>
      <c r="C316" s="13" t="str">
        <f t="shared" si="2"/>
        <v>Celek</v>
      </c>
      <c r="D316" s="13" t="str">
        <f t="shared" si="3"/>
        <v>#N/A</v>
      </c>
      <c r="E316" s="1" t="s">
        <v>68</v>
      </c>
    </row>
    <row r="317" ht="15.75" customHeight="1">
      <c r="A317" s="1" t="s">
        <v>577</v>
      </c>
      <c r="B317" s="13" t="str">
        <f t="shared" si="1"/>
        <v>Brenton</v>
      </c>
      <c r="C317" s="13" t="str">
        <f t="shared" si="2"/>
        <v>Bersin</v>
      </c>
      <c r="D317" s="13" t="str">
        <f t="shared" si="3"/>
        <v>#N/A</v>
      </c>
      <c r="E317" s="1" t="s">
        <v>69</v>
      </c>
    </row>
    <row r="318" ht="15.75" customHeight="1">
      <c r="A318" s="1" t="s">
        <v>578</v>
      </c>
      <c r="B318" s="13" t="str">
        <f t="shared" si="1"/>
        <v>Breshad</v>
      </c>
      <c r="C318" s="13" t="str">
        <f t="shared" si="2"/>
        <v>Perriman</v>
      </c>
      <c r="D318" s="13" t="str">
        <f t="shared" si="3"/>
        <v>#N/A</v>
      </c>
      <c r="E318" s="1" t="s">
        <v>69</v>
      </c>
    </row>
    <row r="319" ht="15.75" customHeight="1">
      <c r="A319" s="1" t="s">
        <v>579</v>
      </c>
      <c r="B319" s="13" t="str">
        <f t="shared" si="1"/>
        <v>Brett</v>
      </c>
      <c r="C319" s="13" t="str">
        <f t="shared" si="2"/>
        <v>Hundley</v>
      </c>
      <c r="D319" s="13" t="str">
        <f t="shared" si="3"/>
        <v>#N/A</v>
      </c>
      <c r="E319" s="1" t="s">
        <v>65</v>
      </c>
    </row>
    <row r="320" ht="15.75" customHeight="1">
      <c r="A320" s="1" t="s">
        <v>580</v>
      </c>
      <c r="B320" s="13" t="str">
        <f t="shared" si="1"/>
        <v>Brett</v>
      </c>
      <c r="C320" s="13" t="str">
        <f t="shared" si="2"/>
        <v>Maher</v>
      </c>
      <c r="D320" s="13" t="str">
        <f t="shared" si="3"/>
        <v>#N/A</v>
      </c>
      <c r="E320" s="1" t="s">
        <v>64</v>
      </c>
    </row>
    <row r="321" ht="15.75" customHeight="1">
      <c r="A321" s="1" t="s">
        <v>581</v>
      </c>
      <c r="B321" s="13" t="str">
        <f t="shared" si="1"/>
        <v>Brett</v>
      </c>
      <c r="C321" s="13" t="str">
        <f t="shared" si="2"/>
        <v>Rypien</v>
      </c>
      <c r="D321" s="13" t="str">
        <f t="shared" si="3"/>
        <v>#N/A</v>
      </c>
      <c r="E321" s="1" t="s">
        <v>65</v>
      </c>
    </row>
    <row r="322" ht="15.75" customHeight="1">
      <c r="A322" s="1" t="s">
        <v>582</v>
      </c>
      <c r="B322" s="13" t="str">
        <f t="shared" si="1"/>
        <v>Brett</v>
      </c>
      <c r="C322" s="13" t="str">
        <f t="shared" si="2"/>
        <v>Smith</v>
      </c>
      <c r="D322" s="13" t="str">
        <f t="shared" si="3"/>
        <v>#N/A</v>
      </c>
      <c r="E322" s="1" t="s">
        <v>65</v>
      </c>
    </row>
    <row r="323" ht="15.75" customHeight="1">
      <c r="A323" s="1" t="s">
        <v>583</v>
      </c>
      <c r="B323" s="13" t="str">
        <f t="shared" si="1"/>
        <v>Brevin</v>
      </c>
      <c r="C323" s="13" t="str">
        <f t="shared" si="2"/>
        <v>Jordan</v>
      </c>
      <c r="D323" s="13" t="str">
        <f t="shared" si="3"/>
        <v>#N/A</v>
      </c>
      <c r="E323" s="1" t="s">
        <v>68</v>
      </c>
    </row>
    <row r="324" ht="15.75" customHeight="1">
      <c r="A324" s="1" t="s">
        <v>584</v>
      </c>
      <c r="B324" s="13" t="str">
        <f t="shared" si="1"/>
        <v>Brevyn</v>
      </c>
      <c r="C324" s="13" t="str">
        <f t="shared" si="2"/>
        <v>Spann-Ford</v>
      </c>
      <c r="D324" s="13" t="str">
        <f t="shared" si="3"/>
        <v>#N/A</v>
      </c>
      <c r="E324" s="1" t="s">
        <v>68</v>
      </c>
    </row>
    <row r="325" ht="15.75" customHeight="1">
      <c r="A325" s="1" t="s">
        <v>585</v>
      </c>
      <c r="B325" s="13" t="str">
        <f t="shared" si="1"/>
        <v>Brian</v>
      </c>
      <c r="C325" s="13" t="str">
        <f t="shared" si="2"/>
        <v>Brown</v>
      </c>
      <c r="D325" s="13" t="str">
        <f t="shared" si="3"/>
        <v>#N/A</v>
      </c>
      <c r="E325" s="1" t="s">
        <v>69</v>
      </c>
    </row>
    <row r="326" ht="15.75" customHeight="1">
      <c r="A326" s="1" t="s">
        <v>586</v>
      </c>
      <c r="B326" s="13" t="str">
        <f t="shared" si="1"/>
        <v>Brian</v>
      </c>
      <c r="C326" s="13" t="str">
        <f t="shared" si="2"/>
        <v>Burt</v>
      </c>
      <c r="D326" s="13" t="str">
        <f t="shared" si="3"/>
        <v>#N/A</v>
      </c>
      <c r="E326" s="1" t="s">
        <v>69</v>
      </c>
    </row>
    <row r="327" ht="15.75" customHeight="1">
      <c r="A327" s="1" t="s">
        <v>587</v>
      </c>
      <c r="B327" s="13" t="str">
        <f t="shared" si="1"/>
        <v>Brian</v>
      </c>
      <c r="C327" s="13" t="str">
        <f t="shared" si="2"/>
        <v>Hartline</v>
      </c>
      <c r="D327" s="13" t="str">
        <f t="shared" si="3"/>
        <v>#N/A</v>
      </c>
      <c r="E327" s="1" t="s">
        <v>69</v>
      </c>
    </row>
    <row r="328" ht="15.75" customHeight="1">
      <c r="A328" s="1" t="s">
        <v>588</v>
      </c>
      <c r="B328" s="13" t="str">
        <f t="shared" si="1"/>
        <v>Brian</v>
      </c>
      <c r="C328" s="13" t="str">
        <f t="shared" si="2"/>
        <v>Herrien</v>
      </c>
      <c r="D328" s="13" t="str">
        <f t="shared" si="3"/>
        <v>#N/A</v>
      </c>
      <c r="E328" s="1" t="s">
        <v>66</v>
      </c>
    </row>
    <row r="329" ht="15.75" customHeight="1">
      <c r="A329" s="1" t="s">
        <v>589</v>
      </c>
      <c r="B329" s="13" t="str">
        <f t="shared" si="1"/>
        <v>Brian</v>
      </c>
      <c r="C329" s="13" t="str">
        <f t="shared" si="2"/>
        <v>Hill</v>
      </c>
      <c r="D329" s="13" t="str">
        <f t="shared" si="3"/>
        <v>#N/A</v>
      </c>
      <c r="E329" s="1" t="s">
        <v>66</v>
      </c>
    </row>
    <row r="330" ht="15.75" customHeight="1">
      <c r="A330" s="1" t="s">
        <v>590</v>
      </c>
      <c r="B330" s="13" t="str">
        <f t="shared" si="1"/>
        <v>Brian</v>
      </c>
      <c r="C330" s="13" t="str">
        <f t="shared" si="2"/>
        <v>Hoyer</v>
      </c>
      <c r="D330" s="13" t="str">
        <f t="shared" si="3"/>
        <v>#N/A</v>
      </c>
      <c r="E330" s="1" t="s">
        <v>65</v>
      </c>
    </row>
    <row r="331" ht="15.75" customHeight="1">
      <c r="A331" s="1" t="s">
        <v>591</v>
      </c>
      <c r="B331" s="13" t="str">
        <f t="shared" si="1"/>
        <v>Brian</v>
      </c>
      <c r="C331" s="13" t="str">
        <f t="shared" si="2"/>
        <v>Lewerke</v>
      </c>
      <c r="D331" s="13" t="str">
        <f t="shared" si="3"/>
        <v>#N/A</v>
      </c>
      <c r="E331" s="1" t="s">
        <v>65</v>
      </c>
    </row>
    <row r="332" ht="15.75" customHeight="1">
      <c r="A332" s="1" t="s">
        <v>592</v>
      </c>
      <c r="B332" s="13" t="str">
        <f t="shared" si="1"/>
        <v>Brian</v>
      </c>
      <c r="C332" s="13" t="str">
        <f t="shared" si="2"/>
        <v>Parker</v>
      </c>
      <c r="D332" s="13" t="str">
        <f t="shared" si="3"/>
        <v>#N/A</v>
      </c>
      <c r="E332" s="1" t="s">
        <v>68</v>
      </c>
    </row>
    <row r="333" ht="15.75" customHeight="1">
      <c r="A333" s="1" t="s">
        <v>593</v>
      </c>
      <c r="B333" s="13" t="str">
        <f t="shared" si="1"/>
        <v>Brian</v>
      </c>
      <c r="C333" s="13" t="str">
        <f t="shared" si="2"/>
        <v>Quick</v>
      </c>
      <c r="D333" s="13" t="str">
        <f t="shared" si="3"/>
        <v>#N/A</v>
      </c>
      <c r="E333" s="1" t="s">
        <v>69</v>
      </c>
    </row>
    <row r="334" ht="15.75" customHeight="1">
      <c r="A334" s="1" t="s">
        <v>594</v>
      </c>
      <c r="B334" s="13" t="str">
        <f t="shared" si="1"/>
        <v>Brian</v>
      </c>
      <c r="C334" s="13" t="str">
        <f t="shared" si="2"/>
        <v>Robinson</v>
      </c>
      <c r="D334" s="13" t="str">
        <f t="shared" si="3"/>
        <v>#N/A</v>
      </c>
      <c r="E334" s="1" t="s">
        <v>66</v>
      </c>
    </row>
    <row r="335" ht="15.75" customHeight="1">
      <c r="A335" s="1" t="s">
        <v>595</v>
      </c>
      <c r="B335" s="13" t="str">
        <f t="shared" si="1"/>
        <v>Brian</v>
      </c>
      <c r="C335" s="13" t="str">
        <f t="shared" si="2"/>
        <v>Thomas</v>
      </c>
      <c r="D335" s="13" t="str">
        <f t="shared" si="3"/>
        <v>#N/A</v>
      </c>
      <c r="E335" s="1" t="s">
        <v>69</v>
      </c>
    </row>
    <row r="336" ht="15.75" customHeight="1">
      <c r="A336" s="1" t="s">
        <v>596</v>
      </c>
      <c r="B336" s="13" t="str">
        <f t="shared" si="1"/>
        <v>Brian</v>
      </c>
      <c r="C336" s="13" t="str">
        <f t="shared" si="2"/>
        <v>Tyms</v>
      </c>
      <c r="D336" s="13" t="str">
        <f t="shared" si="3"/>
        <v>#N/A</v>
      </c>
      <c r="E336" s="1" t="s">
        <v>69</v>
      </c>
    </row>
    <row r="337" ht="15.75" customHeight="1">
      <c r="A337" s="1" t="s">
        <v>597</v>
      </c>
      <c r="B337" s="13" t="str">
        <f t="shared" si="1"/>
        <v>Brice</v>
      </c>
      <c r="C337" s="13" t="str">
        <f t="shared" si="2"/>
        <v>Butler</v>
      </c>
      <c r="D337" s="13" t="str">
        <f t="shared" si="3"/>
        <v>#N/A</v>
      </c>
      <c r="E337" s="1" t="s">
        <v>69</v>
      </c>
    </row>
    <row r="338" ht="15.75" customHeight="1">
      <c r="A338" s="1" t="s">
        <v>598</v>
      </c>
      <c r="B338" s="13" t="str">
        <f t="shared" si="1"/>
        <v>Briley</v>
      </c>
      <c r="C338" s="13" t="str">
        <f t="shared" si="2"/>
        <v>Moore</v>
      </c>
      <c r="D338" s="13" t="str">
        <f t="shared" si="3"/>
        <v>#N/A</v>
      </c>
      <c r="E338" s="1" t="s">
        <v>68</v>
      </c>
    </row>
    <row r="339" ht="15.75" customHeight="1">
      <c r="A339" s="1" t="s">
        <v>599</v>
      </c>
      <c r="B339" s="13" t="str">
        <f t="shared" si="1"/>
        <v>Brisly</v>
      </c>
      <c r="C339" s="13" t="str">
        <f t="shared" si="2"/>
        <v>Estime</v>
      </c>
      <c r="D339" s="13" t="str">
        <f t="shared" si="3"/>
        <v>#N/A</v>
      </c>
      <c r="E339" s="1" t="s">
        <v>69</v>
      </c>
    </row>
    <row r="340" ht="15.75" customHeight="1">
      <c r="A340" s="1" t="s">
        <v>600</v>
      </c>
      <c r="B340" s="13" t="str">
        <f t="shared" si="1"/>
        <v>Brittain</v>
      </c>
      <c r="C340" s="13" t="str">
        <f t="shared" si="2"/>
        <v>Brown</v>
      </c>
      <c r="D340" s="13" t="str">
        <f t="shared" si="3"/>
        <v>#N/A</v>
      </c>
      <c r="E340" s="1" t="s">
        <v>66</v>
      </c>
    </row>
    <row r="341" ht="15.75" customHeight="1">
      <c r="A341" s="1" t="s">
        <v>601</v>
      </c>
      <c r="B341" s="13" t="str">
        <f t="shared" si="1"/>
        <v>Brittan</v>
      </c>
      <c r="C341" s="13" t="str">
        <f t="shared" si="2"/>
        <v>Golden</v>
      </c>
      <c r="D341" s="13" t="str">
        <f t="shared" si="3"/>
        <v>#N/A</v>
      </c>
      <c r="E341" s="1" t="s">
        <v>69</v>
      </c>
    </row>
    <row r="342" ht="15.75" customHeight="1">
      <c r="A342" s="1" t="s">
        <v>602</v>
      </c>
      <c r="B342" s="13" t="str">
        <f t="shared" si="1"/>
        <v>Broc</v>
      </c>
      <c r="C342" s="13" t="str">
        <f t="shared" si="2"/>
        <v>Thompson</v>
      </c>
      <c r="D342" s="13" t="str">
        <f t="shared" si="3"/>
        <v>#N/A</v>
      </c>
      <c r="E342" s="1" t="s">
        <v>69</v>
      </c>
    </row>
    <row r="343" ht="15.75" customHeight="1">
      <c r="A343" s="1" t="s">
        <v>603</v>
      </c>
      <c r="B343" s="13" t="str">
        <f t="shared" si="1"/>
        <v>Brock</v>
      </c>
      <c r="C343" s="13" t="str">
        <f t="shared" si="2"/>
        <v>Bowers</v>
      </c>
      <c r="D343" s="13" t="str">
        <f t="shared" si="3"/>
        <v>#N/A</v>
      </c>
      <c r="E343" s="1" t="s">
        <v>68</v>
      </c>
    </row>
    <row r="344" ht="15.75" customHeight="1">
      <c r="A344" s="1" t="s">
        <v>604</v>
      </c>
      <c r="B344" s="13" t="str">
        <f t="shared" si="1"/>
        <v>Brock</v>
      </c>
      <c r="C344" s="13" t="str">
        <f t="shared" si="2"/>
        <v>Jensen</v>
      </c>
      <c r="D344" s="13" t="str">
        <f t="shared" si="3"/>
        <v>#N/A</v>
      </c>
      <c r="E344" s="1" t="s">
        <v>65</v>
      </c>
    </row>
    <row r="345" ht="15.75" customHeight="1">
      <c r="A345" s="1" t="s">
        <v>605</v>
      </c>
      <c r="B345" s="13" t="str">
        <f t="shared" si="1"/>
        <v>Brock</v>
      </c>
      <c r="C345" s="13" t="str">
        <f t="shared" si="2"/>
        <v>Osweiler</v>
      </c>
      <c r="D345" s="13" t="str">
        <f t="shared" si="3"/>
        <v>#N/A</v>
      </c>
      <c r="E345" s="1" t="s">
        <v>65</v>
      </c>
    </row>
    <row r="346" ht="15.75" customHeight="1">
      <c r="A346" s="1" t="s">
        <v>607</v>
      </c>
      <c r="B346" s="13" t="str">
        <f t="shared" si="1"/>
        <v>Brock</v>
      </c>
      <c r="C346" s="13" t="str">
        <f t="shared" si="2"/>
        <v>Purdy</v>
      </c>
      <c r="D346" s="13" t="str">
        <f t="shared" si="3"/>
        <v>#N/A</v>
      </c>
      <c r="E346" s="1" t="s">
        <v>65</v>
      </c>
    </row>
    <row r="347" ht="15.75" customHeight="1">
      <c r="A347" s="1" t="s">
        <v>608</v>
      </c>
      <c r="B347" s="13" t="str">
        <f t="shared" si="1"/>
        <v>Brock</v>
      </c>
      <c r="C347" s="13" t="str">
        <f t="shared" si="2"/>
        <v>Wright</v>
      </c>
      <c r="D347" s="13" t="str">
        <f t="shared" si="3"/>
        <v>#N/A</v>
      </c>
      <c r="E347" s="1" t="s">
        <v>68</v>
      </c>
    </row>
    <row r="348" ht="15.75" customHeight="1">
      <c r="A348" s="1" t="s">
        <v>609</v>
      </c>
      <c r="B348" s="13" t="str">
        <f t="shared" si="1"/>
        <v>Brody</v>
      </c>
      <c r="C348" s="13" t="str">
        <f t="shared" si="2"/>
        <v>Oliver</v>
      </c>
      <c r="D348" s="13" t="str">
        <f t="shared" si="3"/>
        <v>#N/A</v>
      </c>
      <c r="E348" s="1" t="s">
        <v>69</v>
      </c>
    </row>
    <row r="349" ht="15.75" customHeight="1">
      <c r="A349" s="1" t="s">
        <v>610</v>
      </c>
      <c r="B349" s="13" t="str">
        <f t="shared" si="1"/>
        <v>Brogan</v>
      </c>
      <c r="C349" s="13" t="str">
        <f t="shared" si="2"/>
        <v>Roback</v>
      </c>
      <c r="D349" s="13" t="str">
        <f t="shared" si="3"/>
        <v>#N/A</v>
      </c>
      <c r="E349" s="1" t="s">
        <v>65</v>
      </c>
    </row>
    <row r="350" ht="15.75" customHeight="1">
      <c r="A350" s="1" t="s">
        <v>611</v>
      </c>
      <c r="B350" s="13" t="str">
        <f t="shared" si="1"/>
        <v>Bronson</v>
      </c>
      <c r="C350" s="13" t="str">
        <f t="shared" si="2"/>
        <v>Hill</v>
      </c>
      <c r="D350" s="13" t="str">
        <f t="shared" si="3"/>
        <v>#N/A</v>
      </c>
      <c r="E350" s="1" t="s">
        <v>66</v>
      </c>
    </row>
    <row r="351" ht="15.75" customHeight="1">
      <c r="A351" s="1" t="s">
        <v>612</v>
      </c>
      <c r="B351" s="13" t="str">
        <f t="shared" si="1"/>
        <v>Bronson</v>
      </c>
      <c r="C351" s="13" t="str">
        <f t="shared" si="2"/>
        <v>Kaufusi</v>
      </c>
      <c r="D351" s="13" t="str">
        <f t="shared" si="3"/>
        <v>#N/A</v>
      </c>
      <c r="E351" s="1" t="s">
        <v>68</v>
      </c>
    </row>
    <row r="352" ht="15.75" customHeight="1">
      <c r="A352" s="1" t="s">
        <v>613</v>
      </c>
      <c r="B352" s="13" t="str">
        <f t="shared" si="1"/>
        <v>Bru</v>
      </c>
      <c r="C352" s="13" t="str">
        <f t="shared" si="2"/>
        <v>McCoy</v>
      </c>
      <c r="D352" s="13" t="str">
        <f t="shared" si="3"/>
        <v>#N/A</v>
      </c>
      <c r="E352" s="1" t="s">
        <v>69</v>
      </c>
    </row>
    <row r="353" ht="15.75" customHeight="1">
      <c r="A353" s="1" t="s">
        <v>614</v>
      </c>
      <c r="B353" s="13" t="str">
        <f t="shared" si="1"/>
        <v>Bruce</v>
      </c>
      <c r="C353" s="13" t="str">
        <f t="shared" si="2"/>
        <v>Anderson</v>
      </c>
      <c r="D353" s="13" t="str">
        <f t="shared" si="3"/>
        <v>#N/A</v>
      </c>
      <c r="E353" s="1" t="s">
        <v>66</v>
      </c>
    </row>
    <row r="354" ht="15.75" customHeight="1">
      <c r="A354" s="1" t="s">
        <v>615</v>
      </c>
      <c r="B354" s="13" t="str">
        <f t="shared" si="1"/>
        <v>Bruce</v>
      </c>
      <c r="C354" s="13" t="str">
        <f t="shared" si="2"/>
        <v>Ellington</v>
      </c>
      <c r="D354" s="13" t="str">
        <f t="shared" si="3"/>
        <v>#N/A</v>
      </c>
      <c r="E354" s="1" t="s">
        <v>69</v>
      </c>
    </row>
    <row r="355" ht="15.75" customHeight="1">
      <c r="A355" s="1" t="s">
        <v>616</v>
      </c>
      <c r="B355" s="13" t="str">
        <f t="shared" si="1"/>
        <v>Bruce</v>
      </c>
      <c r="C355" s="13" t="str">
        <f t="shared" si="2"/>
        <v>Gradkowski</v>
      </c>
      <c r="D355" s="13" t="str">
        <f t="shared" si="3"/>
        <v>#N/A</v>
      </c>
      <c r="E355" s="1" t="s">
        <v>65</v>
      </c>
    </row>
    <row r="356" ht="15.75" customHeight="1">
      <c r="A356" s="1" t="s">
        <v>617</v>
      </c>
      <c r="B356" s="13" t="str">
        <f t="shared" si="1"/>
        <v>Bryan</v>
      </c>
      <c r="C356" s="13" t="str">
        <f t="shared" si="2"/>
        <v>Bennett</v>
      </c>
      <c r="D356" s="13" t="str">
        <f t="shared" si="3"/>
        <v>#N/A</v>
      </c>
      <c r="E356" s="1" t="s">
        <v>65</v>
      </c>
    </row>
    <row r="357" ht="15.75" customHeight="1">
      <c r="A357" s="1" t="s">
        <v>157</v>
      </c>
      <c r="B357" s="13" t="str">
        <f t="shared" si="1"/>
        <v>Bryan</v>
      </c>
      <c r="C357" s="13" t="str">
        <f t="shared" si="2"/>
        <v>Edwards</v>
      </c>
      <c r="D357" s="13" t="str">
        <f t="shared" si="3"/>
        <v>#N/A</v>
      </c>
      <c r="E357" s="1" t="s">
        <v>69</v>
      </c>
    </row>
    <row r="358" ht="15.75" customHeight="1">
      <c r="A358" s="1" t="s">
        <v>619</v>
      </c>
      <c r="B358" s="13" t="str">
        <f t="shared" si="1"/>
        <v>Bryan</v>
      </c>
      <c r="C358" s="13" t="str">
        <f t="shared" si="2"/>
        <v>Walters</v>
      </c>
      <c r="D358" s="13" t="str">
        <f t="shared" si="3"/>
        <v>#N/A</v>
      </c>
      <c r="E358" s="1" t="s">
        <v>69</v>
      </c>
    </row>
    <row r="359" ht="15.75" customHeight="1">
      <c r="A359" s="1" t="s">
        <v>621</v>
      </c>
      <c r="B359" s="13" t="str">
        <f t="shared" si="1"/>
        <v>Bryant</v>
      </c>
      <c r="C359" s="13" t="str">
        <f t="shared" si="2"/>
        <v>Koback</v>
      </c>
      <c r="D359" s="13" t="str">
        <f t="shared" si="3"/>
        <v>#N/A</v>
      </c>
      <c r="E359" s="1" t="s">
        <v>66</v>
      </c>
    </row>
    <row r="360" ht="15.75" customHeight="1">
      <c r="A360" s="1" t="s">
        <v>622</v>
      </c>
      <c r="B360" s="13" t="str">
        <f t="shared" si="1"/>
        <v>Bryant</v>
      </c>
      <c r="C360" s="13" t="str">
        <f t="shared" si="2"/>
        <v>Mitchell</v>
      </c>
      <c r="D360" s="13" t="str">
        <f t="shared" si="3"/>
        <v>#N/A</v>
      </c>
      <c r="E360" s="1" t="s">
        <v>69</v>
      </c>
    </row>
    <row r="361" ht="15.75" customHeight="1">
      <c r="A361" s="1" t="s">
        <v>623</v>
      </c>
      <c r="B361" s="13" t="str">
        <f t="shared" si="1"/>
        <v>Bryce</v>
      </c>
      <c r="C361" s="13" t="str">
        <f t="shared" si="2"/>
        <v>Bobo</v>
      </c>
      <c r="D361" s="13" t="str">
        <f t="shared" si="3"/>
        <v>#N/A</v>
      </c>
      <c r="E361" s="1" t="s">
        <v>69</v>
      </c>
    </row>
    <row r="362" ht="15.75" customHeight="1">
      <c r="A362" s="1" t="s">
        <v>624</v>
      </c>
      <c r="B362" s="13" t="str">
        <f t="shared" si="1"/>
        <v>Bryce</v>
      </c>
      <c r="C362" s="13" t="str">
        <f t="shared" si="2"/>
        <v>Brown</v>
      </c>
      <c r="D362" s="13" t="str">
        <f t="shared" si="3"/>
        <v>#N/A</v>
      </c>
      <c r="E362" s="1" t="s">
        <v>66</v>
      </c>
    </row>
    <row r="363" ht="15.75" customHeight="1">
      <c r="A363" s="1" t="s">
        <v>626</v>
      </c>
      <c r="B363" s="13" t="str">
        <f t="shared" si="1"/>
        <v>Bryce</v>
      </c>
      <c r="C363" s="13" t="str">
        <f t="shared" si="2"/>
        <v>Ford-Wheaton</v>
      </c>
      <c r="D363" s="13" t="str">
        <f t="shared" si="3"/>
        <v>#N/A</v>
      </c>
      <c r="E363" s="1" t="s">
        <v>69</v>
      </c>
    </row>
    <row r="364" ht="15.75" customHeight="1">
      <c r="A364" s="1" t="s">
        <v>531</v>
      </c>
      <c r="B364" s="13" t="str">
        <f t="shared" si="1"/>
        <v>Bryce</v>
      </c>
      <c r="C364" s="13" t="str">
        <f t="shared" si="2"/>
        <v>Love</v>
      </c>
      <c r="D364" s="13" t="str">
        <f t="shared" si="3"/>
        <v>#N/A</v>
      </c>
      <c r="E364" s="1" t="s">
        <v>66</v>
      </c>
    </row>
    <row r="365" ht="15.75" customHeight="1">
      <c r="A365" s="1" t="s">
        <v>627</v>
      </c>
      <c r="B365" s="13" t="str">
        <f t="shared" si="1"/>
        <v>Bryce</v>
      </c>
      <c r="C365" s="13" t="str">
        <f t="shared" si="2"/>
        <v>Perkins</v>
      </c>
      <c r="D365" s="13" t="str">
        <f t="shared" si="3"/>
        <v>#N/A</v>
      </c>
      <c r="E365" s="1" t="s">
        <v>65</v>
      </c>
    </row>
    <row r="366" ht="15.75" customHeight="1">
      <c r="A366" s="1" t="s">
        <v>628</v>
      </c>
      <c r="B366" s="13" t="str">
        <f t="shared" si="1"/>
        <v>Bryce</v>
      </c>
      <c r="C366" s="13" t="str">
        <f t="shared" si="2"/>
        <v>Petty</v>
      </c>
      <c r="D366" s="13" t="str">
        <f t="shared" si="3"/>
        <v>#N/A</v>
      </c>
      <c r="E366" s="1" t="s">
        <v>65</v>
      </c>
    </row>
    <row r="367" ht="15.75" customHeight="1">
      <c r="A367" s="1" t="s">
        <v>629</v>
      </c>
      <c r="B367" s="13" t="str">
        <f t="shared" si="1"/>
        <v>Bryce</v>
      </c>
      <c r="C367" s="13" t="str">
        <f t="shared" si="2"/>
        <v>Treggs</v>
      </c>
      <c r="D367" s="13" t="str">
        <f t="shared" si="3"/>
        <v>#N/A</v>
      </c>
      <c r="E367" s="1" t="s">
        <v>69</v>
      </c>
    </row>
    <row r="368" ht="15.75" customHeight="1">
      <c r="A368" s="1" t="s">
        <v>630</v>
      </c>
      <c r="B368" s="13" t="str">
        <f t="shared" si="1"/>
        <v>Bryce</v>
      </c>
      <c r="C368" s="13" t="str">
        <f t="shared" si="2"/>
        <v>Williams</v>
      </c>
      <c r="D368" s="13" t="str">
        <f t="shared" si="3"/>
        <v>#N/A</v>
      </c>
      <c r="E368" s="1" t="s">
        <v>68</v>
      </c>
    </row>
    <row r="369" ht="15.75" customHeight="1">
      <c r="A369" s="1" t="s">
        <v>632</v>
      </c>
      <c r="B369" s="13" t="str">
        <f t="shared" si="1"/>
        <v>Bryce</v>
      </c>
      <c r="C369" s="13" t="str">
        <f t="shared" si="2"/>
        <v>Young</v>
      </c>
      <c r="D369" s="13" t="str">
        <f t="shared" si="3"/>
        <v>#N/A</v>
      </c>
      <c r="E369" s="1" t="s">
        <v>65</v>
      </c>
    </row>
    <row r="370" ht="15.75" customHeight="1">
      <c r="A370" s="1" t="s">
        <v>633</v>
      </c>
      <c r="B370" s="13" t="str">
        <f t="shared" si="1"/>
        <v>Brycen</v>
      </c>
      <c r="C370" s="13" t="str">
        <f t="shared" si="2"/>
        <v>Hopkins</v>
      </c>
      <c r="D370" s="13" t="str">
        <f t="shared" si="3"/>
        <v>#N/A</v>
      </c>
      <c r="E370" s="1" t="s">
        <v>68</v>
      </c>
    </row>
    <row r="371" ht="15.75" customHeight="1">
      <c r="A371" s="1" t="s">
        <v>634</v>
      </c>
      <c r="B371" s="13" t="str">
        <f t="shared" si="1"/>
        <v>Bryn</v>
      </c>
      <c r="C371" s="13" t="str">
        <f t="shared" si="2"/>
        <v>Renner</v>
      </c>
      <c r="D371" s="13" t="str">
        <f t="shared" si="3"/>
        <v>#N/A</v>
      </c>
      <c r="E371" s="1" t="s">
        <v>65</v>
      </c>
    </row>
    <row r="372" ht="15.75" customHeight="1">
      <c r="A372" s="1" t="s">
        <v>636</v>
      </c>
      <c r="B372" s="13" t="str">
        <f t="shared" si="1"/>
        <v>Bryson</v>
      </c>
      <c r="C372" s="13" t="str">
        <f t="shared" si="2"/>
        <v>Denley</v>
      </c>
      <c r="D372" s="13" t="str">
        <f t="shared" si="3"/>
        <v>#N/A</v>
      </c>
      <c r="E372" s="1" t="s">
        <v>66</v>
      </c>
    </row>
    <row r="373" ht="15.75" customHeight="1">
      <c r="A373" s="1" t="s">
        <v>637</v>
      </c>
      <c r="B373" s="13" t="str">
        <f t="shared" si="1"/>
        <v>Buck</v>
      </c>
      <c r="C373" s="13" t="str">
        <f t="shared" si="2"/>
        <v>Allen</v>
      </c>
      <c r="D373" s="13" t="str">
        <f t="shared" si="3"/>
        <v>#N/A</v>
      </c>
      <c r="E373" s="1" t="s">
        <v>66</v>
      </c>
    </row>
    <row r="374" ht="15.75" customHeight="1">
      <c r="A374" s="1" t="s">
        <v>638</v>
      </c>
      <c r="B374" s="13" t="str">
        <f t="shared" si="1"/>
        <v>Bucky</v>
      </c>
      <c r="C374" s="13" t="str">
        <f t="shared" si="2"/>
        <v>Hodges</v>
      </c>
      <c r="D374" s="13" t="str">
        <f t="shared" si="3"/>
        <v>#N/A</v>
      </c>
      <c r="E374" s="1" t="s">
        <v>68</v>
      </c>
    </row>
    <row r="375" ht="15.75" customHeight="1">
      <c r="A375" s="1" t="s">
        <v>639</v>
      </c>
      <c r="B375" s="13" t="str">
        <f t="shared" si="1"/>
        <v>Bud</v>
      </c>
      <c r="C375" s="13" t="str">
        <f t="shared" si="2"/>
        <v>Sasser</v>
      </c>
      <c r="D375" s="13" t="str">
        <f t="shared" si="3"/>
        <v>#N/A</v>
      </c>
      <c r="E375" s="1" t="s">
        <v>69</v>
      </c>
    </row>
    <row r="376" ht="15.75" customHeight="1">
      <c r="A376" s="1" t="s">
        <v>640</v>
      </c>
      <c r="B376" s="13" t="str">
        <f t="shared" si="1"/>
        <v>Buddy</v>
      </c>
      <c r="C376" s="13" t="str">
        <f t="shared" si="2"/>
        <v>Howell</v>
      </c>
      <c r="D376" s="13" t="str">
        <f t="shared" si="3"/>
        <v>#N/A</v>
      </c>
      <c r="E376" s="1" t="s">
        <v>66</v>
      </c>
    </row>
    <row r="377" ht="15.75" customHeight="1">
      <c r="A377" s="1" t="s">
        <v>407</v>
      </c>
      <c r="B377" s="13" t="str">
        <f t="shared" si="1"/>
        <v>#VALUE!</v>
      </c>
      <c r="C377" s="13" t="str">
        <f t="shared" si="2"/>
        <v>#VALUE!</v>
      </c>
      <c r="D377" s="13" t="str">
        <f t="shared" si="3"/>
        <v>#N/A</v>
      </c>
      <c r="E377" s="1" t="s">
        <v>63</v>
      </c>
    </row>
    <row r="378" ht="15.75" customHeight="1">
      <c r="A378" s="1" t="s">
        <v>641</v>
      </c>
      <c r="B378" s="13" t="str">
        <f t="shared" si="1"/>
        <v>Bug</v>
      </c>
      <c r="C378" s="13" t="str">
        <f t="shared" si="2"/>
        <v>Howard</v>
      </c>
      <c r="D378" s="13" t="str">
        <f t="shared" si="3"/>
        <v>#N/A</v>
      </c>
      <c r="E378" s="1" t="s">
        <v>69</v>
      </c>
    </row>
    <row r="379" ht="15.75" customHeight="1">
      <c r="A379" s="1" t="s">
        <v>642</v>
      </c>
      <c r="B379" s="13" t="str">
        <f t="shared" si="1"/>
        <v>Byron</v>
      </c>
      <c r="C379" s="13" t="str">
        <f t="shared" si="2"/>
        <v>Cardwell</v>
      </c>
      <c r="D379" s="13" t="str">
        <f t="shared" si="3"/>
        <v>#N/A</v>
      </c>
      <c r="E379" s="1" t="s">
        <v>66</v>
      </c>
    </row>
    <row r="380" ht="15.75" customHeight="1">
      <c r="A380" s="1" t="s">
        <v>643</v>
      </c>
      <c r="B380" s="13" t="str">
        <f t="shared" si="1"/>
        <v>Byron</v>
      </c>
      <c r="C380" s="13" t="str">
        <f t="shared" si="2"/>
        <v>Marshall</v>
      </c>
      <c r="D380" s="13" t="str">
        <f t="shared" si="3"/>
        <v>#N/A</v>
      </c>
      <c r="E380" s="1" t="s">
        <v>66</v>
      </c>
    </row>
    <row r="381" ht="15.75" customHeight="1">
      <c r="A381" s="1" t="s">
        <v>644</v>
      </c>
      <c r="B381" s="13" t="str">
        <f t="shared" si="1"/>
        <v>Byron</v>
      </c>
      <c r="C381" s="13" t="str">
        <f t="shared" si="2"/>
        <v>Pringle</v>
      </c>
      <c r="D381" s="13" t="str">
        <f t="shared" si="3"/>
        <v>#N/A</v>
      </c>
      <c r="E381" s="1" t="s">
        <v>69</v>
      </c>
    </row>
    <row r="382" ht="15.75" customHeight="1">
      <c r="A382" s="1" t="s">
        <v>645</v>
      </c>
      <c r="B382" s="13" t="str">
        <f t="shared" si="1"/>
        <v>CJ</v>
      </c>
      <c r="C382" s="13" t="str">
        <f t="shared" si="2"/>
        <v>Anderson</v>
      </c>
      <c r="D382" s="13" t="str">
        <f t="shared" si="3"/>
        <v>#N/A</v>
      </c>
      <c r="E382" s="1" t="s">
        <v>66</v>
      </c>
    </row>
    <row r="383" ht="15.75" customHeight="1">
      <c r="A383" s="1" t="s">
        <v>646</v>
      </c>
      <c r="B383" s="13" t="str">
        <f t="shared" si="1"/>
        <v>CJ</v>
      </c>
      <c r="C383" s="13" t="str">
        <f t="shared" si="2"/>
        <v>Beathard</v>
      </c>
      <c r="D383" s="13" t="str">
        <f t="shared" si="3"/>
        <v>#N/A</v>
      </c>
      <c r="E383" s="1" t="s">
        <v>65</v>
      </c>
    </row>
    <row r="384" ht="15.75" customHeight="1">
      <c r="A384" s="1" t="s">
        <v>647</v>
      </c>
      <c r="B384" s="13" t="str">
        <f t="shared" si="1"/>
        <v>CJ</v>
      </c>
      <c r="C384" s="13" t="str">
        <f t="shared" si="2"/>
        <v>Board</v>
      </c>
      <c r="D384" s="13" t="str">
        <f t="shared" si="3"/>
        <v>#N/A</v>
      </c>
      <c r="E384" s="1" t="s">
        <v>69</v>
      </c>
    </row>
    <row r="385" ht="15.75" customHeight="1">
      <c r="A385" s="1" t="s">
        <v>648</v>
      </c>
      <c r="B385" s="13" t="str">
        <f t="shared" si="1"/>
        <v>CJ</v>
      </c>
      <c r="C385" s="13" t="str">
        <f t="shared" si="2"/>
        <v>Conrad</v>
      </c>
      <c r="D385" s="13" t="str">
        <f t="shared" si="3"/>
        <v>#N/A</v>
      </c>
      <c r="E385" s="1" t="s">
        <v>68</v>
      </c>
    </row>
    <row r="386" ht="15.75" customHeight="1">
      <c r="A386" s="1" t="s">
        <v>649</v>
      </c>
      <c r="B386" s="13" t="str">
        <f t="shared" si="1"/>
        <v>CJ</v>
      </c>
      <c r="C386" s="13" t="str">
        <f t="shared" si="2"/>
        <v>Fiedorowicz</v>
      </c>
      <c r="D386" s="13" t="str">
        <f t="shared" si="3"/>
        <v>#N/A</v>
      </c>
      <c r="E386" s="1" t="s">
        <v>68</v>
      </c>
    </row>
    <row r="387" ht="15.75" customHeight="1">
      <c r="A387" s="1" t="s">
        <v>650</v>
      </c>
      <c r="B387" s="13" t="str">
        <f t="shared" si="1"/>
        <v>CJ</v>
      </c>
      <c r="C387" s="13" t="str">
        <f t="shared" si="2"/>
        <v>Ham</v>
      </c>
      <c r="D387" s="13" t="str">
        <f t="shared" si="3"/>
        <v>#N/A</v>
      </c>
      <c r="E387" s="1" t="s">
        <v>66</v>
      </c>
    </row>
    <row r="388" ht="15.75" customHeight="1">
      <c r="A388" s="1" t="s">
        <v>651</v>
      </c>
      <c r="B388" s="13" t="str">
        <f t="shared" si="1"/>
        <v>CJ</v>
      </c>
      <c r="C388" s="13" t="str">
        <f t="shared" si="2"/>
        <v>Johnson</v>
      </c>
      <c r="D388" s="13" t="str">
        <f t="shared" si="3"/>
        <v>#N/A</v>
      </c>
      <c r="E388" s="1" t="s">
        <v>69</v>
      </c>
    </row>
    <row r="389" ht="15.75" customHeight="1">
      <c r="A389" s="1" t="s">
        <v>652</v>
      </c>
      <c r="B389" s="13" t="str">
        <f t="shared" si="1"/>
        <v>CJ</v>
      </c>
      <c r="C389" s="13" t="str">
        <f t="shared" si="2"/>
        <v>Marable</v>
      </c>
      <c r="D389" s="13" t="str">
        <f t="shared" si="3"/>
        <v>#N/A</v>
      </c>
      <c r="E389" s="1" t="s">
        <v>66</v>
      </c>
    </row>
    <row r="390" ht="15.75" customHeight="1">
      <c r="A390" s="1" t="s">
        <v>653</v>
      </c>
      <c r="B390" s="13" t="str">
        <f t="shared" si="1"/>
        <v>CJ</v>
      </c>
      <c r="C390" s="13" t="str">
        <f t="shared" si="2"/>
        <v>Prosise</v>
      </c>
      <c r="D390" s="13" t="str">
        <f t="shared" si="3"/>
        <v>#N/A</v>
      </c>
      <c r="E390" s="1" t="s">
        <v>66</v>
      </c>
    </row>
    <row r="391" ht="15.75" customHeight="1">
      <c r="A391" s="1" t="s">
        <v>655</v>
      </c>
      <c r="B391" s="13" t="str">
        <f t="shared" si="1"/>
        <v>CJ</v>
      </c>
      <c r="C391" s="13" t="str">
        <f t="shared" si="2"/>
        <v>Spiller</v>
      </c>
      <c r="D391" s="13" t="str">
        <f t="shared" si="3"/>
        <v>#N/A</v>
      </c>
      <c r="E391" s="1" t="s">
        <v>66</v>
      </c>
    </row>
    <row r="392" ht="15.75" customHeight="1">
      <c r="A392" s="1" t="s">
        <v>656</v>
      </c>
      <c r="B392" s="13" t="str">
        <f t="shared" si="1"/>
        <v>CJ</v>
      </c>
      <c r="C392" s="13" t="str">
        <f t="shared" si="2"/>
        <v>Stroud</v>
      </c>
      <c r="D392" s="13" t="str">
        <f t="shared" si="3"/>
        <v>#N/A</v>
      </c>
      <c r="E392" s="1" t="s">
        <v>65</v>
      </c>
    </row>
    <row r="393" ht="15.75" customHeight="1">
      <c r="A393" s="1" t="s">
        <v>657</v>
      </c>
      <c r="B393" s="13" t="str">
        <f t="shared" si="1"/>
        <v>CJ</v>
      </c>
      <c r="C393" s="13" t="str">
        <f t="shared" si="2"/>
        <v>Uzomah</v>
      </c>
      <c r="D393" s="13" t="str">
        <f t="shared" si="3"/>
        <v>#N/A</v>
      </c>
      <c r="E393" s="1" t="s">
        <v>68</v>
      </c>
    </row>
    <row r="394" ht="15.75" customHeight="1">
      <c r="A394" s="1" t="s">
        <v>658</v>
      </c>
      <c r="B394" s="13" t="str">
        <f t="shared" si="1"/>
        <v>CJ</v>
      </c>
      <c r="C394" s="13" t="str">
        <f t="shared" si="2"/>
        <v>Verdell</v>
      </c>
      <c r="D394" s="13" t="str">
        <f t="shared" si="3"/>
        <v>#N/A</v>
      </c>
      <c r="E394" s="1" t="s">
        <v>66</v>
      </c>
    </row>
    <row r="395" ht="15.75" customHeight="1">
      <c r="A395" s="1" t="s">
        <v>659</v>
      </c>
      <c r="B395" s="13" t="str">
        <f t="shared" si="1"/>
        <v>CJ</v>
      </c>
      <c r="C395" s="13" t="str">
        <f t="shared" si="2"/>
        <v>Williams</v>
      </c>
      <c r="D395" s="13" t="str">
        <f t="shared" si="3"/>
        <v>#N/A</v>
      </c>
      <c r="E395" s="1" t="s">
        <v>69</v>
      </c>
    </row>
    <row r="396" ht="15.75" customHeight="1">
      <c r="A396" s="1" t="s">
        <v>660</v>
      </c>
      <c r="B396" s="13" t="str">
        <f t="shared" si="1"/>
        <v>CJ</v>
      </c>
      <c r="C396" s="13" t="str">
        <f t="shared" si="2"/>
        <v>Worton</v>
      </c>
      <c r="D396" s="13" t="str">
        <f t="shared" si="3"/>
        <v>#N/A</v>
      </c>
      <c r="E396" s="1" t="s">
        <v>69</v>
      </c>
    </row>
    <row r="397" ht="15.75" customHeight="1">
      <c r="A397" s="1" t="s">
        <v>661</v>
      </c>
      <c r="B397" s="13" t="str">
        <f t="shared" si="1"/>
        <v>Cade</v>
      </c>
      <c r="C397" s="13" t="str">
        <f t="shared" si="2"/>
        <v>Carney</v>
      </c>
      <c r="D397" s="13" t="str">
        <f t="shared" si="3"/>
        <v>#N/A</v>
      </c>
      <c r="E397" s="1" t="s">
        <v>66</v>
      </c>
    </row>
    <row r="398" ht="15.75" customHeight="1">
      <c r="A398" s="1" t="s">
        <v>663</v>
      </c>
      <c r="B398" s="13" t="str">
        <f t="shared" si="1"/>
        <v>Cade</v>
      </c>
      <c r="C398" s="13" t="str">
        <f t="shared" si="2"/>
        <v>Johnson</v>
      </c>
      <c r="D398" s="13" t="str">
        <f t="shared" si="3"/>
        <v>#N/A</v>
      </c>
      <c r="E398" s="1" t="s">
        <v>69</v>
      </c>
    </row>
    <row r="399" ht="15.75" customHeight="1">
      <c r="A399" s="1" t="s">
        <v>664</v>
      </c>
      <c r="B399" s="13" t="str">
        <f t="shared" si="1"/>
        <v>Cade</v>
      </c>
      <c r="C399" s="13" t="str">
        <f t="shared" si="2"/>
        <v>Klubnik</v>
      </c>
      <c r="D399" s="13" t="str">
        <f t="shared" si="3"/>
        <v>#N/A</v>
      </c>
      <c r="E399" s="1" t="s">
        <v>65</v>
      </c>
    </row>
    <row r="400" ht="15.75" customHeight="1">
      <c r="A400" s="1" t="s">
        <v>666</v>
      </c>
      <c r="B400" s="13" t="str">
        <f t="shared" si="1"/>
        <v>Cade</v>
      </c>
      <c r="C400" s="13" t="str">
        <f t="shared" si="2"/>
        <v>McNamara</v>
      </c>
      <c r="D400" s="13" t="str">
        <f t="shared" si="3"/>
        <v>#N/A</v>
      </c>
      <c r="E400" s="1" t="s">
        <v>65</v>
      </c>
    </row>
    <row r="401" ht="15.75" customHeight="1">
      <c r="A401" s="1" t="s">
        <v>667</v>
      </c>
      <c r="B401" s="13" t="str">
        <f t="shared" si="1"/>
        <v>Cade</v>
      </c>
      <c r="C401" s="13" t="str">
        <f t="shared" si="2"/>
        <v>Otton</v>
      </c>
      <c r="D401" s="13" t="str">
        <f t="shared" si="3"/>
        <v>#N/A</v>
      </c>
      <c r="E401" s="1" t="s">
        <v>68</v>
      </c>
    </row>
    <row r="402" ht="15.75" customHeight="1">
      <c r="A402" s="1" t="s">
        <v>668</v>
      </c>
      <c r="B402" s="13" t="str">
        <f t="shared" si="1"/>
        <v>Cairo</v>
      </c>
      <c r="C402" s="13" t="str">
        <f t="shared" si="2"/>
        <v>Santos</v>
      </c>
      <c r="D402" s="13" t="str">
        <f t="shared" si="3"/>
        <v>#N/A</v>
      </c>
      <c r="E402" s="1" t="s">
        <v>64</v>
      </c>
    </row>
    <row r="403" ht="15.75" customHeight="1">
      <c r="A403" s="1" t="s">
        <v>669</v>
      </c>
      <c r="B403" s="13" t="str">
        <f t="shared" si="1"/>
        <v>Cairo</v>
      </c>
      <c r="C403" s="13" t="str">
        <f t="shared" si="2"/>
        <v>Santos</v>
      </c>
      <c r="D403" s="13" t="str">
        <f t="shared" si="3"/>
        <v>#N/A</v>
      </c>
      <c r="E403" s="1" t="s">
        <v>64</v>
      </c>
    </row>
    <row r="404" ht="15.75" customHeight="1">
      <c r="A404" s="1" t="s">
        <v>671</v>
      </c>
      <c r="B404" s="13" t="str">
        <f t="shared" si="1"/>
        <v>Caleb</v>
      </c>
      <c r="C404" s="13" t="str">
        <f t="shared" si="2"/>
        <v>Holley</v>
      </c>
      <c r="D404" s="13" t="str">
        <f t="shared" si="3"/>
        <v>#N/A</v>
      </c>
      <c r="E404" s="1" t="s">
        <v>69</v>
      </c>
    </row>
    <row r="405" ht="15.75" customHeight="1">
      <c r="A405" s="1" t="s">
        <v>672</v>
      </c>
      <c r="B405" s="13" t="str">
        <f t="shared" si="1"/>
        <v>Caleb</v>
      </c>
      <c r="C405" s="13" t="str">
        <f t="shared" si="2"/>
        <v>Huntley</v>
      </c>
      <c r="D405" s="13" t="str">
        <f t="shared" si="3"/>
        <v>#N/A</v>
      </c>
      <c r="E405" s="1" t="s">
        <v>66</v>
      </c>
    </row>
    <row r="406" ht="15.75" customHeight="1">
      <c r="A406" s="1" t="s">
        <v>673</v>
      </c>
      <c r="B406" s="13" t="str">
        <f t="shared" si="1"/>
        <v>Caleb</v>
      </c>
      <c r="C406" s="13" t="str">
        <f t="shared" si="2"/>
        <v>Scott</v>
      </c>
      <c r="D406" s="13" t="str">
        <f t="shared" si="3"/>
        <v>#N/A</v>
      </c>
      <c r="E406" s="1" t="s">
        <v>69</v>
      </c>
    </row>
    <row r="407" ht="15.75" customHeight="1">
      <c r="A407" s="1" t="s">
        <v>674</v>
      </c>
      <c r="B407" s="13" t="str">
        <f t="shared" si="1"/>
        <v>Caleb</v>
      </c>
      <c r="C407" s="13" t="str">
        <f t="shared" si="2"/>
        <v>Sturgis</v>
      </c>
      <c r="D407" s="13" t="str">
        <f t="shared" si="3"/>
        <v>#N/A</v>
      </c>
      <c r="E407" s="1" t="s">
        <v>64</v>
      </c>
    </row>
    <row r="408" ht="15.75" customHeight="1">
      <c r="A408" s="1" t="s">
        <v>675</v>
      </c>
      <c r="B408" s="13" t="str">
        <f t="shared" si="1"/>
        <v>Caleb</v>
      </c>
      <c r="C408" s="13" t="str">
        <f t="shared" si="2"/>
        <v>Williams</v>
      </c>
      <c r="D408" s="13" t="str">
        <f t="shared" si="3"/>
        <v>#N/A</v>
      </c>
      <c r="E408" s="1" t="s">
        <v>65</v>
      </c>
    </row>
    <row r="409" ht="15.75" customHeight="1">
      <c r="A409" s="1" t="s">
        <v>676</v>
      </c>
      <c r="B409" s="13" t="str">
        <f t="shared" si="1"/>
        <v>Caleb</v>
      </c>
      <c r="C409" s="13" t="str">
        <f t="shared" si="2"/>
        <v>Wilson</v>
      </c>
      <c r="D409" s="13" t="str">
        <f t="shared" si="3"/>
        <v>#N/A</v>
      </c>
      <c r="E409" s="1" t="s">
        <v>68</v>
      </c>
    </row>
    <row r="410" ht="15.75" customHeight="1">
      <c r="A410" s="1" t="s">
        <v>677</v>
      </c>
      <c r="B410" s="13" t="str">
        <f t="shared" si="1"/>
        <v>Calvin</v>
      </c>
      <c r="C410" s="13" t="str">
        <f t="shared" si="2"/>
        <v>Austin</v>
      </c>
      <c r="D410" s="13" t="str">
        <f t="shared" si="3"/>
        <v>#N/A</v>
      </c>
      <c r="E410" s="1" t="s">
        <v>69</v>
      </c>
    </row>
    <row r="411" ht="15.75" customHeight="1">
      <c r="A411" s="1" t="s">
        <v>678</v>
      </c>
      <c r="B411" s="13" t="str">
        <f t="shared" si="1"/>
        <v>Calvin</v>
      </c>
      <c r="C411" s="13" t="str">
        <f t="shared" si="2"/>
        <v>Jackson</v>
      </c>
      <c r="D411" s="13" t="str">
        <f t="shared" si="3"/>
        <v>#N/A</v>
      </c>
      <c r="E411" s="1" t="s">
        <v>69</v>
      </c>
    </row>
    <row r="412" ht="15.75" customHeight="1">
      <c r="A412" s="1" t="s">
        <v>679</v>
      </c>
      <c r="B412" s="13" t="str">
        <f t="shared" si="1"/>
        <v>Calvin</v>
      </c>
      <c r="C412" s="13" t="str">
        <f t="shared" si="2"/>
        <v>Johnson</v>
      </c>
      <c r="D412" s="13" t="str">
        <f t="shared" si="3"/>
        <v>#N/A</v>
      </c>
      <c r="E412" s="1" t="s">
        <v>69</v>
      </c>
    </row>
    <row r="413" ht="15.75" customHeight="1">
      <c r="A413" s="1" t="s">
        <v>170</v>
      </c>
      <c r="B413" s="13" t="str">
        <f t="shared" si="1"/>
        <v>Calvin</v>
      </c>
      <c r="C413" s="13" t="str">
        <f t="shared" si="2"/>
        <v>Ridley</v>
      </c>
      <c r="D413" s="13" t="str">
        <f t="shared" si="3"/>
        <v>#N/A</v>
      </c>
      <c r="E413" s="1" t="s">
        <v>69</v>
      </c>
    </row>
    <row r="414" ht="15.75" customHeight="1">
      <c r="A414" s="1" t="s">
        <v>554</v>
      </c>
      <c r="B414" s="13" t="str">
        <f t="shared" si="1"/>
        <v>Cam</v>
      </c>
      <c r="C414" s="13" t="str">
        <f t="shared" si="2"/>
        <v>Akers</v>
      </c>
      <c r="D414" s="13" t="str">
        <f t="shared" si="3"/>
        <v>#N/A</v>
      </c>
      <c r="E414" s="1" t="s">
        <v>66</v>
      </c>
    </row>
    <row r="415" ht="15.75" customHeight="1">
      <c r="A415" s="1" t="s">
        <v>680</v>
      </c>
      <c r="B415" s="13" t="str">
        <f t="shared" si="1"/>
        <v>Cam</v>
      </c>
      <c r="C415" s="13" t="str">
        <f t="shared" si="2"/>
        <v>Newton</v>
      </c>
      <c r="D415" s="13" t="str">
        <f t="shared" si="3"/>
        <v>#N/A</v>
      </c>
      <c r="E415" s="1" t="s">
        <v>65</v>
      </c>
    </row>
    <row r="416" ht="15.75" customHeight="1">
      <c r="A416" s="1" t="s">
        <v>681</v>
      </c>
      <c r="B416" s="13" t="str">
        <f t="shared" si="1"/>
        <v>Cam</v>
      </c>
      <c r="C416" s="13" t="str">
        <f t="shared" si="2"/>
        <v>Phillips</v>
      </c>
      <c r="D416" s="13" t="str">
        <f t="shared" si="3"/>
        <v>#N/A</v>
      </c>
      <c r="E416" s="1" t="s">
        <v>69</v>
      </c>
    </row>
    <row r="417" ht="15.75" customHeight="1">
      <c r="A417" s="1" t="s">
        <v>682</v>
      </c>
      <c r="B417" s="13" t="str">
        <f t="shared" si="1"/>
        <v>Cam</v>
      </c>
      <c r="C417" s="13" t="str">
        <f t="shared" si="2"/>
        <v>Serigne</v>
      </c>
      <c r="D417" s="13" t="str">
        <f t="shared" si="3"/>
        <v>#N/A</v>
      </c>
      <c r="E417" s="1" t="s">
        <v>68</v>
      </c>
    </row>
    <row r="418" ht="15.75" customHeight="1">
      <c r="A418" s="1" t="s">
        <v>683</v>
      </c>
      <c r="B418" s="13" t="str">
        <f t="shared" si="1"/>
        <v>Cam</v>
      </c>
      <c r="C418" s="13" t="str">
        <f t="shared" si="2"/>
        <v>Sims</v>
      </c>
      <c r="D418" s="13" t="str">
        <f t="shared" si="3"/>
        <v>#N/A</v>
      </c>
      <c r="E418" s="1" t="s">
        <v>69</v>
      </c>
    </row>
    <row r="419" ht="15.75" customHeight="1">
      <c r="A419" s="1" t="s">
        <v>684</v>
      </c>
      <c r="B419" s="13" t="str">
        <f t="shared" si="1"/>
        <v>Cam</v>
      </c>
      <c r="C419" s="13" t="str">
        <f t="shared" si="2"/>
        <v>Worthy</v>
      </c>
      <c r="D419" s="13" t="str">
        <f t="shared" si="3"/>
        <v>#N/A</v>
      </c>
      <c r="E419" s="1" t="s">
        <v>69</v>
      </c>
    </row>
    <row r="420" ht="15.75" customHeight="1">
      <c r="A420" s="1" t="s">
        <v>685</v>
      </c>
      <c r="B420" s="13" t="str">
        <f t="shared" si="1"/>
        <v>Cameron</v>
      </c>
      <c r="C420" s="13" t="str">
        <f t="shared" si="2"/>
        <v>Artis-Payne</v>
      </c>
      <c r="D420" s="13" t="str">
        <f t="shared" si="3"/>
        <v>#N/A</v>
      </c>
      <c r="E420" s="1" t="s">
        <v>66</v>
      </c>
    </row>
    <row r="421" ht="15.75" customHeight="1">
      <c r="A421" s="1" t="s">
        <v>686</v>
      </c>
      <c r="B421" s="13" t="str">
        <f t="shared" si="1"/>
        <v>Cameron</v>
      </c>
      <c r="C421" s="13" t="str">
        <f t="shared" si="2"/>
        <v>Batson</v>
      </c>
      <c r="D421" s="13" t="str">
        <f t="shared" si="3"/>
        <v>#N/A</v>
      </c>
      <c r="E421" s="1" t="s">
        <v>69</v>
      </c>
    </row>
    <row r="422" ht="15.75" customHeight="1">
      <c r="A422" s="1" t="s">
        <v>687</v>
      </c>
      <c r="B422" s="13" t="str">
        <f t="shared" si="1"/>
        <v>Cameron</v>
      </c>
      <c r="C422" s="13" t="str">
        <f t="shared" si="2"/>
        <v>Brate</v>
      </c>
      <c r="D422" s="13" t="str">
        <f t="shared" si="3"/>
        <v>#N/A</v>
      </c>
      <c r="E422" s="1" t="s">
        <v>68</v>
      </c>
    </row>
    <row r="423" ht="15.75" customHeight="1">
      <c r="A423" s="1" t="s">
        <v>688</v>
      </c>
      <c r="B423" s="13" t="str">
        <f t="shared" si="1"/>
        <v>Cameron</v>
      </c>
      <c r="C423" s="13" t="str">
        <f t="shared" si="2"/>
        <v>Clear</v>
      </c>
      <c r="D423" s="13" t="str">
        <f t="shared" si="3"/>
        <v>#N/A</v>
      </c>
      <c r="E423" s="1" t="s">
        <v>68</v>
      </c>
    </row>
    <row r="424" ht="15.75" customHeight="1">
      <c r="A424" s="1" t="s">
        <v>689</v>
      </c>
      <c r="B424" s="13" t="str">
        <f t="shared" si="1"/>
        <v>Cameron</v>
      </c>
      <c r="C424" s="13" t="str">
        <f t="shared" si="2"/>
        <v>Latu</v>
      </c>
      <c r="D424" s="13" t="str">
        <f t="shared" si="3"/>
        <v>#N/A</v>
      </c>
      <c r="E424" s="1" t="s">
        <v>68</v>
      </c>
    </row>
    <row r="425" ht="15.75" customHeight="1">
      <c r="A425" s="1" t="s">
        <v>690</v>
      </c>
      <c r="B425" s="13" t="str">
        <f t="shared" si="1"/>
        <v>Cameron</v>
      </c>
      <c r="C425" s="13" t="str">
        <f t="shared" si="2"/>
        <v>Marshall</v>
      </c>
      <c r="D425" s="13" t="str">
        <f t="shared" si="3"/>
        <v>#N/A</v>
      </c>
      <c r="E425" s="1" t="s">
        <v>66</v>
      </c>
    </row>
    <row r="426" ht="15.75" customHeight="1">
      <c r="A426" s="1" t="s">
        <v>691</v>
      </c>
      <c r="B426" s="13" t="str">
        <f t="shared" si="1"/>
        <v>Cameron</v>
      </c>
      <c r="C426" s="13" t="str">
        <f t="shared" si="2"/>
        <v>Meredith</v>
      </c>
      <c r="D426" s="13" t="str">
        <f t="shared" si="3"/>
        <v>#N/A</v>
      </c>
      <c r="E426" s="1" t="s">
        <v>69</v>
      </c>
    </row>
    <row r="427" ht="15.75" customHeight="1">
      <c r="A427" s="1" t="s">
        <v>692</v>
      </c>
      <c r="B427" s="13" t="str">
        <f t="shared" si="1"/>
        <v>Cameron</v>
      </c>
      <c r="C427" s="13" t="str">
        <f t="shared" si="2"/>
        <v>Rising</v>
      </c>
      <c r="D427" s="13" t="str">
        <f t="shared" si="3"/>
        <v>#N/A</v>
      </c>
      <c r="E427" s="1" t="s">
        <v>65</v>
      </c>
    </row>
    <row r="428" ht="15.75" customHeight="1">
      <c r="A428" s="1" t="s">
        <v>693</v>
      </c>
      <c r="B428" s="13" t="str">
        <f t="shared" si="1"/>
        <v>Cam'Ron</v>
      </c>
      <c r="C428" s="13" t="str">
        <f t="shared" si="2"/>
        <v>Harris</v>
      </c>
      <c r="D428" s="13" t="str">
        <f t="shared" si="3"/>
        <v>#N/A</v>
      </c>
      <c r="E428" s="1" t="s">
        <v>66</v>
      </c>
    </row>
    <row r="429" ht="15.75" customHeight="1">
      <c r="A429" s="1" t="s">
        <v>695</v>
      </c>
      <c r="B429" s="13" t="str">
        <f t="shared" si="1"/>
        <v>Canaan</v>
      </c>
      <c r="C429" s="13" t="str">
        <f t="shared" si="2"/>
        <v>Severin</v>
      </c>
      <c r="D429" s="13" t="str">
        <f t="shared" si="3"/>
        <v>#N/A</v>
      </c>
      <c r="E429" s="1" t="s">
        <v>69</v>
      </c>
    </row>
    <row r="430" ht="15.75" customHeight="1">
      <c r="A430" s="1" t="s">
        <v>696</v>
      </c>
      <c r="B430" s="13" t="str">
        <f t="shared" si="1"/>
        <v>Cannon</v>
      </c>
      <c r="C430" s="13" t="str">
        <f t="shared" si="2"/>
        <v>Smith</v>
      </c>
      <c r="D430" s="13" t="str">
        <f t="shared" si="3"/>
        <v>#N/A</v>
      </c>
      <c r="E430" s="1" t="s">
        <v>68</v>
      </c>
    </row>
    <row r="431" ht="15.75" customHeight="1">
      <c r="A431" s="1" t="s">
        <v>697</v>
      </c>
      <c r="B431" s="13" t="str">
        <f t="shared" si="1"/>
        <v>Cardale</v>
      </c>
      <c r="C431" s="13" t="str">
        <f t="shared" si="2"/>
        <v>Jones</v>
      </c>
      <c r="D431" s="13" t="str">
        <f t="shared" si="3"/>
        <v>#N/A</v>
      </c>
      <c r="E431" s="1" t="s">
        <v>65</v>
      </c>
    </row>
    <row r="432" ht="15.75" customHeight="1">
      <c r="A432" s="1" t="s">
        <v>698</v>
      </c>
      <c r="B432" s="13" t="str">
        <f t="shared" si="1"/>
        <v>Carl</v>
      </c>
      <c r="C432" s="13" t="str">
        <f t="shared" si="2"/>
        <v>Tucker</v>
      </c>
      <c r="D432" s="13" t="str">
        <f t="shared" si="3"/>
        <v>#N/A</v>
      </c>
      <c r="E432" s="1" t="s">
        <v>68</v>
      </c>
    </row>
    <row r="433" ht="15.75" customHeight="1">
      <c r="A433" s="1" t="s">
        <v>700</v>
      </c>
      <c r="B433" s="13" t="str">
        <f t="shared" si="1"/>
        <v>Carlos</v>
      </c>
      <c r="C433" s="13" t="str">
        <f t="shared" si="2"/>
        <v>Henderson</v>
      </c>
      <c r="D433" s="13" t="str">
        <f t="shared" si="3"/>
        <v>#N/A</v>
      </c>
      <c r="E433" s="1" t="s">
        <v>69</v>
      </c>
    </row>
    <row r="434" ht="15.75" customHeight="1">
      <c r="A434" s="1" t="s">
        <v>209</v>
      </c>
      <c r="B434" s="13" t="str">
        <f t="shared" si="1"/>
        <v>Carlos</v>
      </c>
      <c r="C434" s="13" t="str">
        <f t="shared" si="2"/>
        <v>Hyde</v>
      </c>
      <c r="D434" s="13" t="str">
        <f t="shared" si="3"/>
        <v>#N/A</v>
      </c>
      <c r="E434" s="1" t="s">
        <v>66</v>
      </c>
    </row>
    <row r="435" ht="15.75" customHeight="1">
      <c r="A435" s="1" t="s">
        <v>702</v>
      </c>
      <c r="B435" s="13" t="str">
        <f t="shared" si="1"/>
        <v>Carlton</v>
      </c>
      <c r="C435" s="13" t="str">
        <f t="shared" si="2"/>
        <v>Agudosi</v>
      </c>
      <c r="D435" s="13" t="str">
        <f t="shared" si="3"/>
        <v>#N/A</v>
      </c>
      <c r="E435" s="1" t="s">
        <v>69</v>
      </c>
    </row>
    <row r="436" ht="15.75" customHeight="1">
      <c r="A436" s="1" t="s">
        <v>703</v>
      </c>
      <c r="B436" s="13" t="str">
        <f t="shared" si="1"/>
        <v>#VALUE!</v>
      </c>
      <c r="C436" s="13" t="str">
        <f t="shared" si="2"/>
        <v>#VALUE!</v>
      </c>
      <c r="D436" s="13" t="str">
        <f t="shared" si="3"/>
        <v>#N/A</v>
      </c>
      <c r="E436" s="1" t="s">
        <v>63</v>
      </c>
    </row>
    <row r="437" ht="15.75" customHeight="1">
      <c r="A437" s="1" t="s">
        <v>704</v>
      </c>
      <c r="B437" s="13" t="str">
        <f t="shared" si="1"/>
        <v>Carson</v>
      </c>
      <c r="C437" s="13" t="str">
        <f t="shared" si="2"/>
        <v>Meier</v>
      </c>
      <c r="D437" s="13" t="str">
        <f t="shared" si="3"/>
        <v>#N/A</v>
      </c>
      <c r="E437" s="1" t="s">
        <v>68</v>
      </c>
    </row>
    <row r="438" ht="15.75" customHeight="1">
      <c r="A438" s="1" t="s">
        <v>705</v>
      </c>
      <c r="B438" s="13" t="str">
        <f t="shared" si="1"/>
        <v>Carson</v>
      </c>
      <c r="C438" s="13" t="str">
        <f t="shared" si="2"/>
        <v>Palmer</v>
      </c>
      <c r="D438" s="13" t="str">
        <f t="shared" si="3"/>
        <v>#N/A</v>
      </c>
      <c r="E438" s="1" t="s">
        <v>65</v>
      </c>
    </row>
    <row r="439" ht="15.75" customHeight="1">
      <c r="A439" s="1" t="s">
        <v>706</v>
      </c>
      <c r="B439" s="13" t="str">
        <f t="shared" si="1"/>
        <v>Carson</v>
      </c>
      <c r="C439" s="13" t="str">
        <f t="shared" si="2"/>
        <v>Strong</v>
      </c>
      <c r="D439" s="13" t="str">
        <f t="shared" si="3"/>
        <v>#N/A</v>
      </c>
      <c r="E439" s="1" t="s">
        <v>65</v>
      </c>
    </row>
    <row r="440" ht="15.75" customHeight="1">
      <c r="A440" s="1" t="s">
        <v>481</v>
      </c>
      <c r="B440" s="13" t="str">
        <f t="shared" si="1"/>
        <v>Carson</v>
      </c>
      <c r="C440" s="13" t="str">
        <f t="shared" si="2"/>
        <v>Wentz</v>
      </c>
      <c r="D440" s="13" t="str">
        <f t="shared" si="3"/>
        <v>#N/A</v>
      </c>
      <c r="E440" s="1" t="s">
        <v>65</v>
      </c>
    </row>
    <row r="441" ht="15.75" customHeight="1">
      <c r="A441" s="1" t="s">
        <v>708</v>
      </c>
      <c r="B441" s="13" t="str">
        <f t="shared" si="1"/>
        <v>Cary</v>
      </c>
      <c r="C441" s="13" t="str">
        <f t="shared" si="2"/>
        <v>Angeline</v>
      </c>
      <c r="D441" s="13" t="str">
        <f t="shared" si="3"/>
        <v>#N/A</v>
      </c>
      <c r="E441" s="1" t="s">
        <v>68</v>
      </c>
    </row>
    <row r="442" ht="15.75" customHeight="1">
      <c r="A442" s="1" t="s">
        <v>709</v>
      </c>
      <c r="B442" s="13" t="str">
        <f t="shared" si="1"/>
        <v>Case</v>
      </c>
      <c r="C442" s="13" t="str">
        <f t="shared" si="2"/>
        <v>Keenum</v>
      </c>
      <c r="D442" s="13" t="str">
        <f t="shared" si="3"/>
        <v>#N/A</v>
      </c>
      <c r="E442" s="1" t="s">
        <v>65</v>
      </c>
    </row>
    <row r="443" ht="15.75" customHeight="1">
      <c r="A443" s="1" t="s">
        <v>710</v>
      </c>
      <c r="B443" s="13" t="str">
        <f t="shared" si="1"/>
        <v>Casey</v>
      </c>
      <c r="C443" s="13" t="str">
        <f t="shared" si="2"/>
        <v>Pierce</v>
      </c>
      <c r="D443" s="13" t="str">
        <f t="shared" si="3"/>
        <v>#N/A</v>
      </c>
      <c r="E443" s="1" t="s">
        <v>68</v>
      </c>
    </row>
    <row r="444" ht="15.75" customHeight="1">
      <c r="A444" s="1" t="s">
        <v>712</v>
      </c>
      <c r="B444" s="13" t="str">
        <f t="shared" si="1"/>
        <v>Casey</v>
      </c>
      <c r="C444" s="13" t="str">
        <f t="shared" si="2"/>
        <v>Thompson</v>
      </c>
      <c r="D444" s="13" t="str">
        <f t="shared" si="3"/>
        <v>#N/A</v>
      </c>
      <c r="E444" s="1" t="s">
        <v>65</v>
      </c>
    </row>
    <row r="445" ht="15.75" customHeight="1">
      <c r="A445" s="1" t="s">
        <v>713</v>
      </c>
      <c r="B445" s="13" t="str">
        <f t="shared" si="1"/>
        <v>Cayleb</v>
      </c>
      <c r="C445" s="13" t="str">
        <f t="shared" si="2"/>
        <v>Jones</v>
      </c>
      <c r="D445" s="13" t="str">
        <f t="shared" si="3"/>
        <v>#N/A</v>
      </c>
      <c r="E445" s="1" t="s">
        <v>69</v>
      </c>
    </row>
    <row r="446" ht="15.75" customHeight="1">
      <c r="A446" s="1" t="s">
        <v>715</v>
      </c>
      <c r="B446" s="13" t="str">
        <f t="shared" si="1"/>
        <v>Cecil</v>
      </c>
      <c r="C446" s="13" t="str">
        <f t="shared" si="2"/>
        <v>Shorts</v>
      </c>
      <c r="D446" s="13" t="str">
        <f t="shared" si="3"/>
        <v>#N/A</v>
      </c>
      <c r="E446" s="1" t="s">
        <v>69</v>
      </c>
    </row>
    <row r="447" ht="15.75" customHeight="1">
      <c r="A447" s="1" t="s">
        <v>716</v>
      </c>
      <c r="B447" s="13" t="str">
        <f t="shared" si="1"/>
        <v>Cedric</v>
      </c>
      <c r="C447" s="13" t="str">
        <f t="shared" si="2"/>
        <v>Byrd</v>
      </c>
      <c r="D447" s="13" t="str">
        <f t="shared" si="3"/>
        <v>#N/A</v>
      </c>
      <c r="E447" s="1" t="s">
        <v>69</v>
      </c>
    </row>
    <row r="448" ht="15.75" customHeight="1">
      <c r="A448" s="1" t="s">
        <v>717</v>
      </c>
      <c r="B448" s="13" t="str">
        <f t="shared" si="1"/>
        <v>Cedric</v>
      </c>
      <c r="C448" s="13" t="str">
        <f t="shared" si="2"/>
        <v>Peerman</v>
      </c>
      <c r="D448" s="13" t="str">
        <f t="shared" si="3"/>
        <v>#N/A</v>
      </c>
      <c r="E448" s="1" t="s">
        <v>66</v>
      </c>
    </row>
    <row r="449" ht="15.75" customHeight="1">
      <c r="A449" s="1" t="s">
        <v>718</v>
      </c>
      <c r="B449" s="13" t="str">
        <f t="shared" si="1"/>
        <v>Cedric</v>
      </c>
      <c r="C449" s="13" t="str">
        <f t="shared" si="2"/>
        <v>Tillman</v>
      </c>
      <c r="D449" s="13" t="str">
        <f t="shared" si="3"/>
        <v>#N/A</v>
      </c>
      <c r="E449" s="1" t="s">
        <v>69</v>
      </c>
    </row>
    <row r="450" ht="15.75" customHeight="1">
      <c r="A450" s="1" t="s">
        <v>720</v>
      </c>
      <c r="B450" s="13" t="str">
        <f t="shared" si="1"/>
        <v>Cedrick</v>
      </c>
      <c r="C450" s="13" t="str">
        <f t="shared" si="2"/>
        <v>Wilson</v>
      </c>
      <c r="D450" s="13" t="str">
        <f t="shared" si="3"/>
        <v>#N/A</v>
      </c>
      <c r="E450" s="1" t="s">
        <v>69</v>
      </c>
    </row>
    <row r="451" ht="15.75" customHeight="1">
      <c r="A451" s="1" t="s">
        <v>301</v>
      </c>
      <c r="B451" s="13" t="str">
        <f t="shared" si="1"/>
        <v>CeeDee</v>
      </c>
      <c r="C451" s="13" t="str">
        <f t="shared" si="2"/>
        <v>Lamb</v>
      </c>
      <c r="D451" s="13" t="str">
        <f t="shared" si="3"/>
        <v>#N/A</v>
      </c>
      <c r="E451" s="1" t="s">
        <v>69</v>
      </c>
    </row>
    <row r="452" ht="15.75" customHeight="1">
      <c r="A452" s="1" t="s">
        <v>721</v>
      </c>
      <c r="B452" s="13" t="str">
        <f t="shared" si="1"/>
        <v>Cethan</v>
      </c>
      <c r="C452" s="13" t="str">
        <f t="shared" si="2"/>
        <v>Carter</v>
      </c>
      <c r="D452" s="13" t="str">
        <f t="shared" si="3"/>
        <v>#N/A</v>
      </c>
      <c r="E452" s="1" t="s">
        <v>68</v>
      </c>
    </row>
    <row r="453" ht="15.75" customHeight="1">
      <c r="A453" s="1" t="s">
        <v>722</v>
      </c>
      <c r="B453" s="13" t="str">
        <f t="shared" si="1"/>
        <v>Chad</v>
      </c>
      <c r="C453" s="13" t="str">
        <f t="shared" si="2"/>
        <v>Beebe</v>
      </c>
      <c r="D453" s="13" t="str">
        <f t="shared" si="3"/>
        <v>#N/A</v>
      </c>
      <c r="E453" s="1" t="s">
        <v>69</v>
      </c>
    </row>
    <row r="454" ht="15.75" customHeight="1">
      <c r="A454" s="1" t="s">
        <v>723</v>
      </c>
      <c r="B454" s="13" t="str">
        <f t="shared" si="1"/>
        <v>Chad</v>
      </c>
      <c r="C454" s="13" t="str">
        <f t="shared" si="2"/>
        <v>Hansen</v>
      </c>
      <c r="D454" s="13" t="str">
        <f t="shared" si="3"/>
        <v>#N/A</v>
      </c>
      <c r="E454" s="1" t="s">
        <v>69</v>
      </c>
    </row>
    <row r="455" ht="15.75" customHeight="1">
      <c r="A455" s="1" t="s">
        <v>725</v>
      </c>
      <c r="B455" s="13" t="str">
        <f t="shared" si="1"/>
        <v>Chad</v>
      </c>
      <c r="C455" s="13" t="str">
        <f t="shared" si="2"/>
        <v>Henne</v>
      </c>
      <c r="D455" s="13" t="str">
        <f t="shared" si="3"/>
        <v>#N/A</v>
      </c>
      <c r="E455" s="1" t="s">
        <v>65</v>
      </c>
    </row>
    <row r="456" ht="15.75" customHeight="1">
      <c r="A456" s="1" t="s">
        <v>726</v>
      </c>
      <c r="B456" s="13" t="str">
        <f t="shared" si="1"/>
        <v>Chad</v>
      </c>
      <c r="C456" s="13" t="str">
        <f t="shared" si="2"/>
        <v>Johnson</v>
      </c>
      <c r="D456" s="13" t="str">
        <f t="shared" si="3"/>
        <v>#N/A</v>
      </c>
      <c r="E456" s="1" t="s">
        <v>69</v>
      </c>
    </row>
    <row r="457" ht="15.75" customHeight="1">
      <c r="A457" s="1" t="s">
        <v>726</v>
      </c>
      <c r="B457" s="13" t="str">
        <f t="shared" si="1"/>
        <v>Chad</v>
      </c>
      <c r="C457" s="13" t="str">
        <f t="shared" si="2"/>
        <v>Johnson</v>
      </c>
      <c r="D457" s="13" t="str">
        <f t="shared" si="3"/>
        <v>#N/A</v>
      </c>
      <c r="E457" s="1" t="s">
        <v>69</v>
      </c>
    </row>
    <row r="458" ht="15.75" customHeight="1">
      <c r="A458" s="1" t="s">
        <v>727</v>
      </c>
      <c r="B458" s="13" t="str">
        <f t="shared" si="1"/>
        <v>Chad</v>
      </c>
      <c r="C458" s="13" t="str">
        <f t="shared" si="2"/>
        <v>Kanoff</v>
      </c>
      <c r="D458" s="13" t="str">
        <f t="shared" si="3"/>
        <v>#N/A</v>
      </c>
      <c r="E458" s="1" t="s">
        <v>65</v>
      </c>
    </row>
    <row r="459" ht="15.75" customHeight="1">
      <c r="A459" s="1" t="s">
        <v>728</v>
      </c>
      <c r="B459" s="13" t="str">
        <f t="shared" si="1"/>
        <v>Chad</v>
      </c>
      <c r="C459" s="13" t="str">
        <f t="shared" si="2"/>
        <v>Kelly</v>
      </c>
      <c r="D459" s="13" t="str">
        <f t="shared" si="3"/>
        <v>#N/A</v>
      </c>
      <c r="E459" s="1" t="s">
        <v>65</v>
      </c>
    </row>
    <row r="460" ht="15.75" customHeight="1">
      <c r="A460" s="1" t="s">
        <v>729</v>
      </c>
      <c r="B460" s="13" t="str">
        <f t="shared" si="1"/>
        <v>Chad</v>
      </c>
      <c r="C460" s="13" t="str">
        <f t="shared" si="2"/>
        <v>Williams</v>
      </c>
      <c r="D460" s="13" t="str">
        <f t="shared" si="3"/>
        <v>#N/A</v>
      </c>
      <c r="E460" s="1" t="s">
        <v>69</v>
      </c>
    </row>
    <row r="461" ht="15.75" customHeight="1">
      <c r="A461" s="1" t="s">
        <v>731</v>
      </c>
      <c r="B461" s="13" t="str">
        <f t="shared" si="1"/>
        <v>Chance</v>
      </c>
      <c r="C461" s="13" t="str">
        <f t="shared" si="2"/>
        <v>Nolan</v>
      </c>
      <c r="D461" s="13" t="str">
        <f t="shared" si="3"/>
        <v>#N/A</v>
      </c>
      <c r="E461" s="1" t="s">
        <v>65</v>
      </c>
    </row>
    <row r="462" ht="15.75" customHeight="1">
      <c r="A462" s="1" t="s">
        <v>732</v>
      </c>
      <c r="B462" s="13" t="str">
        <f t="shared" si="1"/>
        <v>Chandler</v>
      </c>
      <c r="C462" s="13" t="str">
        <f t="shared" si="2"/>
        <v>Catanzaro</v>
      </c>
      <c r="D462" s="13" t="str">
        <f t="shared" si="3"/>
        <v>#N/A</v>
      </c>
      <c r="E462" s="1" t="s">
        <v>64</v>
      </c>
    </row>
    <row r="463" ht="15.75" customHeight="1">
      <c r="A463" s="1" t="s">
        <v>733</v>
      </c>
      <c r="B463" s="13" t="str">
        <f t="shared" si="1"/>
        <v>Chandler</v>
      </c>
      <c r="C463" s="13" t="str">
        <f t="shared" si="2"/>
        <v>Cox</v>
      </c>
      <c r="D463" s="13" t="str">
        <f t="shared" si="3"/>
        <v>#N/A</v>
      </c>
      <c r="E463" s="1" t="s">
        <v>66</v>
      </c>
    </row>
    <row r="464" ht="15.75" customHeight="1">
      <c r="A464" s="1" t="s">
        <v>734</v>
      </c>
      <c r="B464" s="13" t="str">
        <f t="shared" si="1"/>
        <v>Chandler</v>
      </c>
      <c r="C464" s="13" t="str">
        <f t="shared" si="2"/>
        <v>Harnish</v>
      </c>
      <c r="D464" s="13" t="str">
        <f t="shared" si="3"/>
        <v>#N/A</v>
      </c>
      <c r="E464" s="1" t="s">
        <v>65</v>
      </c>
    </row>
    <row r="465" ht="15.75" customHeight="1">
      <c r="A465" s="1" t="s">
        <v>735</v>
      </c>
      <c r="B465" s="13" t="str">
        <f t="shared" si="1"/>
        <v>Chandler</v>
      </c>
      <c r="C465" s="13" t="str">
        <f t="shared" si="2"/>
        <v>Jones</v>
      </c>
      <c r="D465" s="13" t="str">
        <f t="shared" si="3"/>
        <v>#N/A</v>
      </c>
      <c r="E465" s="1" t="s">
        <v>69</v>
      </c>
    </row>
    <row r="466" ht="15.75" customHeight="1">
      <c r="A466" s="1" t="s">
        <v>736</v>
      </c>
      <c r="B466" s="13" t="str">
        <f t="shared" si="1"/>
        <v>Charcandrick</v>
      </c>
      <c r="C466" s="13" t="str">
        <f t="shared" si="2"/>
        <v>West</v>
      </c>
      <c r="D466" s="13" t="str">
        <f t="shared" si="3"/>
        <v>#N/A</v>
      </c>
      <c r="E466" s="1" t="s">
        <v>66</v>
      </c>
    </row>
    <row r="467" ht="15.75" customHeight="1">
      <c r="A467" s="1" t="s">
        <v>737</v>
      </c>
      <c r="B467" s="13" t="str">
        <f t="shared" si="1"/>
        <v>Charles</v>
      </c>
      <c r="C467" s="13" t="str">
        <f t="shared" si="2"/>
        <v>Clay</v>
      </c>
      <c r="D467" s="13" t="str">
        <f t="shared" si="3"/>
        <v>#N/A</v>
      </c>
      <c r="E467" s="1" t="s">
        <v>68</v>
      </c>
    </row>
    <row r="468" ht="15.75" customHeight="1">
      <c r="A468" s="1" t="s">
        <v>738</v>
      </c>
      <c r="B468" s="13" t="str">
        <f t="shared" si="1"/>
        <v>Charles</v>
      </c>
      <c r="C468" s="13" t="str">
        <f t="shared" si="2"/>
        <v>Holland</v>
      </c>
      <c r="D468" s="13" t="str">
        <f t="shared" si="3"/>
        <v>#N/A</v>
      </c>
      <c r="E468" s="1" t="s">
        <v>69</v>
      </c>
    </row>
    <row r="469" ht="15.75" customHeight="1">
      <c r="A469" s="1" t="s">
        <v>739</v>
      </c>
      <c r="B469" s="13" t="str">
        <f t="shared" si="1"/>
        <v>Charles</v>
      </c>
      <c r="C469" s="13" t="str">
        <f t="shared" si="2"/>
        <v>Johnson</v>
      </c>
      <c r="D469" s="13" t="str">
        <f t="shared" si="3"/>
        <v>#N/A</v>
      </c>
      <c r="E469" s="1" t="s">
        <v>69</v>
      </c>
    </row>
    <row r="470" ht="15.75" customHeight="1">
      <c r="A470" s="1" t="s">
        <v>740</v>
      </c>
      <c r="B470" s="13" t="str">
        <f t="shared" si="1"/>
        <v>Charles</v>
      </c>
      <c r="C470" s="13" t="str">
        <f t="shared" si="2"/>
        <v>Jones</v>
      </c>
      <c r="D470" s="13" t="str">
        <f t="shared" si="3"/>
        <v>#N/A</v>
      </c>
      <c r="E470" s="1" t="s">
        <v>68</v>
      </c>
    </row>
    <row r="471" ht="15.75" customHeight="1">
      <c r="A471" s="1" t="s">
        <v>742</v>
      </c>
      <c r="B471" s="13" t="str">
        <f t="shared" si="1"/>
        <v>Charles</v>
      </c>
      <c r="C471" s="13" t="str">
        <f t="shared" si="2"/>
        <v>Rogers</v>
      </c>
      <c r="D471" s="13" t="str">
        <f t="shared" si="3"/>
        <v>#N/A</v>
      </c>
      <c r="E471" s="1" t="s">
        <v>69</v>
      </c>
    </row>
    <row r="472" ht="15.75" customHeight="1">
      <c r="A472" s="1" t="s">
        <v>743</v>
      </c>
      <c r="B472" s="13" t="str">
        <f t="shared" si="1"/>
        <v>Charles</v>
      </c>
      <c r="C472" s="13" t="str">
        <f t="shared" si="2"/>
        <v>Scarff</v>
      </c>
      <c r="D472" s="13" t="str">
        <f t="shared" si="3"/>
        <v>#N/A</v>
      </c>
      <c r="E472" s="1" t="s">
        <v>68</v>
      </c>
    </row>
    <row r="473" ht="15.75" customHeight="1">
      <c r="A473" s="1" t="s">
        <v>744</v>
      </c>
      <c r="B473" s="13" t="str">
        <f t="shared" si="1"/>
        <v>Charles</v>
      </c>
      <c r="C473" s="13" t="str">
        <f t="shared" si="2"/>
        <v>Sims</v>
      </c>
      <c r="D473" s="13" t="str">
        <f t="shared" si="3"/>
        <v>#N/A</v>
      </c>
      <c r="E473" s="1" t="s">
        <v>66</v>
      </c>
    </row>
    <row r="474" ht="15.75" customHeight="1">
      <c r="A474" s="1" t="s">
        <v>745</v>
      </c>
      <c r="B474" s="13" t="str">
        <f t="shared" si="1"/>
        <v>Charles</v>
      </c>
      <c r="C474" s="13" t="str">
        <f t="shared" si="2"/>
        <v>Williams</v>
      </c>
      <c r="D474" s="13" t="str">
        <f t="shared" si="3"/>
        <v>#N/A</v>
      </c>
      <c r="E474" s="1" t="s">
        <v>66</v>
      </c>
    </row>
    <row r="475" ht="15.75" customHeight="1">
      <c r="A475" s="1" t="s">
        <v>746</v>
      </c>
      <c r="B475" s="13" t="str">
        <f t="shared" si="1"/>
        <v>Charleston</v>
      </c>
      <c r="C475" s="13" t="str">
        <f t="shared" si="2"/>
        <v>Rambo</v>
      </c>
      <c r="D475" s="13" t="str">
        <f t="shared" si="3"/>
        <v>#N/A</v>
      </c>
      <c r="E475" s="1" t="s">
        <v>69</v>
      </c>
    </row>
    <row r="476" ht="15.75" customHeight="1">
      <c r="A476" s="1" t="s">
        <v>747</v>
      </c>
      <c r="B476" s="13" t="str">
        <f t="shared" si="1"/>
        <v>Charlie</v>
      </c>
      <c r="C476" s="13" t="str">
        <f t="shared" si="2"/>
        <v>Kolar</v>
      </c>
      <c r="D476" s="13" t="str">
        <f t="shared" si="3"/>
        <v>#N/A</v>
      </c>
      <c r="E476" s="1" t="s">
        <v>68</v>
      </c>
    </row>
    <row r="477" ht="15.75" customHeight="1">
      <c r="A477" s="1" t="s">
        <v>748</v>
      </c>
      <c r="B477" s="13" t="str">
        <f t="shared" si="1"/>
        <v>Charlie</v>
      </c>
      <c r="C477" s="13" t="str">
        <f t="shared" si="2"/>
        <v>Taumoepeau</v>
      </c>
      <c r="D477" s="13" t="str">
        <f t="shared" si="3"/>
        <v>#N/A</v>
      </c>
      <c r="E477" s="1" t="s">
        <v>68</v>
      </c>
    </row>
    <row r="478" ht="15.75" customHeight="1">
      <c r="A478" s="1" t="s">
        <v>750</v>
      </c>
      <c r="B478" s="13" t="str">
        <f t="shared" si="1"/>
        <v>Charlie</v>
      </c>
      <c r="C478" s="13" t="str">
        <f t="shared" si="2"/>
        <v>Whitehurst</v>
      </c>
      <c r="D478" s="13" t="str">
        <f t="shared" si="3"/>
        <v>#N/A</v>
      </c>
      <c r="E478" s="1" t="s">
        <v>65</v>
      </c>
    </row>
    <row r="479" ht="15.75" customHeight="1">
      <c r="A479" s="1" t="s">
        <v>752</v>
      </c>
      <c r="B479" s="13" t="str">
        <f t="shared" si="1"/>
        <v>Charlie</v>
      </c>
      <c r="C479" s="13" t="str">
        <f t="shared" si="2"/>
        <v>Woerner</v>
      </c>
      <c r="D479" s="13" t="str">
        <f t="shared" si="3"/>
        <v>#N/A</v>
      </c>
      <c r="E479" s="1" t="s">
        <v>68</v>
      </c>
    </row>
    <row r="480" ht="15.75" customHeight="1">
      <c r="A480" s="1" t="s">
        <v>753</v>
      </c>
      <c r="B480" s="13" t="str">
        <f t="shared" si="1"/>
        <v>Charone</v>
      </c>
      <c r="C480" s="13" t="str">
        <f t="shared" si="2"/>
        <v>Peake</v>
      </c>
      <c r="D480" s="13" t="str">
        <f t="shared" si="3"/>
        <v>#N/A</v>
      </c>
      <c r="E480" s="1" t="s">
        <v>69</v>
      </c>
    </row>
    <row r="481" ht="15.75" customHeight="1">
      <c r="A481" s="1" t="s">
        <v>754</v>
      </c>
      <c r="B481" s="13" t="str">
        <f t="shared" si="1"/>
        <v>Chase</v>
      </c>
      <c r="C481" s="13" t="str">
        <f t="shared" si="2"/>
        <v>Allen</v>
      </c>
      <c r="D481" s="13" t="str">
        <f t="shared" si="3"/>
        <v>#N/A</v>
      </c>
      <c r="E481" s="1" t="s">
        <v>68</v>
      </c>
    </row>
    <row r="482" ht="15.75" customHeight="1">
      <c r="A482" s="1" t="s">
        <v>755</v>
      </c>
      <c r="B482" s="13" t="str">
        <f t="shared" si="1"/>
        <v>Chase</v>
      </c>
      <c r="C482" s="13" t="str">
        <f t="shared" si="2"/>
        <v>Brice</v>
      </c>
      <c r="D482" s="13" t="str">
        <f t="shared" si="3"/>
        <v>#N/A</v>
      </c>
      <c r="E482" s="1" t="s">
        <v>65</v>
      </c>
    </row>
    <row r="483" ht="15.75" customHeight="1">
      <c r="A483" s="1" t="s">
        <v>350</v>
      </c>
      <c r="B483" s="13" t="str">
        <f t="shared" si="1"/>
        <v>Chase</v>
      </c>
      <c r="C483" s="13" t="str">
        <f t="shared" si="2"/>
        <v>Claypool</v>
      </c>
      <c r="D483" s="13" t="str">
        <f t="shared" si="3"/>
        <v>#N/A</v>
      </c>
      <c r="E483" s="1" t="s">
        <v>69</v>
      </c>
    </row>
    <row r="484" ht="15.75" customHeight="1">
      <c r="A484" s="1" t="s">
        <v>757</v>
      </c>
      <c r="B484" s="13" t="str">
        <f t="shared" si="1"/>
        <v>Chase</v>
      </c>
      <c r="C484" s="13" t="str">
        <f t="shared" si="2"/>
        <v>Coffman</v>
      </c>
      <c r="D484" s="13" t="str">
        <f t="shared" si="3"/>
        <v>#N/A</v>
      </c>
      <c r="E484" s="1" t="s">
        <v>68</v>
      </c>
    </row>
    <row r="485" ht="15.75" customHeight="1">
      <c r="A485" s="1" t="s">
        <v>758</v>
      </c>
      <c r="B485" s="13" t="str">
        <f t="shared" si="1"/>
        <v>Chase</v>
      </c>
      <c r="C485" s="13" t="str">
        <f t="shared" si="2"/>
        <v>Daniel</v>
      </c>
      <c r="D485" s="13" t="str">
        <f t="shared" si="3"/>
        <v>#N/A</v>
      </c>
      <c r="E485" s="1" t="s">
        <v>65</v>
      </c>
    </row>
    <row r="486" ht="15.75" customHeight="1">
      <c r="A486" s="1" t="s">
        <v>759</v>
      </c>
      <c r="B486" s="13" t="str">
        <f t="shared" si="1"/>
        <v>Chase</v>
      </c>
      <c r="C486" s="13" t="str">
        <f t="shared" si="2"/>
        <v>Dixon</v>
      </c>
      <c r="D486" s="13" t="str">
        <f t="shared" si="3"/>
        <v>#N/A</v>
      </c>
      <c r="E486" s="1" t="s">
        <v>68</v>
      </c>
    </row>
    <row r="487" ht="15.75" customHeight="1">
      <c r="A487" s="1" t="s">
        <v>143</v>
      </c>
      <c r="B487" s="13" t="str">
        <f t="shared" si="1"/>
        <v>Chase</v>
      </c>
      <c r="C487" s="13" t="str">
        <f t="shared" si="2"/>
        <v>Edmonds</v>
      </c>
      <c r="D487" s="13" t="str">
        <f t="shared" si="3"/>
        <v>#N/A</v>
      </c>
      <c r="E487" s="1" t="s">
        <v>66</v>
      </c>
    </row>
    <row r="488" ht="15.75" customHeight="1">
      <c r="A488" s="1" t="s">
        <v>761</v>
      </c>
      <c r="B488" s="13" t="str">
        <f t="shared" si="1"/>
        <v>Chase</v>
      </c>
      <c r="C488" s="13" t="str">
        <f t="shared" si="2"/>
        <v>Ford</v>
      </c>
      <c r="D488" s="13" t="str">
        <f t="shared" si="3"/>
        <v>#N/A</v>
      </c>
      <c r="E488" s="1" t="s">
        <v>68</v>
      </c>
    </row>
    <row r="489" ht="15.75" customHeight="1">
      <c r="A489" s="1" t="s">
        <v>762</v>
      </c>
      <c r="B489" s="13" t="str">
        <f t="shared" si="1"/>
        <v>Chase</v>
      </c>
      <c r="C489" s="13" t="str">
        <f t="shared" si="2"/>
        <v>Lane</v>
      </c>
      <c r="D489" s="13" t="str">
        <f t="shared" si="3"/>
        <v>#N/A</v>
      </c>
      <c r="E489" s="1" t="s">
        <v>69</v>
      </c>
    </row>
    <row r="490" ht="15.75" customHeight="1">
      <c r="A490" s="1" t="s">
        <v>763</v>
      </c>
      <c r="B490" s="13" t="str">
        <f t="shared" si="1"/>
        <v>Chase</v>
      </c>
      <c r="C490" s="13" t="str">
        <f t="shared" si="2"/>
        <v>Litton</v>
      </c>
      <c r="D490" s="13" t="str">
        <f t="shared" si="3"/>
        <v>#N/A</v>
      </c>
      <c r="E490" s="1" t="s">
        <v>65</v>
      </c>
    </row>
    <row r="491" ht="15.75" customHeight="1">
      <c r="A491" s="1" t="s">
        <v>764</v>
      </c>
      <c r="B491" s="13" t="str">
        <f t="shared" si="1"/>
        <v>Chester</v>
      </c>
      <c r="C491" s="13" t="str">
        <f t="shared" si="2"/>
        <v>Rogers</v>
      </c>
      <c r="D491" s="13" t="str">
        <f t="shared" si="3"/>
        <v>#N/A</v>
      </c>
      <c r="E491" s="1" t="s">
        <v>69</v>
      </c>
    </row>
    <row r="492" ht="15.75" customHeight="1">
      <c r="A492" s="1" t="s">
        <v>765</v>
      </c>
      <c r="B492" s="13" t="str">
        <f t="shared" si="1"/>
        <v>Cheyenne</v>
      </c>
      <c r="C492" s="13" t="str">
        <f t="shared" si="2"/>
        <v>O'Grady</v>
      </c>
      <c r="D492" s="13" t="str">
        <f t="shared" si="3"/>
        <v>#N/A</v>
      </c>
      <c r="E492" s="1" t="s">
        <v>68</v>
      </c>
    </row>
    <row r="493" ht="15.75" customHeight="1">
      <c r="A493" s="1" t="s">
        <v>766</v>
      </c>
      <c r="B493" s="13" t="str">
        <f t="shared" si="1"/>
        <v>#VALUE!</v>
      </c>
      <c r="C493" s="13" t="str">
        <f t="shared" si="2"/>
        <v>#VALUE!</v>
      </c>
      <c r="D493" s="13" t="str">
        <f t="shared" si="3"/>
        <v>#N/A</v>
      </c>
      <c r="E493" s="1" t="s">
        <v>63</v>
      </c>
    </row>
    <row r="494" ht="15.75" customHeight="1">
      <c r="A494" s="1" t="s">
        <v>767</v>
      </c>
      <c r="B494" s="13" t="str">
        <f t="shared" si="1"/>
        <v>Chig</v>
      </c>
      <c r="C494" s="13" t="str">
        <f t="shared" si="2"/>
        <v>Okonkwo</v>
      </c>
      <c r="D494" s="13" t="str">
        <f t="shared" si="3"/>
        <v>#N/A</v>
      </c>
      <c r="E494" s="1" t="s">
        <v>68</v>
      </c>
    </row>
    <row r="495" ht="15.75" customHeight="1">
      <c r="A495" s="1" t="s">
        <v>768</v>
      </c>
      <c r="B495" s="13" t="str">
        <f t="shared" si="1"/>
        <v>Chris</v>
      </c>
      <c r="C495" s="13" t="str">
        <f t="shared" si="2"/>
        <v>Autman-Bell</v>
      </c>
      <c r="D495" s="13" t="str">
        <f t="shared" si="3"/>
        <v>#N/A</v>
      </c>
      <c r="E495" s="1" t="s">
        <v>69</v>
      </c>
    </row>
    <row r="496" ht="15.75" customHeight="1">
      <c r="A496" s="1" t="s">
        <v>769</v>
      </c>
      <c r="B496" s="13" t="str">
        <f t="shared" si="1"/>
        <v>Chris</v>
      </c>
      <c r="C496" s="13" t="str">
        <f t="shared" si="2"/>
        <v>Bazile</v>
      </c>
      <c r="D496" s="13" t="str">
        <f t="shared" si="3"/>
        <v>#N/A</v>
      </c>
      <c r="E496" s="1" t="s">
        <v>68</v>
      </c>
    </row>
    <row r="497" ht="15.75" customHeight="1">
      <c r="A497" s="1" t="s">
        <v>770</v>
      </c>
      <c r="B497" s="13" t="str">
        <f t="shared" si="1"/>
        <v>Chris</v>
      </c>
      <c r="C497" s="13" t="str">
        <f t="shared" si="2"/>
        <v>Boswell</v>
      </c>
      <c r="D497" s="13" t="str">
        <f t="shared" si="3"/>
        <v>#N/A</v>
      </c>
      <c r="E497" s="1" t="s">
        <v>64</v>
      </c>
    </row>
    <row r="498" ht="15.75" customHeight="1">
      <c r="A498" s="1" t="s">
        <v>771</v>
      </c>
      <c r="B498" s="13" t="str">
        <f t="shared" si="1"/>
        <v>Chris</v>
      </c>
      <c r="C498" s="13" t="str">
        <f t="shared" si="2"/>
        <v>Boswell</v>
      </c>
      <c r="D498" s="13" t="str">
        <f t="shared" si="3"/>
        <v>#N/A</v>
      </c>
      <c r="E498" s="1" t="s">
        <v>64</v>
      </c>
    </row>
    <row r="499" ht="15.75" customHeight="1">
      <c r="A499" s="1" t="s">
        <v>773</v>
      </c>
      <c r="B499" s="13" t="str">
        <f t="shared" si="1"/>
        <v>Chris</v>
      </c>
      <c r="C499" s="13" t="str">
        <f t="shared" si="2"/>
        <v>Boyd</v>
      </c>
      <c r="D499" s="13" t="str">
        <f t="shared" si="3"/>
        <v>#N/A</v>
      </c>
      <c r="E499" s="1" t="s">
        <v>69</v>
      </c>
    </row>
    <row r="500" ht="15.75" customHeight="1">
      <c r="A500" s="1" t="s">
        <v>774</v>
      </c>
      <c r="B500" s="13" t="str">
        <f t="shared" si="1"/>
        <v>Chris</v>
      </c>
      <c r="C500" s="13" t="str">
        <f t="shared" si="2"/>
        <v>Brown</v>
      </c>
      <c r="D500" s="13" t="str">
        <f t="shared" si="3"/>
        <v>#N/A</v>
      </c>
      <c r="E500" s="1" t="s">
        <v>69</v>
      </c>
    </row>
    <row r="501" ht="15.75" customHeight="1">
      <c r="A501" s="1" t="s">
        <v>347</v>
      </c>
      <c r="B501" s="13" t="str">
        <f t="shared" si="1"/>
        <v>Chris</v>
      </c>
      <c r="C501" s="13" t="str">
        <f t="shared" si="2"/>
        <v>Carson</v>
      </c>
      <c r="D501" s="13" t="str">
        <f t="shared" si="3"/>
        <v>#N/A</v>
      </c>
      <c r="E501" s="1" t="s">
        <v>66</v>
      </c>
    </row>
    <row r="502" ht="15.75" customHeight="1">
      <c r="A502" s="1" t="s">
        <v>776</v>
      </c>
      <c r="B502" s="13" t="str">
        <f t="shared" si="1"/>
        <v>Chris</v>
      </c>
      <c r="C502" s="13" t="str">
        <f t="shared" si="2"/>
        <v>Chambers</v>
      </c>
      <c r="D502" s="13" t="str">
        <f t="shared" si="3"/>
        <v>#N/A</v>
      </c>
      <c r="E502" s="1" t="s">
        <v>69</v>
      </c>
    </row>
    <row r="503" ht="15.75" customHeight="1">
      <c r="A503" s="1" t="s">
        <v>777</v>
      </c>
      <c r="B503" s="13" t="str">
        <f t="shared" si="1"/>
        <v>Chris</v>
      </c>
      <c r="C503" s="13" t="str">
        <f t="shared" si="2"/>
        <v>Conley</v>
      </c>
      <c r="D503" s="13" t="str">
        <f t="shared" si="3"/>
        <v>#N/A</v>
      </c>
      <c r="E503" s="1" t="s">
        <v>69</v>
      </c>
    </row>
    <row r="504" ht="15.75" customHeight="1">
      <c r="A504" s="1" t="s">
        <v>778</v>
      </c>
      <c r="B504" s="13" t="str">
        <f t="shared" si="1"/>
        <v>Chris</v>
      </c>
      <c r="C504" s="13" t="str">
        <f t="shared" si="2"/>
        <v>Coyle</v>
      </c>
      <c r="D504" s="13" t="str">
        <f t="shared" si="3"/>
        <v>#N/A</v>
      </c>
      <c r="E504" s="1" t="s">
        <v>68</v>
      </c>
    </row>
    <row r="505" ht="15.75" customHeight="1">
      <c r="A505" s="1" t="s">
        <v>779</v>
      </c>
      <c r="B505" s="13" t="str">
        <f t="shared" si="1"/>
        <v>Chris</v>
      </c>
      <c r="C505" s="13" t="str">
        <f t="shared" si="2"/>
        <v>D Harper</v>
      </c>
      <c r="D505" s="13" t="str">
        <f t="shared" si="3"/>
        <v>#N/A</v>
      </c>
      <c r="E505" s="1" t="s">
        <v>69</v>
      </c>
    </row>
    <row r="506" ht="15.75" customHeight="1">
      <c r="A506" s="1" t="s">
        <v>780</v>
      </c>
      <c r="B506" s="13" t="str">
        <f t="shared" si="1"/>
        <v>Chris</v>
      </c>
      <c r="C506" s="13" t="str">
        <f t="shared" si="2"/>
        <v>Evans</v>
      </c>
      <c r="D506" s="13" t="str">
        <f t="shared" si="3"/>
        <v>#N/A</v>
      </c>
      <c r="E506" s="1" t="s">
        <v>66</v>
      </c>
    </row>
    <row r="507" ht="15.75" customHeight="1">
      <c r="A507" s="1" t="s">
        <v>782</v>
      </c>
      <c r="B507" s="13" t="str">
        <f t="shared" si="1"/>
        <v>Chris</v>
      </c>
      <c r="C507" s="13" t="str">
        <f t="shared" si="2"/>
        <v>Fields</v>
      </c>
      <c r="D507" s="13" t="str">
        <f t="shared" si="3"/>
        <v>#N/A</v>
      </c>
      <c r="E507" s="1" t="s">
        <v>69</v>
      </c>
    </row>
    <row r="508" ht="15.75" customHeight="1">
      <c r="A508" s="1" t="s">
        <v>783</v>
      </c>
      <c r="B508" s="13" t="str">
        <f t="shared" si="1"/>
        <v>Chris</v>
      </c>
      <c r="C508" s="13" t="str">
        <f t="shared" si="2"/>
        <v>Finke</v>
      </c>
      <c r="D508" s="13" t="str">
        <f t="shared" si="3"/>
        <v>#N/A</v>
      </c>
      <c r="E508" s="1" t="s">
        <v>69</v>
      </c>
    </row>
    <row r="509" ht="15.75" customHeight="1">
      <c r="A509" s="1" t="s">
        <v>784</v>
      </c>
      <c r="B509" s="13" t="str">
        <f t="shared" si="1"/>
        <v>Chris</v>
      </c>
      <c r="C509" s="13" t="str">
        <f t="shared" si="2"/>
        <v>Givens</v>
      </c>
      <c r="D509" s="13" t="str">
        <f t="shared" si="3"/>
        <v>#N/A</v>
      </c>
      <c r="E509" s="1" t="s">
        <v>69</v>
      </c>
    </row>
    <row r="510" ht="15.75" customHeight="1">
      <c r="A510" s="1" t="s">
        <v>173</v>
      </c>
      <c r="B510" s="13" t="str">
        <f t="shared" si="1"/>
        <v>Chris</v>
      </c>
      <c r="C510" s="13" t="str">
        <f t="shared" si="2"/>
        <v>Godwin</v>
      </c>
      <c r="D510" s="13" t="str">
        <f t="shared" si="3"/>
        <v>#N/A</v>
      </c>
      <c r="E510" s="1" t="s">
        <v>69</v>
      </c>
    </row>
    <row r="511" ht="15.75" customHeight="1">
      <c r="A511" s="1" t="s">
        <v>785</v>
      </c>
      <c r="B511" s="13" t="str">
        <f t="shared" si="1"/>
        <v>Chris</v>
      </c>
      <c r="C511" s="13" t="str">
        <f t="shared" si="2"/>
        <v>Gragg</v>
      </c>
      <c r="D511" s="13" t="str">
        <f t="shared" si="3"/>
        <v>#N/A</v>
      </c>
      <c r="E511" s="1" t="s">
        <v>68</v>
      </c>
    </row>
    <row r="512" ht="15.75" customHeight="1">
      <c r="A512" s="1" t="s">
        <v>786</v>
      </c>
      <c r="B512" s="13" t="str">
        <f t="shared" si="1"/>
        <v>Chris</v>
      </c>
      <c r="C512" s="13" t="str">
        <f t="shared" si="2"/>
        <v>Hairston</v>
      </c>
      <c r="D512" s="13" t="str">
        <f t="shared" si="3"/>
        <v>#N/A</v>
      </c>
      <c r="E512" s="1" t="s">
        <v>66</v>
      </c>
    </row>
    <row r="513" ht="15.75" customHeight="1">
      <c r="A513" s="1" t="s">
        <v>787</v>
      </c>
      <c r="B513" s="13" t="str">
        <f t="shared" si="1"/>
        <v>Chris</v>
      </c>
      <c r="C513" s="13" t="str">
        <f t="shared" si="2"/>
        <v>Harper</v>
      </c>
      <c r="D513" s="13" t="str">
        <f t="shared" si="3"/>
        <v>#N/A</v>
      </c>
      <c r="E513" s="1" t="s">
        <v>69</v>
      </c>
    </row>
    <row r="514" ht="15.75" customHeight="1">
      <c r="A514" s="1" t="s">
        <v>789</v>
      </c>
      <c r="B514" s="13" t="str">
        <f t="shared" si="1"/>
        <v>Chris</v>
      </c>
      <c r="C514" s="13" t="str">
        <f t="shared" si="2"/>
        <v>Herndon</v>
      </c>
      <c r="D514" s="13" t="str">
        <f t="shared" si="3"/>
        <v>#N/A</v>
      </c>
      <c r="E514" s="1" t="s">
        <v>68</v>
      </c>
    </row>
    <row r="515" ht="15.75" customHeight="1">
      <c r="A515" s="1" t="s">
        <v>790</v>
      </c>
      <c r="B515" s="13" t="str">
        <f t="shared" si="1"/>
        <v>Chris</v>
      </c>
      <c r="C515" s="13" t="str">
        <f t="shared" si="2"/>
        <v>Hogan</v>
      </c>
      <c r="D515" s="13" t="str">
        <f t="shared" si="3"/>
        <v>#N/A</v>
      </c>
      <c r="E515" s="1" t="s">
        <v>69</v>
      </c>
    </row>
    <row r="516" ht="15.75" customHeight="1">
      <c r="A516" s="1" t="s">
        <v>792</v>
      </c>
      <c r="B516" s="13" t="str">
        <f t="shared" si="1"/>
        <v>Chris</v>
      </c>
      <c r="C516" s="13" t="str">
        <f t="shared" si="2"/>
        <v>Ivory</v>
      </c>
      <c r="D516" s="13" t="str">
        <f t="shared" si="3"/>
        <v>#N/A</v>
      </c>
      <c r="E516" s="1" t="s">
        <v>66</v>
      </c>
    </row>
    <row r="517" ht="15.75" customHeight="1">
      <c r="A517" s="1" t="s">
        <v>793</v>
      </c>
      <c r="B517" s="13" t="str">
        <f t="shared" si="1"/>
        <v>Chris</v>
      </c>
      <c r="C517" s="13" t="str">
        <f t="shared" si="2"/>
        <v>Johnson</v>
      </c>
      <c r="D517" s="13" t="str">
        <f t="shared" si="3"/>
        <v>#N/A</v>
      </c>
      <c r="E517" s="1" t="s">
        <v>66</v>
      </c>
    </row>
    <row r="518" ht="15.75" customHeight="1">
      <c r="A518" s="1" t="s">
        <v>794</v>
      </c>
      <c r="B518" s="13" t="str">
        <f t="shared" si="1"/>
        <v>Chris</v>
      </c>
      <c r="C518" s="13" t="str">
        <f t="shared" si="2"/>
        <v>Lacy</v>
      </c>
      <c r="D518" s="13" t="str">
        <f t="shared" si="3"/>
        <v>#N/A</v>
      </c>
      <c r="E518" s="1" t="s">
        <v>69</v>
      </c>
    </row>
    <row r="519" ht="15.75" customHeight="1">
      <c r="A519" s="1" t="s">
        <v>795</v>
      </c>
      <c r="B519" s="13" t="str">
        <f t="shared" si="1"/>
        <v>Chris</v>
      </c>
      <c r="C519" s="13" t="str">
        <f t="shared" si="2"/>
        <v>Manhertz</v>
      </c>
      <c r="D519" s="13" t="str">
        <f t="shared" si="3"/>
        <v>#N/A</v>
      </c>
      <c r="E519" s="1" t="s">
        <v>68</v>
      </c>
    </row>
    <row r="520" ht="15.75" customHeight="1">
      <c r="A520" s="1" t="s">
        <v>796</v>
      </c>
      <c r="B520" s="13" t="str">
        <f t="shared" si="1"/>
        <v>Chris</v>
      </c>
      <c r="C520" s="13" t="str">
        <f t="shared" si="2"/>
        <v>Matthews</v>
      </c>
      <c r="D520" s="13" t="str">
        <f t="shared" si="3"/>
        <v>#N/A</v>
      </c>
      <c r="E520" s="1" t="s">
        <v>69</v>
      </c>
    </row>
    <row r="521" ht="15.75" customHeight="1">
      <c r="A521" s="1" t="s">
        <v>797</v>
      </c>
      <c r="B521" s="13" t="str">
        <f t="shared" si="1"/>
        <v>Chris</v>
      </c>
      <c r="C521" s="13" t="str">
        <f t="shared" si="2"/>
        <v>Moore</v>
      </c>
      <c r="D521" s="13" t="str">
        <f t="shared" si="3"/>
        <v>#N/A</v>
      </c>
      <c r="E521" s="1" t="s">
        <v>69</v>
      </c>
    </row>
    <row r="522" ht="15.75" customHeight="1">
      <c r="A522" s="1" t="s">
        <v>799</v>
      </c>
      <c r="B522" s="13" t="str">
        <f t="shared" si="1"/>
        <v>Chris</v>
      </c>
      <c r="C522" s="13" t="str">
        <f t="shared" si="2"/>
        <v>Myarick</v>
      </c>
      <c r="D522" s="13" t="str">
        <f t="shared" si="3"/>
        <v>#N/A</v>
      </c>
      <c r="E522" s="1" t="s">
        <v>68</v>
      </c>
    </row>
    <row r="523" ht="15.75" customHeight="1">
      <c r="A523" s="1" t="s">
        <v>800</v>
      </c>
      <c r="B523" s="13" t="str">
        <f t="shared" si="1"/>
        <v>Chris</v>
      </c>
      <c r="C523" s="13" t="str">
        <f t="shared" si="2"/>
        <v>Ogbonnaya</v>
      </c>
      <c r="D523" s="13" t="str">
        <f t="shared" si="3"/>
        <v>#N/A</v>
      </c>
      <c r="E523" s="1" t="s">
        <v>66</v>
      </c>
    </row>
    <row r="524" ht="15.75" customHeight="1">
      <c r="A524" s="1" t="s">
        <v>801</v>
      </c>
      <c r="B524" s="13" t="str">
        <f t="shared" si="1"/>
        <v>Chris</v>
      </c>
      <c r="C524" s="13" t="str">
        <f t="shared" si="2"/>
        <v>Oladokun</v>
      </c>
      <c r="D524" s="13" t="str">
        <f t="shared" si="3"/>
        <v>#N/A</v>
      </c>
      <c r="E524" s="1" t="s">
        <v>65</v>
      </c>
    </row>
    <row r="525" ht="15.75" customHeight="1">
      <c r="A525" s="1" t="s">
        <v>802</v>
      </c>
      <c r="B525" s="13" t="str">
        <f t="shared" si="1"/>
        <v>Chris</v>
      </c>
      <c r="C525" s="13" t="str">
        <f t="shared" si="2"/>
        <v>Olave</v>
      </c>
      <c r="D525" s="13" t="str">
        <f t="shared" si="3"/>
        <v>#N/A</v>
      </c>
      <c r="E525" s="1" t="s">
        <v>69</v>
      </c>
    </row>
    <row r="526" ht="15.75" customHeight="1">
      <c r="A526" s="1" t="s">
        <v>803</v>
      </c>
      <c r="B526" s="13" t="str">
        <f t="shared" si="1"/>
        <v>Chris</v>
      </c>
      <c r="C526" s="13" t="str">
        <f t="shared" si="2"/>
        <v>Osei-Kusi</v>
      </c>
      <c r="D526" s="13" t="str">
        <f t="shared" si="3"/>
        <v>#N/A</v>
      </c>
      <c r="E526" s="1" t="s">
        <v>69</v>
      </c>
    </row>
    <row r="527" ht="15.75" customHeight="1">
      <c r="A527" s="1" t="s">
        <v>804</v>
      </c>
      <c r="B527" s="13" t="str">
        <f t="shared" si="1"/>
        <v>Chris</v>
      </c>
      <c r="C527" s="13" t="str">
        <f t="shared" si="2"/>
        <v>Owusu</v>
      </c>
      <c r="D527" s="13" t="str">
        <f t="shared" si="3"/>
        <v>#N/A</v>
      </c>
      <c r="E527" s="1" t="s">
        <v>69</v>
      </c>
    </row>
    <row r="528" ht="15.75" customHeight="1">
      <c r="A528" s="1" t="s">
        <v>805</v>
      </c>
      <c r="B528" s="13" t="str">
        <f t="shared" si="1"/>
        <v>Chris</v>
      </c>
      <c r="C528" s="13" t="str">
        <f t="shared" si="2"/>
        <v>Polk</v>
      </c>
      <c r="D528" s="13" t="str">
        <f t="shared" si="3"/>
        <v>#N/A</v>
      </c>
      <c r="E528" s="1" t="s">
        <v>66</v>
      </c>
    </row>
    <row r="529" ht="15.75" customHeight="1">
      <c r="A529" s="1" t="s">
        <v>806</v>
      </c>
      <c r="B529" s="13" t="str">
        <f t="shared" si="1"/>
        <v>Chris</v>
      </c>
      <c r="C529" s="13" t="str">
        <f t="shared" si="2"/>
        <v>Rainey</v>
      </c>
      <c r="D529" s="13" t="str">
        <f t="shared" si="3"/>
        <v>#N/A</v>
      </c>
      <c r="E529" s="1" t="s">
        <v>66</v>
      </c>
    </row>
    <row r="530" ht="15.75" customHeight="1">
      <c r="A530" s="1" t="s">
        <v>807</v>
      </c>
      <c r="B530" s="13" t="str">
        <f t="shared" si="1"/>
        <v>Chris</v>
      </c>
      <c r="C530" s="13" t="str">
        <f t="shared" si="2"/>
        <v>Rodriguez</v>
      </c>
      <c r="D530" s="13" t="str">
        <f t="shared" si="3"/>
        <v>#N/A</v>
      </c>
      <c r="E530" s="1" t="s">
        <v>66</v>
      </c>
    </row>
    <row r="531" ht="15.75" customHeight="1">
      <c r="A531" s="1" t="s">
        <v>808</v>
      </c>
      <c r="B531" s="13" t="str">
        <f t="shared" si="1"/>
        <v>Chris</v>
      </c>
      <c r="C531" s="13" t="str">
        <f t="shared" si="2"/>
        <v>Streveler</v>
      </c>
      <c r="D531" s="13" t="str">
        <f t="shared" si="3"/>
        <v>#N/A</v>
      </c>
      <c r="E531" s="1" t="s">
        <v>65</v>
      </c>
    </row>
    <row r="532" ht="15.75" customHeight="1">
      <c r="A532" s="1" t="s">
        <v>809</v>
      </c>
      <c r="B532" s="13" t="str">
        <f t="shared" si="1"/>
        <v>Chris</v>
      </c>
      <c r="C532" s="13" t="str">
        <f t="shared" si="2"/>
        <v>Summers</v>
      </c>
      <c r="D532" s="13" t="str">
        <f t="shared" si="3"/>
        <v>#N/A</v>
      </c>
      <c r="E532" s="1" t="s">
        <v>69</v>
      </c>
    </row>
    <row r="533" ht="15.75" customHeight="1">
      <c r="A533" s="1" t="s">
        <v>670</v>
      </c>
      <c r="B533" s="13" t="str">
        <f t="shared" si="1"/>
        <v>Chris</v>
      </c>
      <c r="C533" s="13" t="str">
        <f t="shared" si="2"/>
        <v>Thompson</v>
      </c>
      <c r="D533" s="13" t="str">
        <f t="shared" si="3"/>
        <v>#N/A</v>
      </c>
      <c r="E533" s="1" t="s">
        <v>69</v>
      </c>
    </row>
    <row r="534" ht="15.75" customHeight="1">
      <c r="A534" s="1" t="s">
        <v>670</v>
      </c>
      <c r="B534" s="13" t="str">
        <f t="shared" si="1"/>
        <v>Chris</v>
      </c>
      <c r="C534" s="13" t="str">
        <f t="shared" si="2"/>
        <v>Thompson</v>
      </c>
      <c r="D534" s="13" t="str">
        <f t="shared" si="3"/>
        <v>#N/A</v>
      </c>
      <c r="E534" s="1" t="s">
        <v>66</v>
      </c>
    </row>
    <row r="535" ht="15.75" customHeight="1">
      <c r="A535" s="1" t="s">
        <v>811</v>
      </c>
      <c r="B535" s="13" t="str">
        <f t="shared" si="1"/>
        <v>Chris</v>
      </c>
      <c r="C535" s="13" t="str">
        <f t="shared" si="2"/>
        <v>Tyree</v>
      </c>
      <c r="D535" s="13" t="str">
        <f t="shared" si="3"/>
        <v>#N/A</v>
      </c>
      <c r="E535" s="1" t="s">
        <v>66</v>
      </c>
    </row>
    <row r="536" ht="15.75" customHeight="1">
      <c r="A536" s="1" t="s">
        <v>813</v>
      </c>
      <c r="B536" s="13" t="str">
        <f t="shared" si="1"/>
        <v>Chris</v>
      </c>
      <c r="C536" s="13" t="str">
        <f t="shared" si="2"/>
        <v>Warren</v>
      </c>
      <c r="D536" s="13" t="str">
        <f t="shared" si="3"/>
        <v>#N/A</v>
      </c>
      <c r="E536" s="1" t="s">
        <v>66</v>
      </c>
    </row>
    <row r="537" ht="15.75" customHeight="1">
      <c r="A537" s="1" t="s">
        <v>814</v>
      </c>
      <c r="B537" s="13" t="str">
        <f t="shared" si="1"/>
        <v>Chris</v>
      </c>
      <c r="C537" s="13" t="str">
        <f t="shared" si="2"/>
        <v>Williams</v>
      </c>
      <c r="D537" s="13" t="str">
        <f t="shared" si="3"/>
        <v>#N/A</v>
      </c>
      <c r="E537" s="1" t="s">
        <v>69</v>
      </c>
    </row>
    <row r="538" ht="15.75" customHeight="1">
      <c r="A538" s="1" t="s">
        <v>815</v>
      </c>
      <c r="B538" s="13" t="str">
        <f t="shared" si="1"/>
        <v>Christian</v>
      </c>
      <c r="C538" s="13" t="str">
        <f t="shared" si="2"/>
        <v>Blake</v>
      </c>
      <c r="D538" s="13" t="str">
        <f t="shared" si="3"/>
        <v>#N/A</v>
      </c>
      <c r="E538" s="1" t="s">
        <v>69</v>
      </c>
    </row>
    <row r="539" ht="15.75" customHeight="1">
      <c r="A539" s="1" t="s">
        <v>816</v>
      </c>
      <c r="B539" s="13" t="str">
        <f t="shared" si="1"/>
        <v>Christian</v>
      </c>
      <c r="C539" s="13" t="str">
        <f t="shared" si="2"/>
        <v>Gibson</v>
      </c>
      <c r="D539" s="13" t="str">
        <f t="shared" si="3"/>
        <v>#N/A</v>
      </c>
      <c r="E539" s="1" t="s">
        <v>66</v>
      </c>
    </row>
    <row r="540" ht="15.75" customHeight="1">
      <c r="A540" s="1" t="s">
        <v>817</v>
      </c>
      <c r="B540" s="13" t="str">
        <f t="shared" si="1"/>
        <v>Christian</v>
      </c>
      <c r="C540" s="13" t="str">
        <f t="shared" si="2"/>
        <v>Hackenberg</v>
      </c>
      <c r="D540" s="13" t="str">
        <f t="shared" si="3"/>
        <v>#N/A</v>
      </c>
      <c r="E540" s="1" t="s">
        <v>65</v>
      </c>
    </row>
    <row r="541" ht="15.75" customHeight="1">
      <c r="A541" s="1" t="s">
        <v>818</v>
      </c>
      <c r="B541" s="13" t="str">
        <f t="shared" si="1"/>
        <v>Christian</v>
      </c>
      <c r="C541" s="13" t="str">
        <f t="shared" si="2"/>
        <v>Kirk</v>
      </c>
      <c r="D541" s="13" t="str">
        <f t="shared" si="3"/>
        <v>#N/A</v>
      </c>
      <c r="E541" s="1" t="s">
        <v>69</v>
      </c>
    </row>
    <row r="542" ht="15.75" customHeight="1">
      <c r="A542" s="1" t="s">
        <v>78</v>
      </c>
      <c r="B542" s="13" t="str">
        <f t="shared" si="1"/>
        <v>Christian</v>
      </c>
      <c r="C542" s="13" t="str">
        <f t="shared" si="2"/>
        <v>McCaffrey</v>
      </c>
      <c r="D542" s="13" t="str">
        <f t="shared" si="3"/>
        <v>#N/A</v>
      </c>
      <c r="E542" s="1" t="s">
        <v>66</v>
      </c>
    </row>
    <row r="543" ht="15.75" customHeight="1">
      <c r="A543" s="1" t="s">
        <v>820</v>
      </c>
      <c r="B543" s="13" t="str">
        <f t="shared" si="1"/>
        <v>Christian</v>
      </c>
      <c r="C543" s="13" t="str">
        <f t="shared" si="2"/>
        <v>Ponder</v>
      </c>
      <c r="D543" s="13" t="str">
        <f t="shared" si="3"/>
        <v>#N/A</v>
      </c>
      <c r="E543" s="1" t="s">
        <v>65</v>
      </c>
    </row>
    <row r="544" ht="15.75" customHeight="1">
      <c r="A544" s="1" t="s">
        <v>821</v>
      </c>
      <c r="B544" s="13" t="str">
        <f t="shared" si="1"/>
        <v>Christian</v>
      </c>
      <c r="C544" s="13" t="str">
        <f t="shared" si="2"/>
        <v>Powell</v>
      </c>
      <c r="D544" s="13" t="str">
        <f t="shared" si="3"/>
        <v>#N/A</v>
      </c>
      <c r="E544" s="1" t="s">
        <v>66</v>
      </c>
    </row>
    <row r="545" ht="15.75" customHeight="1">
      <c r="A545" s="1" t="s">
        <v>823</v>
      </c>
      <c r="B545" s="13" t="str">
        <f t="shared" si="1"/>
        <v>Christian</v>
      </c>
      <c r="C545" s="13" t="str">
        <f t="shared" si="2"/>
        <v>Scotland-Williamson</v>
      </c>
      <c r="D545" s="13" t="str">
        <f t="shared" si="3"/>
        <v>#N/A</v>
      </c>
      <c r="E545" s="1" t="s">
        <v>68</v>
      </c>
    </row>
    <row r="546" ht="15.75" customHeight="1">
      <c r="A546" s="1" t="s">
        <v>824</v>
      </c>
      <c r="B546" s="13" t="str">
        <f t="shared" si="1"/>
        <v>Christian</v>
      </c>
      <c r="C546" s="13" t="str">
        <f t="shared" si="2"/>
        <v>Wade</v>
      </c>
      <c r="D546" s="13" t="str">
        <f t="shared" si="3"/>
        <v>#N/A</v>
      </c>
      <c r="E546" s="1" t="s">
        <v>66</v>
      </c>
    </row>
    <row r="547" ht="15.75" customHeight="1">
      <c r="A547" s="1" t="s">
        <v>825</v>
      </c>
      <c r="B547" s="13" t="str">
        <f t="shared" si="1"/>
        <v>Christian</v>
      </c>
      <c r="C547" s="13" t="str">
        <f t="shared" si="2"/>
        <v>Watson</v>
      </c>
      <c r="D547" s="13" t="str">
        <f t="shared" si="3"/>
        <v>#N/A</v>
      </c>
      <c r="E547" s="1" t="s">
        <v>69</v>
      </c>
    </row>
    <row r="548" ht="15.75" customHeight="1">
      <c r="A548" s="1" t="s">
        <v>826</v>
      </c>
      <c r="B548" s="13" t="str">
        <f t="shared" si="1"/>
        <v>Christine</v>
      </c>
      <c r="C548" s="13" t="str">
        <f t="shared" si="2"/>
        <v>Michael</v>
      </c>
      <c r="D548" s="13" t="str">
        <f t="shared" si="3"/>
        <v>#N/A</v>
      </c>
      <c r="E548" s="1" t="s">
        <v>66</v>
      </c>
    </row>
    <row r="549" ht="15.75" customHeight="1">
      <c r="A549" s="1" t="s">
        <v>827</v>
      </c>
      <c r="B549" s="13" t="str">
        <f t="shared" si="1"/>
        <v>Christion</v>
      </c>
      <c r="C549" s="13" t="str">
        <f t="shared" si="2"/>
        <v>Jones</v>
      </c>
      <c r="D549" s="13" t="str">
        <f t="shared" si="3"/>
        <v>#N/A</v>
      </c>
      <c r="E549" s="1" t="s">
        <v>69</v>
      </c>
    </row>
    <row r="550" ht="15.75" customHeight="1">
      <c r="A550" s="1" t="s">
        <v>828</v>
      </c>
      <c r="B550" s="13" t="str">
        <f t="shared" si="1"/>
        <v>Christopher</v>
      </c>
      <c r="C550" s="13" t="str">
        <f t="shared" si="2"/>
        <v>Brown</v>
      </c>
      <c r="D550" s="13" t="str">
        <f t="shared" si="3"/>
        <v>#N/A</v>
      </c>
      <c r="E550" s="1" t="s">
        <v>66</v>
      </c>
    </row>
    <row r="551" ht="15.75" customHeight="1">
      <c r="A551" s="1" t="s">
        <v>829</v>
      </c>
      <c r="B551" s="13" t="str">
        <f t="shared" si="1"/>
        <v>Christopher</v>
      </c>
      <c r="C551" s="13" t="str">
        <f t="shared" si="2"/>
        <v>Ezeala</v>
      </c>
      <c r="D551" s="13" t="str">
        <f t="shared" si="3"/>
        <v>#N/A</v>
      </c>
      <c r="E551" s="1" t="s">
        <v>66</v>
      </c>
    </row>
    <row r="552" ht="15.75" customHeight="1">
      <c r="A552" s="1" t="s">
        <v>89</v>
      </c>
      <c r="B552" s="13" t="str">
        <f t="shared" si="1"/>
        <v>Chuba</v>
      </c>
      <c r="C552" s="13" t="str">
        <f t="shared" si="2"/>
        <v>Hubbard</v>
      </c>
      <c r="D552" s="13" t="str">
        <f t="shared" si="3"/>
        <v>#N/A</v>
      </c>
      <c r="E552" s="1" t="s">
        <v>66</v>
      </c>
    </row>
    <row r="553" ht="15.75" customHeight="1">
      <c r="A553" s="1" t="s">
        <v>831</v>
      </c>
      <c r="B553" s="13" t="str">
        <f t="shared" si="1"/>
        <v>Chuck</v>
      </c>
      <c r="C553" s="13" t="str">
        <f t="shared" si="2"/>
        <v>Jacobs</v>
      </c>
      <c r="D553" s="13" t="str">
        <f t="shared" si="3"/>
        <v>#N/A</v>
      </c>
      <c r="E553" s="1" t="s">
        <v>69</v>
      </c>
    </row>
    <row r="554" ht="15.75" customHeight="1">
      <c r="A554" s="1" t="s">
        <v>832</v>
      </c>
      <c r="B554" s="13" t="str">
        <f t="shared" si="1"/>
        <v>Cierre</v>
      </c>
      <c r="C554" s="13" t="str">
        <f t="shared" si="2"/>
        <v>Wood</v>
      </c>
      <c r="D554" s="13" t="str">
        <f t="shared" si="3"/>
        <v>#N/A</v>
      </c>
      <c r="E554" s="1" t="s">
        <v>66</v>
      </c>
    </row>
    <row r="555" ht="15.75" customHeight="1">
      <c r="A555" s="1" t="s">
        <v>833</v>
      </c>
      <c r="B555" s="13" t="str">
        <f t="shared" si="1"/>
        <v>#VALUE!</v>
      </c>
      <c r="C555" s="13" t="str">
        <f t="shared" si="2"/>
        <v>#VALUE!</v>
      </c>
      <c r="D555" s="13" t="str">
        <f t="shared" si="3"/>
        <v>#N/A</v>
      </c>
      <c r="E555" s="1" t="s">
        <v>63</v>
      </c>
    </row>
    <row r="556" ht="15.75" customHeight="1">
      <c r="A556" s="1" t="s">
        <v>834</v>
      </c>
      <c r="B556" s="13" t="str">
        <f t="shared" si="1"/>
        <v>Clay</v>
      </c>
      <c r="C556" s="13" t="str">
        <f t="shared" si="2"/>
        <v>Harbor</v>
      </c>
      <c r="D556" s="13" t="str">
        <f t="shared" si="3"/>
        <v>#N/A</v>
      </c>
      <c r="E556" s="1" t="s">
        <v>68</v>
      </c>
    </row>
    <row r="557" ht="15.75" customHeight="1">
      <c r="A557" s="1" t="s">
        <v>836</v>
      </c>
      <c r="B557" s="13" t="str">
        <f t="shared" si="1"/>
        <v>Clayton</v>
      </c>
      <c r="C557" s="13" t="str">
        <f t="shared" si="2"/>
        <v>Thorson</v>
      </c>
      <c r="D557" s="13" t="str">
        <f t="shared" si="3"/>
        <v>#N/A</v>
      </c>
      <c r="E557" s="1" t="s">
        <v>65</v>
      </c>
    </row>
    <row r="558" ht="15.75" customHeight="1">
      <c r="A558" s="1" t="s">
        <v>325</v>
      </c>
      <c r="B558" s="13" t="str">
        <f t="shared" si="1"/>
        <v>#VALUE!</v>
      </c>
      <c r="C558" s="13" t="str">
        <f t="shared" si="2"/>
        <v>#VALUE!</v>
      </c>
      <c r="D558" s="13" t="str">
        <f t="shared" si="3"/>
        <v>#N/A</v>
      </c>
      <c r="E558" s="1" t="s">
        <v>63</v>
      </c>
    </row>
    <row r="559" ht="15.75" customHeight="1">
      <c r="A559" s="1" t="s">
        <v>837</v>
      </c>
      <c r="B559" s="13" t="str">
        <f t="shared" si="1"/>
        <v>Clive</v>
      </c>
      <c r="C559" s="13" t="str">
        <f t="shared" si="2"/>
        <v>Walford</v>
      </c>
      <c r="D559" s="13" t="str">
        <f t="shared" si="3"/>
        <v>#N/A</v>
      </c>
      <c r="E559" s="1" t="s">
        <v>68</v>
      </c>
    </row>
    <row r="560" ht="15.75" customHeight="1">
      <c r="A560" s="1" t="s">
        <v>79</v>
      </c>
      <c r="B560" s="13" t="str">
        <f t="shared" si="1"/>
        <v>Clyde</v>
      </c>
      <c r="C560" s="13" t="str">
        <f t="shared" si="2"/>
        <v>Edwards-Helaire</v>
      </c>
      <c r="D560" s="13" t="str">
        <f t="shared" si="3"/>
        <v>#N/A</v>
      </c>
      <c r="E560" s="1" t="s">
        <v>66</v>
      </c>
    </row>
    <row r="561" ht="15.75" customHeight="1">
      <c r="A561" s="1" t="s">
        <v>838</v>
      </c>
      <c r="B561" s="13" t="str">
        <f t="shared" si="1"/>
        <v>Clyde</v>
      </c>
      <c r="C561" s="13" t="str">
        <f t="shared" si="2"/>
        <v>Gates</v>
      </c>
      <c r="D561" s="13" t="str">
        <f t="shared" si="3"/>
        <v>#N/A</v>
      </c>
      <c r="E561" s="1" t="s">
        <v>69</v>
      </c>
    </row>
    <row r="562" ht="15.75" customHeight="1">
      <c r="A562" s="1" t="s">
        <v>839</v>
      </c>
      <c r="B562" s="13" t="str">
        <f t="shared" si="1"/>
        <v>Cobi</v>
      </c>
      <c r="C562" s="13" t="str">
        <f t="shared" si="2"/>
        <v>Hamilton</v>
      </c>
      <c r="D562" s="13" t="str">
        <f t="shared" si="3"/>
        <v>#N/A</v>
      </c>
      <c r="E562" s="1" t="s">
        <v>69</v>
      </c>
    </row>
    <row r="563" ht="15.75" customHeight="1">
      <c r="A563" s="1" t="s">
        <v>840</v>
      </c>
      <c r="B563" s="13" t="str">
        <f t="shared" si="1"/>
        <v>Coby</v>
      </c>
      <c r="C563" s="13" t="str">
        <f t="shared" si="2"/>
        <v>Fleener</v>
      </c>
      <c r="D563" s="13" t="str">
        <f t="shared" si="3"/>
        <v>#N/A</v>
      </c>
      <c r="E563" s="1" t="s">
        <v>68</v>
      </c>
    </row>
    <row r="564" ht="15.75" customHeight="1">
      <c r="A564" s="1" t="s">
        <v>842</v>
      </c>
      <c r="B564" s="13" t="str">
        <f t="shared" si="1"/>
        <v>Codey</v>
      </c>
      <c r="C564" s="13" t="str">
        <f t="shared" si="2"/>
        <v>McElroy</v>
      </c>
      <c r="D564" s="13" t="str">
        <f t="shared" si="3"/>
        <v>#N/A</v>
      </c>
      <c r="E564" s="1" t="s">
        <v>68</v>
      </c>
    </row>
    <row r="565" ht="15.75" customHeight="1">
      <c r="A565" s="1" t="s">
        <v>843</v>
      </c>
      <c r="B565" s="13" t="str">
        <f t="shared" si="1"/>
        <v>Cody</v>
      </c>
      <c r="C565" s="13" t="str">
        <f t="shared" si="2"/>
        <v>Core</v>
      </c>
      <c r="D565" s="13" t="str">
        <f t="shared" si="3"/>
        <v>#N/A</v>
      </c>
      <c r="E565" s="1" t="s">
        <v>69</v>
      </c>
    </row>
    <row r="566" ht="15.75" customHeight="1">
      <c r="A566" s="1" t="s">
        <v>844</v>
      </c>
      <c r="B566" s="13" t="str">
        <f t="shared" si="1"/>
        <v>Cody</v>
      </c>
      <c r="C566" s="13" t="str">
        <f t="shared" si="2"/>
        <v>Fajardo</v>
      </c>
      <c r="D566" s="13" t="str">
        <f t="shared" si="3"/>
        <v>#N/A</v>
      </c>
      <c r="E566" s="1" t="s">
        <v>65</v>
      </c>
    </row>
    <row r="567" ht="15.75" customHeight="1">
      <c r="A567" s="1" t="s">
        <v>845</v>
      </c>
      <c r="B567" s="13" t="str">
        <f t="shared" si="1"/>
        <v>Cody</v>
      </c>
      <c r="C567" s="13" t="str">
        <f t="shared" si="2"/>
        <v>Hoffman</v>
      </c>
      <c r="D567" s="13" t="str">
        <f t="shared" si="3"/>
        <v>#N/A</v>
      </c>
      <c r="E567" s="1" t="s">
        <v>69</v>
      </c>
    </row>
    <row r="568" ht="15.75" customHeight="1">
      <c r="A568" s="1" t="s">
        <v>846</v>
      </c>
      <c r="B568" s="13" t="str">
        <f t="shared" si="1"/>
        <v>Cody</v>
      </c>
      <c r="C568" s="13" t="str">
        <f t="shared" si="2"/>
        <v>Hollister</v>
      </c>
      <c r="D568" s="13" t="str">
        <f t="shared" si="3"/>
        <v>#N/A</v>
      </c>
      <c r="E568" s="1" t="s">
        <v>69</v>
      </c>
    </row>
    <row r="569" ht="15.75" customHeight="1">
      <c r="A569" s="1" t="s">
        <v>847</v>
      </c>
      <c r="B569" s="13" t="str">
        <f t="shared" si="1"/>
        <v>Cody</v>
      </c>
      <c r="C569" s="13" t="str">
        <f t="shared" si="2"/>
        <v>Johnson</v>
      </c>
      <c r="D569" s="13" t="str">
        <f t="shared" si="3"/>
        <v>#N/A</v>
      </c>
      <c r="E569" s="1" t="s">
        <v>69</v>
      </c>
    </row>
    <row r="570" ht="15.75" customHeight="1">
      <c r="A570" s="1" t="s">
        <v>848</v>
      </c>
      <c r="B570" s="13" t="str">
        <f t="shared" si="1"/>
        <v>Cody</v>
      </c>
      <c r="C570" s="13" t="str">
        <f t="shared" si="2"/>
        <v>Kessler</v>
      </c>
      <c r="D570" s="13" t="str">
        <f t="shared" si="3"/>
        <v>#N/A</v>
      </c>
      <c r="E570" s="1" t="s">
        <v>65</v>
      </c>
    </row>
    <row r="571" ht="15.75" customHeight="1">
      <c r="A571" s="1" t="s">
        <v>849</v>
      </c>
      <c r="B571" s="13" t="str">
        <f t="shared" si="1"/>
        <v>Cody</v>
      </c>
      <c r="C571" s="13" t="str">
        <f t="shared" si="2"/>
        <v>Latimer</v>
      </c>
      <c r="D571" s="13" t="str">
        <f t="shared" si="3"/>
        <v>#N/A</v>
      </c>
      <c r="E571" s="1" t="s">
        <v>69</v>
      </c>
    </row>
    <row r="572" ht="15.75" customHeight="1">
      <c r="A572" s="1" t="s">
        <v>850</v>
      </c>
      <c r="B572" s="13" t="str">
        <f t="shared" si="1"/>
        <v>Cody</v>
      </c>
      <c r="C572" s="13" t="str">
        <f t="shared" si="2"/>
        <v>Thompson</v>
      </c>
      <c r="D572" s="13" t="str">
        <f t="shared" si="3"/>
        <v>#N/A</v>
      </c>
      <c r="E572" s="1" t="s">
        <v>69</v>
      </c>
    </row>
    <row r="573" ht="15.75" customHeight="1">
      <c r="A573" s="1" t="s">
        <v>851</v>
      </c>
      <c r="B573" s="13" t="str">
        <f t="shared" si="1"/>
        <v>Cody</v>
      </c>
      <c r="C573" s="13" t="str">
        <f t="shared" si="2"/>
        <v>White</v>
      </c>
      <c r="D573" s="13" t="str">
        <f t="shared" si="3"/>
        <v>#N/A</v>
      </c>
      <c r="E573" s="1" t="s">
        <v>69</v>
      </c>
    </row>
    <row r="574" ht="15.75" customHeight="1">
      <c r="A574" s="1" t="s">
        <v>852</v>
      </c>
      <c r="B574" s="13" t="str">
        <f t="shared" si="1"/>
        <v>Colby</v>
      </c>
      <c r="C574" s="13" t="str">
        <f t="shared" si="2"/>
        <v>Parkinson</v>
      </c>
      <c r="D574" s="13" t="str">
        <f t="shared" si="3"/>
        <v>#N/A</v>
      </c>
      <c r="E574" s="1" t="s">
        <v>68</v>
      </c>
    </row>
    <row r="575" ht="15.75" customHeight="1">
      <c r="A575" s="1" t="s">
        <v>853</v>
      </c>
      <c r="B575" s="13" t="str">
        <f t="shared" si="1"/>
        <v>Colby</v>
      </c>
      <c r="C575" s="13" t="str">
        <f t="shared" si="2"/>
        <v>Pearson</v>
      </c>
      <c r="D575" s="13" t="str">
        <f t="shared" si="3"/>
        <v>#N/A</v>
      </c>
      <c r="E575" s="1" t="s">
        <v>69</v>
      </c>
    </row>
    <row r="576" ht="15.75" customHeight="1">
      <c r="A576" s="1" t="s">
        <v>103</v>
      </c>
      <c r="B576" s="13" t="str">
        <f t="shared" si="1"/>
        <v>Cole</v>
      </c>
      <c r="C576" s="13" t="str">
        <f t="shared" si="2"/>
        <v>Beasley</v>
      </c>
      <c r="D576" s="13" t="str">
        <f t="shared" si="3"/>
        <v>#N/A</v>
      </c>
      <c r="E576" s="1" t="s">
        <v>69</v>
      </c>
    </row>
    <row r="577" ht="15.75" customHeight="1">
      <c r="A577" s="1" t="s">
        <v>855</v>
      </c>
      <c r="B577" s="13" t="str">
        <f t="shared" si="1"/>
        <v>Cole</v>
      </c>
      <c r="C577" s="13" t="str">
        <f t="shared" si="2"/>
        <v>Herdman</v>
      </c>
      <c r="D577" s="13" t="str">
        <f t="shared" si="3"/>
        <v>#N/A</v>
      </c>
      <c r="E577" s="1" t="s">
        <v>68</v>
      </c>
    </row>
    <row r="578" ht="15.75" customHeight="1">
      <c r="A578" s="1" t="s">
        <v>856</v>
      </c>
      <c r="B578" s="13" t="str">
        <f t="shared" si="1"/>
        <v>Cole</v>
      </c>
      <c r="C578" s="13" t="str">
        <f t="shared" si="2"/>
        <v>Hikutini</v>
      </c>
      <c r="D578" s="13" t="str">
        <f t="shared" si="3"/>
        <v>#N/A</v>
      </c>
      <c r="E578" s="1" t="s">
        <v>68</v>
      </c>
    </row>
    <row r="579" ht="15.75" customHeight="1">
      <c r="A579" s="1" t="s">
        <v>858</v>
      </c>
      <c r="B579" s="13" t="str">
        <f t="shared" si="1"/>
        <v>Cole</v>
      </c>
      <c r="C579" s="13" t="str">
        <f t="shared" si="2"/>
        <v>Hunt</v>
      </c>
      <c r="D579" s="13" t="str">
        <f t="shared" si="3"/>
        <v>#N/A</v>
      </c>
      <c r="E579" s="1" t="s">
        <v>68</v>
      </c>
    </row>
    <row r="580" ht="15.75" customHeight="1">
      <c r="A580" s="1" t="s">
        <v>859</v>
      </c>
      <c r="B580" s="13" t="str">
        <f t="shared" si="1"/>
        <v>Cole</v>
      </c>
      <c r="C580" s="13" t="str">
        <f t="shared" si="2"/>
        <v>Jaeschke</v>
      </c>
      <c r="D580" s="13" t="str">
        <f t="shared" si="3"/>
        <v>#N/A</v>
      </c>
      <c r="E580" s="1" t="s">
        <v>65</v>
      </c>
    </row>
    <row r="581" ht="15.75" customHeight="1">
      <c r="A581" s="1" t="s">
        <v>860</v>
      </c>
      <c r="B581" s="13" t="str">
        <f t="shared" si="1"/>
        <v>Cole</v>
      </c>
      <c r="C581" s="13" t="str">
        <f t="shared" si="2"/>
        <v>Johnson</v>
      </c>
      <c r="D581" s="13" t="str">
        <f t="shared" si="3"/>
        <v>#N/A</v>
      </c>
      <c r="E581" s="1" t="s">
        <v>65</v>
      </c>
    </row>
    <row r="582" ht="15.75" customHeight="1">
      <c r="A582" s="1" t="s">
        <v>861</v>
      </c>
      <c r="B582" s="13" t="str">
        <f t="shared" si="1"/>
        <v>Cole</v>
      </c>
      <c r="C582" s="13" t="str">
        <f t="shared" si="2"/>
        <v>Kelley</v>
      </c>
      <c r="D582" s="13" t="str">
        <f t="shared" si="3"/>
        <v>#N/A</v>
      </c>
      <c r="E582" s="1" t="s">
        <v>65</v>
      </c>
    </row>
    <row r="583" ht="15.75" customHeight="1">
      <c r="A583" s="1" t="s">
        <v>291</v>
      </c>
      <c r="B583" s="13" t="str">
        <f t="shared" si="1"/>
        <v>Cole</v>
      </c>
      <c r="C583" s="13" t="str">
        <f t="shared" si="2"/>
        <v>Kmet</v>
      </c>
      <c r="D583" s="13" t="str">
        <f t="shared" si="3"/>
        <v>#N/A</v>
      </c>
      <c r="E583" s="1" t="s">
        <v>68</v>
      </c>
    </row>
    <row r="584" ht="15.75" customHeight="1">
      <c r="A584" s="1" t="s">
        <v>863</v>
      </c>
      <c r="B584" s="13" t="str">
        <f t="shared" si="1"/>
        <v>Cole</v>
      </c>
      <c r="C584" s="13" t="str">
        <f t="shared" si="2"/>
        <v>McDonald</v>
      </c>
      <c r="D584" s="13" t="str">
        <f t="shared" si="3"/>
        <v>#N/A</v>
      </c>
      <c r="E584" s="1" t="s">
        <v>65</v>
      </c>
    </row>
    <row r="585" ht="15.75" customHeight="1">
      <c r="A585" s="1" t="s">
        <v>865</v>
      </c>
      <c r="B585" s="13" t="str">
        <f t="shared" si="1"/>
        <v>Cole</v>
      </c>
      <c r="C585" s="13" t="str">
        <f t="shared" si="2"/>
        <v>Stoudt</v>
      </c>
      <c r="D585" s="13" t="str">
        <f t="shared" si="3"/>
        <v>#N/A</v>
      </c>
      <c r="E585" s="1" t="s">
        <v>65</v>
      </c>
    </row>
    <row r="586" ht="15.75" customHeight="1">
      <c r="A586" s="1" t="s">
        <v>866</v>
      </c>
      <c r="B586" s="13" t="str">
        <f t="shared" si="1"/>
        <v>Cole</v>
      </c>
      <c r="C586" s="13" t="str">
        <f t="shared" si="2"/>
        <v>Turner</v>
      </c>
      <c r="D586" s="13" t="str">
        <f t="shared" si="3"/>
        <v>#N/A</v>
      </c>
      <c r="E586" s="1" t="s">
        <v>68</v>
      </c>
    </row>
    <row r="587" ht="15.75" customHeight="1">
      <c r="A587" s="1" t="s">
        <v>868</v>
      </c>
      <c r="B587" s="13" t="str">
        <f t="shared" si="1"/>
        <v>Cole</v>
      </c>
      <c r="C587" s="13" t="str">
        <f t="shared" si="2"/>
        <v>Wick</v>
      </c>
      <c r="D587" s="13" t="str">
        <f t="shared" si="3"/>
        <v>#N/A</v>
      </c>
      <c r="E587" s="1" t="s">
        <v>68</v>
      </c>
    </row>
    <row r="588" ht="15.75" customHeight="1">
      <c r="A588" s="1" t="s">
        <v>869</v>
      </c>
      <c r="B588" s="13" t="str">
        <f t="shared" si="1"/>
        <v>Colin</v>
      </c>
      <c r="C588" s="13" t="str">
        <f t="shared" si="2"/>
        <v>Kaepernick</v>
      </c>
      <c r="D588" s="13" t="str">
        <f t="shared" si="3"/>
        <v>#N/A</v>
      </c>
      <c r="E588" s="1" t="s">
        <v>65</v>
      </c>
    </row>
    <row r="589" ht="15.75" customHeight="1">
      <c r="A589" s="1" t="s">
        <v>870</v>
      </c>
      <c r="B589" s="13" t="str">
        <f t="shared" si="1"/>
        <v>Colin</v>
      </c>
      <c r="C589" s="13" t="str">
        <f t="shared" si="2"/>
        <v>Lockett</v>
      </c>
      <c r="D589" s="13" t="str">
        <f t="shared" si="3"/>
        <v>#N/A</v>
      </c>
      <c r="E589" s="1" t="s">
        <v>69</v>
      </c>
    </row>
    <row r="590" ht="15.75" customHeight="1">
      <c r="A590" s="1" t="s">
        <v>871</v>
      </c>
      <c r="B590" s="13" t="str">
        <f t="shared" si="1"/>
        <v>Colin</v>
      </c>
      <c r="C590" s="13" t="str">
        <f t="shared" si="2"/>
        <v>Thompson</v>
      </c>
      <c r="D590" s="13" t="str">
        <f t="shared" si="3"/>
        <v>#N/A</v>
      </c>
      <c r="E590" s="1" t="s">
        <v>68</v>
      </c>
    </row>
    <row r="591" ht="15.75" customHeight="1">
      <c r="A591" s="1" t="s">
        <v>872</v>
      </c>
      <c r="B591" s="13" t="str">
        <f t="shared" si="1"/>
        <v>Collin</v>
      </c>
      <c r="C591" s="13" t="str">
        <f t="shared" si="2"/>
        <v>Hill</v>
      </c>
      <c r="D591" s="13" t="str">
        <f t="shared" si="3"/>
        <v>#N/A</v>
      </c>
      <c r="E591" s="1" t="s">
        <v>65</v>
      </c>
    </row>
    <row r="592" ht="15.75" customHeight="1">
      <c r="A592" s="1" t="s">
        <v>873</v>
      </c>
      <c r="B592" s="13" t="str">
        <f t="shared" si="1"/>
        <v>Collin</v>
      </c>
      <c r="C592" s="13" t="str">
        <f t="shared" si="2"/>
        <v>Johnson</v>
      </c>
      <c r="D592" s="13" t="str">
        <f t="shared" si="3"/>
        <v>#N/A</v>
      </c>
      <c r="E592" s="1" t="s">
        <v>69</v>
      </c>
    </row>
    <row r="593" ht="15.75" customHeight="1">
      <c r="A593" s="1" t="s">
        <v>874</v>
      </c>
      <c r="B593" s="13" t="str">
        <f t="shared" si="1"/>
        <v>Colt</v>
      </c>
      <c r="C593" s="13" t="str">
        <f t="shared" si="2"/>
        <v>Lyerla</v>
      </c>
      <c r="D593" s="13" t="str">
        <f t="shared" si="3"/>
        <v>#N/A</v>
      </c>
      <c r="E593" s="1" t="s">
        <v>68</v>
      </c>
    </row>
    <row r="594" ht="15.75" customHeight="1">
      <c r="A594" s="1" t="s">
        <v>875</v>
      </c>
      <c r="B594" s="13" t="str">
        <f t="shared" si="1"/>
        <v>Colt</v>
      </c>
      <c r="C594" s="13" t="str">
        <f t="shared" si="2"/>
        <v>McCoy</v>
      </c>
      <c r="D594" s="13" t="str">
        <f t="shared" si="3"/>
        <v>#N/A</v>
      </c>
      <c r="E594" s="1" t="s">
        <v>65</v>
      </c>
    </row>
    <row r="595" ht="15.75" customHeight="1">
      <c r="A595" s="1" t="s">
        <v>876</v>
      </c>
      <c r="B595" s="13" t="str">
        <f t="shared" si="1"/>
        <v>Connor</v>
      </c>
      <c r="C595" s="13" t="str">
        <f t="shared" si="2"/>
        <v>Cook</v>
      </c>
      <c r="D595" s="13" t="str">
        <f t="shared" si="3"/>
        <v>#N/A</v>
      </c>
      <c r="E595" s="1" t="s">
        <v>65</v>
      </c>
    </row>
    <row r="596" ht="15.75" customHeight="1">
      <c r="A596" s="1" t="s">
        <v>877</v>
      </c>
      <c r="B596" s="13" t="str">
        <f t="shared" si="1"/>
        <v>Connor</v>
      </c>
      <c r="C596" s="13" t="str">
        <f t="shared" si="2"/>
        <v>Halliday</v>
      </c>
      <c r="D596" s="13" t="str">
        <f t="shared" si="3"/>
        <v>#N/A</v>
      </c>
      <c r="E596" s="1" t="s">
        <v>65</v>
      </c>
    </row>
    <row r="597" ht="15.75" customHeight="1">
      <c r="A597" s="1" t="s">
        <v>878</v>
      </c>
      <c r="B597" s="13" t="str">
        <f t="shared" si="1"/>
        <v>Connor</v>
      </c>
      <c r="C597" s="13" t="str">
        <f t="shared" si="2"/>
        <v>Heyward</v>
      </c>
      <c r="D597" s="13" t="str">
        <f t="shared" si="3"/>
        <v>#N/A</v>
      </c>
      <c r="E597" s="1" t="s">
        <v>66</v>
      </c>
    </row>
    <row r="598" ht="15.75" customHeight="1">
      <c r="A598" s="1" t="s">
        <v>879</v>
      </c>
      <c r="B598" s="13" t="str">
        <f t="shared" si="1"/>
        <v>Connor</v>
      </c>
      <c r="C598" s="13" t="str">
        <f t="shared" si="2"/>
        <v>Shaw</v>
      </c>
      <c r="D598" s="13" t="str">
        <f t="shared" si="3"/>
        <v>#N/A</v>
      </c>
      <c r="E598" s="1" t="s">
        <v>65</v>
      </c>
    </row>
    <row r="599" ht="15.75" customHeight="1">
      <c r="A599" s="1" t="s">
        <v>881</v>
      </c>
      <c r="B599" s="13" t="str">
        <f t="shared" si="1"/>
        <v>Connor</v>
      </c>
      <c r="C599" s="13" t="str">
        <f t="shared" si="2"/>
        <v>Slomka</v>
      </c>
      <c r="D599" s="13" t="str">
        <f t="shared" si="3"/>
        <v>#N/A</v>
      </c>
      <c r="E599" s="1" t="s">
        <v>66</v>
      </c>
    </row>
    <row r="600" ht="15.75" customHeight="1">
      <c r="A600" s="1" t="s">
        <v>882</v>
      </c>
      <c r="B600" s="13" t="str">
        <f t="shared" si="1"/>
        <v>Connor</v>
      </c>
      <c r="C600" s="13" t="str">
        <f t="shared" si="2"/>
        <v>Wedington</v>
      </c>
      <c r="D600" s="13" t="str">
        <f t="shared" si="3"/>
        <v>#N/A</v>
      </c>
      <c r="E600" s="1" t="s">
        <v>69</v>
      </c>
    </row>
    <row r="601" ht="15.75" customHeight="1">
      <c r="A601" s="1" t="s">
        <v>883</v>
      </c>
      <c r="B601" s="13" t="str">
        <f t="shared" si="1"/>
        <v>Cooper</v>
      </c>
      <c r="C601" s="13" t="str">
        <f t="shared" si="2"/>
        <v>Helfet</v>
      </c>
      <c r="D601" s="13" t="str">
        <f t="shared" si="3"/>
        <v>#N/A</v>
      </c>
      <c r="E601" s="1" t="s">
        <v>68</v>
      </c>
    </row>
    <row r="602" ht="15.75" customHeight="1">
      <c r="A602" s="1" t="s">
        <v>430</v>
      </c>
      <c r="B602" s="13" t="str">
        <f t="shared" si="1"/>
        <v>Cooper</v>
      </c>
      <c r="C602" s="13" t="str">
        <f t="shared" si="2"/>
        <v>Kupp</v>
      </c>
      <c r="D602" s="13" t="str">
        <f t="shared" si="3"/>
        <v>#N/A</v>
      </c>
      <c r="E602" s="1" t="s">
        <v>69</v>
      </c>
    </row>
    <row r="603" ht="15.75" customHeight="1">
      <c r="A603" s="1" t="s">
        <v>884</v>
      </c>
      <c r="B603" s="13" t="str">
        <f t="shared" si="1"/>
        <v>Cooper</v>
      </c>
      <c r="C603" s="13" t="str">
        <f t="shared" si="2"/>
        <v>Rush</v>
      </c>
      <c r="D603" s="13" t="str">
        <f t="shared" si="3"/>
        <v>#N/A</v>
      </c>
      <c r="E603" s="1" t="s">
        <v>65</v>
      </c>
    </row>
    <row r="604" ht="15.75" customHeight="1">
      <c r="A604" s="1" t="s">
        <v>885</v>
      </c>
      <c r="B604" s="13" t="str">
        <f t="shared" si="1"/>
        <v>Cordarrelle</v>
      </c>
      <c r="C604" s="13" t="str">
        <f t="shared" si="2"/>
        <v>Patterson</v>
      </c>
      <c r="D604" s="13" t="str">
        <f t="shared" si="3"/>
        <v>#N/A</v>
      </c>
      <c r="E604" s="1" t="s">
        <v>66</v>
      </c>
    </row>
    <row r="605" ht="15.75" customHeight="1">
      <c r="A605" s="1" t="s">
        <v>886</v>
      </c>
      <c r="B605" s="13" t="str">
        <f t="shared" si="1"/>
        <v>Corey</v>
      </c>
      <c r="C605" s="13" t="str">
        <f t="shared" si="2"/>
        <v>Brown</v>
      </c>
      <c r="D605" s="13" t="str">
        <f t="shared" si="3"/>
        <v>#N/A</v>
      </c>
      <c r="E605" s="1" t="s">
        <v>69</v>
      </c>
    </row>
    <row r="606" ht="15.75" customHeight="1">
      <c r="A606" s="1" t="s">
        <v>887</v>
      </c>
      <c r="B606" s="13" t="str">
        <f t="shared" si="1"/>
        <v>Corey</v>
      </c>
      <c r="C606" s="13" t="str">
        <f t="shared" si="2"/>
        <v>Clement</v>
      </c>
      <c r="D606" s="13" t="str">
        <f t="shared" si="3"/>
        <v>#N/A</v>
      </c>
      <c r="E606" s="1" t="s">
        <v>66</v>
      </c>
    </row>
    <row r="607" ht="15.75" customHeight="1">
      <c r="A607" s="1" t="s">
        <v>888</v>
      </c>
      <c r="B607" s="13" t="str">
        <f t="shared" si="1"/>
        <v>Corey</v>
      </c>
      <c r="C607" s="13" t="str">
        <f t="shared" si="2"/>
        <v>Coleman</v>
      </c>
      <c r="D607" s="13" t="str">
        <f t="shared" si="3"/>
        <v>#N/A</v>
      </c>
      <c r="E607" s="1" t="s">
        <v>69</v>
      </c>
    </row>
    <row r="608" ht="15.75" customHeight="1">
      <c r="A608" s="1" t="s">
        <v>273</v>
      </c>
      <c r="B608" s="13" t="str">
        <f t="shared" si="1"/>
        <v>Corey</v>
      </c>
      <c r="C608" s="13" t="str">
        <f t="shared" si="2"/>
        <v>Davis</v>
      </c>
      <c r="D608" s="13" t="str">
        <f t="shared" si="3"/>
        <v>#N/A</v>
      </c>
      <c r="E608" s="1" t="s">
        <v>69</v>
      </c>
    </row>
    <row r="609" ht="15.75" customHeight="1">
      <c r="A609" s="1" t="s">
        <v>889</v>
      </c>
      <c r="B609" s="13" t="str">
        <f t="shared" si="1"/>
        <v>Corey</v>
      </c>
      <c r="C609" s="13" t="str">
        <f t="shared" si="2"/>
        <v>Fuller</v>
      </c>
      <c r="D609" s="13" t="str">
        <f t="shared" si="3"/>
        <v>#N/A</v>
      </c>
      <c r="E609" s="1" t="s">
        <v>69</v>
      </c>
    </row>
    <row r="610" ht="15.75" customHeight="1">
      <c r="A610" s="1" t="s">
        <v>890</v>
      </c>
      <c r="B610" s="13" t="str">
        <f t="shared" si="1"/>
        <v>Corey</v>
      </c>
      <c r="C610" s="13" t="str">
        <f t="shared" si="2"/>
        <v>Grant</v>
      </c>
      <c r="D610" s="13" t="str">
        <f t="shared" si="3"/>
        <v>#N/A</v>
      </c>
      <c r="E610" s="1" t="s">
        <v>66</v>
      </c>
    </row>
    <row r="611" ht="15.75" customHeight="1">
      <c r="A611" s="1" t="s">
        <v>892</v>
      </c>
      <c r="B611" s="13" t="str">
        <f t="shared" si="1"/>
        <v>Corey</v>
      </c>
      <c r="C611" s="13" t="str">
        <f t="shared" si="2"/>
        <v>Robinson</v>
      </c>
      <c r="D611" s="13" t="str">
        <f t="shared" si="3"/>
        <v>#N/A</v>
      </c>
      <c r="E611" s="1" t="s">
        <v>65</v>
      </c>
    </row>
    <row r="612" ht="15.75" customHeight="1">
      <c r="A612" s="1" t="s">
        <v>893</v>
      </c>
      <c r="B612" s="13" t="str">
        <f t="shared" si="1"/>
        <v>Corey</v>
      </c>
      <c r="C612" s="13" t="str">
        <f t="shared" si="2"/>
        <v>Smith</v>
      </c>
      <c r="D612" s="13" t="str">
        <f t="shared" si="3"/>
        <v>#N/A</v>
      </c>
      <c r="E612" s="1" t="s">
        <v>69</v>
      </c>
    </row>
    <row r="613" ht="15.75" customHeight="1">
      <c r="A613" s="1" t="s">
        <v>894</v>
      </c>
      <c r="B613" s="13" t="str">
        <f t="shared" si="1"/>
        <v>Corey</v>
      </c>
      <c r="C613" s="13" t="str">
        <f t="shared" si="2"/>
        <v>Taylor</v>
      </c>
      <c r="D613" s="13" t="str">
        <f t="shared" si="3"/>
        <v>#N/A</v>
      </c>
      <c r="E613" s="1" t="s">
        <v>66</v>
      </c>
    </row>
    <row r="614" ht="15.75" customHeight="1">
      <c r="A614" s="1" t="s">
        <v>895</v>
      </c>
      <c r="B614" s="13" t="str">
        <f t="shared" si="1"/>
        <v>Corey</v>
      </c>
      <c r="C614" s="13" t="str">
        <f t="shared" si="2"/>
        <v>Washington</v>
      </c>
      <c r="D614" s="13" t="str">
        <f t="shared" si="3"/>
        <v>#N/A</v>
      </c>
      <c r="E614" s="1" t="s">
        <v>69</v>
      </c>
    </row>
    <row r="615" ht="15.75" customHeight="1">
      <c r="A615" s="1" t="s">
        <v>896</v>
      </c>
      <c r="B615" s="13" t="str">
        <f t="shared" si="1"/>
        <v>Corey</v>
      </c>
      <c r="C615" s="13" t="str">
        <f t="shared" si="2"/>
        <v>Willis</v>
      </c>
      <c r="D615" s="13" t="str">
        <f t="shared" si="3"/>
        <v>#N/A</v>
      </c>
      <c r="E615" s="1" t="s">
        <v>69</v>
      </c>
    </row>
    <row r="616" ht="15.75" customHeight="1">
      <c r="A616" s="1" t="s">
        <v>897</v>
      </c>
      <c r="B616" s="13" t="str">
        <f t="shared" si="1"/>
        <v>Cornelius</v>
      </c>
      <c r="C616" s="13" t="str">
        <f t="shared" si="2"/>
        <v>Johnson</v>
      </c>
      <c r="D616" s="13" t="str">
        <f t="shared" si="3"/>
        <v>#N/A</v>
      </c>
      <c r="E616" s="1" t="s">
        <v>69</v>
      </c>
    </row>
    <row r="617" ht="15.75" customHeight="1">
      <c r="A617" s="1" t="s">
        <v>898</v>
      </c>
      <c r="B617" s="13" t="str">
        <f t="shared" si="1"/>
        <v>Cornell</v>
      </c>
      <c r="C617" s="13" t="str">
        <f t="shared" si="2"/>
        <v>Powell</v>
      </c>
      <c r="D617" s="13" t="str">
        <f t="shared" si="3"/>
        <v>#N/A</v>
      </c>
      <c r="E617" s="1" t="s">
        <v>69</v>
      </c>
    </row>
    <row r="618" ht="15.75" customHeight="1">
      <c r="A618" s="1" t="s">
        <v>899</v>
      </c>
      <c r="B618" s="13" t="str">
        <f t="shared" si="1"/>
        <v>Cortrelle</v>
      </c>
      <c r="C618" s="13" t="str">
        <f t="shared" si="2"/>
        <v>Simpson</v>
      </c>
      <c r="D618" s="13" t="str">
        <f t="shared" si="3"/>
        <v>#N/A</v>
      </c>
      <c r="E618" s="1" t="s">
        <v>69</v>
      </c>
    </row>
    <row r="619" ht="15.75" customHeight="1">
      <c r="A619" s="1" t="s">
        <v>276</v>
      </c>
      <c r="B619" s="13" t="str">
        <f t="shared" si="1"/>
        <v>Courtland</v>
      </c>
      <c r="C619" s="13" t="str">
        <f t="shared" si="2"/>
        <v>Sutton</v>
      </c>
      <c r="D619" s="13" t="str">
        <f t="shared" si="3"/>
        <v>#N/A</v>
      </c>
      <c r="E619" s="1" t="s">
        <v>69</v>
      </c>
    </row>
    <row r="620" ht="15.75" customHeight="1">
      <c r="A620" s="1" t="s">
        <v>900</v>
      </c>
      <c r="B620" s="13" t="str">
        <f t="shared" si="1"/>
        <v>Courtney</v>
      </c>
      <c r="C620" s="13" t="str">
        <f t="shared" si="2"/>
        <v>Roby</v>
      </c>
      <c r="D620" s="13" t="str">
        <f t="shared" si="3"/>
        <v>#N/A</v>
      </c>
      <c r="E620" s="1" t="s">
        <v>69</v>
      </c>
    </row>
    <row r="621" ht="15.75" customHeight="1">
      <c r="A621" s="1" t="s">
        <v>901</v>
      </c>
      <c r="B621" s="13" t="str">
        <f t="shared" si="1"/>
        <v>Craig</v>
      </c>
      <c r="C621" s="13" t="str">
        <f t="shared" si="2"/>
        <v>Reynolds</v>
      </c>
      <c r="D621" s="13" t="str">
        <f t="shared" si="3"/>
        <v>#N/A</v>
      </c>
      <c r="E621" s="1" t="s">
        <v>66</v>
      </c>
    </row>
    <row r="622" ht="15.75" customHeight="1">
      <c r="A622" s="1" t="s">
        <v>902</v>
      </c>
      <c r="B622" s="13" t="str">
        <f t="shared" si="1"/>
        <v>Craig</v>
      </c>
      <c r="C622" s="13" t="str">
        <f t="shared" si="2"/>
        <v>Stevens</v>
      </c>
      <c r="D622" s="13" t="str">
        <f t="shared" si="3"/>
        <v>#N/A</v>
      </c>
      <c r="E622" s="1" t="s">
        <v>68</v>
      </c>
    </row>
    <row r="623" ht="15.75" customHeight="1">
      <c r="A623" s="1" t="s">
        <v>903</v>
      </c>
      <c r="B623" s="13" t="str">
        <f t="shared" si="1"/>
        <v>Crockett</v>
      </c>
      <c r="C623" s="13" t="str">
        <f t="shared" si="2"/>
        <v>Gillmore</v>
      </c>
      <c r="D623" s="13" t="str">
        <f t="shared" si="3"/>
        <v>#N/A</v>
      </c>
      <c r="E623" s="1" t="s">
        <v>68</v>
      </c>
    </row>
    <row r="624" ht="15.75" customHeight="1">
      <c r="A624" s="1" t="s">
        <v>904</v>
      </c>
      <c r="B624" s="13" t="str">
        <f t="shared" si="1"/>
        <v>Cullen</v>
      </c>
      <c r="C624" s="13" t="str">
        <f t="shared" si="2"/>
        <v>Gillaspia</v>
      </c>
      <c r="D624" s="13" t="str">
        <f t="shared" si="3"/>
        <v>#N/A</v>
      </c>
      <c r="E624" s="1" t="s">
        <v>66</v>
      </c>
    </row>
    <row r="625" ht="15.75" customHeight="1">
      <c r="A625" s="1" t="s">
        <v>905</v>
      </c>
      <c r="B625" s="13" t="str">
        <f t="shared" si="1"/>
        <v>Curtis</v>
      </c>
      <c r="C625" s="13" t="str">
        <f t="shared" si="2"/>
        <v>Hodges</v>
      </c>
      <c r="D625" s="13" t="str">
        <f t="shared" si="3"/>
        <v>#N/A</v>
      </c>
      <c r="E625" s="1" t="s">
        <v>68</v>
      </c>
    </row>
    <row r="626" ht="15.75" customHeight="1">
      <c r="A626" s="1" t="s">
        <v>196</v>
      </c>
      <c r="B626" s="13" t="str">
        <f t="shared" si="1"/>
        <v>Curtis</v>
      </c>
      <c r="C626" s="13" t="str">
        <f t="shared" si="2"/>
        <v>Samuel</v>
      </c>
      <c r="D626" s="13" t="str">
        <f t="shared" si="3"/>
        <v>#N/A</v>
      </c>
      <c r="E626" s="1" t="s">
        <v>69</v>
      </c>
    </row>
    <row r="627" ht="15.75" customHeight="1">
      <c r="A627" s="1" t="s">
        <v>906</v>
      </c>
      <c r="B627" s="13" t="str">
        <f t="shared" si="1"/>
        <v>Cyril</v>
      </c>
      <c r="C627" s="13" t="str">
        <f t="shared" si="2"/>
        <v>Grayson</v>
      </c>
      <c r="D627" s="13" t="str">
        <f t="shared" si="3"/>
        <v>#N/A</v>
      </c>
      <c r="E627" s="1" t="s">
        <v>69</v>
      </c>
    </row>
    <row r="628" ht="15.75" customHeight="1">
      <c r="A628" s="1" t="s">
        <v>907</v>
      </c>
      <c r="B628" s="13" t="str">
        <f t="shared" si="1"/>
        <v>Cyrus</v>
      </c>
      <c r="C628" s="13" t="str">
        <f t="shared" si="2"/>
        <v>Gray</v>
      </c>
      <c r="D628" s="13" t="str">
        <f t="shared" si="3"/>
        <v>#N/A</v>
      </c>
      <c r="E628" s="1" t="s">
        <v>66</v>
      </c>
    </row>
    <row r="629" ht="15.75" customHeight="1">
      <c r="A629" s="1" t="s">
        <v>908</v>
      </c>
      <c r="B629" s="13" t="str">
        <f t="shared" si="1"/>
        <v>DJ</v>
      </c>
      <c r="C629" s="13" t="str">
        <f t="shared" si="2"/>
        <v>Adams</v>
      </c>
      <c r="D629" s="13" t="str">
        <f t="shared" si="3"/>
        <v>#N/A</v>
      </c>
      <c r="E629" s="1" t="s">
        <v>66</v>
      </c>
    </row>
    <row r="630" ht="15.75" customHeight="1">
      <c r="A630" s="1" t="s">
        <v>909</v>
      </c>
      <c r="B630" s="13" t="str">
        <f t="shared" si="1"/>
        <v>DJ</v>
      </c>
      <c r="C630" s="13" t="str">
        <f t="shared" si="2"/>
        <v>Chark</v>
      </c>
      <c r="D630" s="13" t="str">
        <f t="shared" si="3"/>
        <v>#N/A</v>
      </c>
      <c r="E630" s="1" t="s">
        <v>69</v>
      </c>
    </row>
    <row r="631" ht="15.75" customHeight="1">
      <c r="A631" s="1" t="s">
        <v>911</v>
      </c>
      <c r="B631" s="13" t="str">
        <f t="shared" si="1"/>
        <v>DJ</v>
      </c>
      <c r="C631" s="13" t="str">
        <f t="shared" si="2"/>
        <v>Coles</v>
      </c>
      <c r="D631" s="13" t="str">
        <f t="shared" si="3"/>
        <v>#N/A</v>
      </c>
      <c r="E631" s="1" t="s">
        <v>69</v>
      </c>
    </row>
    <row r="632" ht="15.75" customHeight="1">
      <c r="A632" s="1" t="s">
        <v>912</v>
      </c>
      <c r="B632" s="13" t="str">
        <f t="shared" si="1"/>
        <v>DJ</v>
      </c>
      <c r="C632" s="13" t="str">
        <f t="shared" si="2"/>
        <v>Foster</v>
      </c>
      <c r="D632" s="13" t="str">
        <f t="shared" si="3"/>
        <v>#N/A</v>
      </c>
      <c r="E632" s="1" t="s">
        <v>66</v>
      </c>
    </row>
    <row r="633" ht="15.75" customHeight="1">
      <c r="A633" s="1" t="s">
        <v>913</v>
      </c>
      <c r="B633" s="13" t="str">
        <f t="shared" si="1"/>
        <v>DJ</v>
      </c>
      <c r="C633" s="13" t="str">
        <f t="shared" si="2"/>
        <v>Jones</v>
      </c>
      <c r="D633" s="13" t="str">
        <f t="shared" si="3"/>
        <v>#N/A</v>
      </c>
      <c r="E633" s="1" t="s">
        <v>66</v>
      </c>
    </row>
    <row r="634" ht="15.75" customHeight="1">
      <c r="A634" s="1" t="s">
        <v>914</v>
      </c>
      <c r="B634" s="13" t="str">
        <f t="shared" si="1"/>
        <v>DJ</v>
      </c>
      <c r="C634" s="13" t="str">
        <f t="shared" si="2"/>
        <v>Knox</v>
      </c>
      <c r="D634" s="13" t="str">
        <f t="shared" si="3"/>
        <v>#N/A</v>
      </c>
      <c r="E634" s="1" t="s">
        <v>66</v>
      </c>
    </row>
    <row r="635" ht="15.75" customHeight="1">
      <c r="A635" s="1" t="s">
        <v>915</v>
      </c>
      <c r="B635" s="13" t="str">
        <f t="shared" si="1"/>
        <v>DJ</v>
      </c>
      <c r="C635" s="13" t="str">
        <f t="shared" si="2"/>
        <v>Montgomery</v>
      </c>
      <c r="D635" s="13" t="str">
        <f t="shared" si="3"/>
        <v>#N/A</v>
      </c>
      <c r="E635" s="1" t="s">
        <v>69</v>
      </c>
    </row>
    <row r="636" ht="15.75" customHeight="1">
      <c r="A636" s="1" t="s">
        <v>916</v>
      </c>
      <c r="B636" s="13" t="str">
        <f t="shared" si="1"/>
        <v>DJ</v>
      </c>
      <c r="C636" s="13" t="str">
        <f t="shared" si="2"/>
        <v>Moore</v>
      </c>
      <c r="D636" s="13" t="str">
        <f t="shared" si="3"/>
        <v>#N/A</v>
      </c>
      <c r="E636" s="1" t="s">
        <v>69</v>
      </c>
    </row>
    <row r="637" ht="15.75" customHeight="1">
      <c r="A637" s="1" t="s">
        <v>917</v>
      </c>
      <c r="B637" s="13" t="str">
        <f t="shared" si="1"/>
        <v>DJ</v>
      </c>
      <c r="C637" s="13" t="str">
        <f t="shared" si="2"/>
        <v>Tialavea</v>
      </c>
      <c r="D637" s="13" t="str">
        <f t="shared" si="3"/>
        <v>#N/A</v>
      </c>
      <c r="E637" s="1" t="s">
        <v>68</v>
      </c>
    </row>
    <row r="638" ht="15.75" customHeight="1">
      <c r="A638" s="1" t="s">
        <v>918</v>
      </c>
      <c r="B638" s="13" t="str">
        <f t="shared" si="1"/>
        <v>DJ</v>
      </c>
      <c r="C638" s="13" t="str">
        <f t="shared" si="2"/>
        <v>Turner</v>
      </c>
      <c r="D638" s="13" t="str">
        <f t="shared" si="3"/>
        <v>#N/A</v>
      </c>
      <c r="E638" s="1" t="s">
        <v>69</v>
      </c>
    </row>
    <row r="639" ht="15.75" customHeight="1">
      <c r="A639" s="1" t="s">
        <v>919</v>
      </c>
      <c r="B639" s="13" t="str">
        <f t="shared" si="1"/>
        <v>DJ</v>
      </c>
      <c r="C639" s="13" t="str">
        <f t="shared" si="2"/>
        <v>Uiagalelei</v>
      </c>
      <c r="D639" s="13" t="str">
        <f t="shared" si="3"/>
        <v>#N/A</v>
      </c>
      <c r="E639" s="1" t="s">
        <v>65</v>
      </c>
    </row>
    <row r="640" ht="15.75" customHeight="1">
      <c r="A640" s="1" t="s">
        <v>920</v>
      </c>
      <c r="B640" s="13" t="str">
        <f t="shared" si="1"/>
        <v>DJ</v>
      </c>
      <c r="C640" s="13" t="str">
        <f t="shared" si="2"/>
        <v>Williams</v>
      </c>
      <c r="D640" s="13" t="str">
        <f t="shared" si="3"/>
        <v>#N/A</v>
      </c>
      <c r="E640" s="1" t="s">
        <v>68</v>
      </c>
    </row>
    <row r="641" ht="15.75" customHeight="1">
      <c r="A641" s="1" t="s">
        <v>921</v>
      </c>
      <c r="B641" s="13" t="str">
        <f t="shared" si="1"/>
        <v>DK</v>
      </c>
      <c r="C641" s="13" t="str">
        <f t="shared" si="2"/>
        <v>Metcalf</v>
      </c>
      <c r="D641" s="13" t="str">
        <f t="shared" si="3"/>
        <v>#N/A</v>
      </c>
      <c r="E641" s="1" t="s">
        <v>69</v>
      </c>
    </row>
    <row r="642" ht="15.75" customHeight="1">
      <c r="A642" s="1" t="s">
        <v>922</v>
      </c>
      <c r="B642" s="13" t="str">
        <f t="shared" si="1"/>
        <v>DaeSean</v>
      </c>
      <c r="C642" s="13" t="str">
        <f t="shared" si="2"/>
        <v>Hamilton</v>
      </c>
      <c r="D642" s="13" t="str">
        <f t="shared" si="3"/>
        <v>#N/A</v>
      </c>
      <c r="E642" s="1" t="s">
        <v>69</v>
      </c>
    </row>
    <row r="643" ht="15.75" customHeight="1">
      <c r="A643" s="1" t="s">
        <v>924</v>
      </c>
      <c r="B643" s="13" t="str">
        <f t="shared" si="1"/>
        <v>Dahu</v>
      </c>
      <c r="C643" s="13" t="str">
        <f t="shared" si="2"/>
        <v>Green</v>
      </c>
      <c r="D643" s="13" t="str">
        <f t="shared" si="3"/>
        <v>#N/A</v>
      </c>
      <c r="E643" s="1" t="s">
        <v>69</v>
      </c>
    </row>
    <row r="644" ht="15.75" customHeight="1">
      <c r="A644" s="1" t="s">
        <v>925</v>
      </c>
      <c r="B644" s="13" t="str">
        <f t="shared" si="1"/>
        <v>Dai'Jean</v>
      </c>
      <c r="C644" s="13" t="str">
        <f t="shared" si="2"/>
        <v>Dixon</v>
      </c>
      <c r="D644" s="13" t="str">
        <f t="shared" si="3"/>
        <v>#N/A</v>
      </c>
      <c r="E644" s="1" t="s">
        <v>69</v>
      </c>
    </row>
    <row r="645" ht="15.75" customHeight="1">
      <c r="A645" s="1" t="s">
        <v>926</v>
      </c>
      <c r="B645" s="13" t="str">
        <f t="shared" si="1"/>
        <v>Daikiel</v>
      </c>
      <c r="C645" s="13" t="str">
        <f t="shared" si="2"/>
        <v>Shorts</v>
      </c>
      <c r="D645" s="13" t="str">
        <f t="shared" si="3"/>
        <v>#N/A</v>
      </c>
      <c r="E645" s="1" t="s">
        <v>69</v>
      </c>
    </row>
    <row r="646" ht="15.75" customHeight="1">
      <c r="A646" s="1" t="s">
        <v>306</v>
      </c>
      <c r="B646" s="13" t="str">
        <f t="shared" si="1"/>
        <v>Dak</v>
      </c>
      <c r="C646" s="13" t="str">
        <f t="shared" si="2"/>
        <v>Prescott</v>
      </c>
      <c r="D646" s="13" t="str">
        <f t="shared" si="3"/>
        <v>#N/A</v>
      </c>
      <c r="E646" s="1" t="s">
        <v>65</v>
      </c>
    </row>
    <row r="647" ht="15.75" customHeight="1">
      <c r="A647" s="1" t="s">
        <v>756</v>
      </c>
      <c r="B647" s="13" t="str">
        <f t="shared" si="1"/>
        <v>#VALUE!</v>
      </c>
      <c r="C647" s="13" t="str">
        <f t="shared" si="2"/>
        <v>#VALUE!</v>
      </c>
      <c r="D647" s="13" t="str">
        <f t="shared" si="3"/>
        <v>#N/A</v>
      </c>
      <c r="E647" s="1" t="s">
        <v>63</v>
      </c>
    </row>
    <row r="648" ht="15.75" customHeight="1">
      <c r="A648" s="1" t="s">
        <v>438</v>
      </c>
      <c r="B648" s="13" t="str">
        <f t="shared" si="1"/>
        <v>Dallas</v>
      </c>
      <c r="C648" s="13" t="str">
        <f t="shared" si="2"/>
        <v>Goedert</v>
      </c>
      <c r="D648" s="13" t="str">
        <f t="shared" si="3"/>
        <v>#N/A</v>
      </c>
      <c r="E648" s="1" t="s">
        <v>68</v>
      </c>
    </row>
    <row r="649" ht="15.75" customHeight="1">
      <c r="A649" s="1" t="s">
        <v>927</v>
      </c>
      <c r="B649" s="13" t="str">
        <f t="shared" si="1"/>
        <v>Dalton</v>
      </c>
      <c r="C649" s="13" t="str">
        <f t="shared" si="2"/>
        <v>Crossan</v>
      </c>
      <c r="D649" s="13" t="str">
        <f t="shared" si="3"/>
        <v>#N/A</v>
      </c>
      <c r="E649" s="1" t="s">
        <v>66</v>
      </c>
    </row>
    <row r="650" ht="15.75" customHeight="1">
      <c r="A650" s="1" t="s">
        <v>928</v>
      </c>
      <c r="B650" s="13" t="str">
        <f t="shared" si="1"/>
        <v>Dalton</v>
      </c>
      <c r="C650" s="13" t="str">
        <f t="shared" si="2"/>
        <v>Keene</v>
      </c>
      <c r="D650" s="13" t="str">
        <f t="shared" si="3"/>
        <v>#N/A</v>
      </c>
      <c r="E650" s="1" t="s">
        <v>68</v>
      </c>
    </row>
    <row r="651" ht="15.75" customHeight="1">
      <c r="A651" s="1" t="s">
        <v>929</v>
      </c>
      <c r="B651" s="13" t="str">
        <f t="shared" si="1"/>
        <v>Dalton</v>
      </c>
      <c r="C651" s="13" t="str">
        <f t="shared" si="2"/>
        <v>Schultz</v>
      </c>
      <c r="D651" s="13" t="str">
        <f t="shared" si="3"/>
        <v>#N/A</v>
      </c>
      <c r="E651" s="1" t="s">
        <v>68</v>
      </c>
    </row>
    <row r="652" ht="15.75" customHeight="1">
      <c r="A652" s="1" t="s">
        <v>93</v>
      </c>
      <c r="B652" s="13" t="str">
        <f t="shared" si="1"/>
        <v>Dalvin</v>
      </c>
      <c r="C652" s="13" t="str">
        <f t="shared" si="2"/>
        <v>Cook</v>
      </c>
      <c r="D652" s="13" t="str">
        <f t="shared" si="3"/>
        <v>#N/A</v>
      </c>
      <c r="E652" s="1" t="s">
        <v>66</v>
      </c>
    </row>
    <row r="653" ht="15.75" customHeight="1">
      <c r="A653" s="1" t="s">
        <v>930</v>
      </c>
      <c r="B653" s="13" t="str">
        <f t="shared" si="1"/>
        <v>Dalyn</v>
      </c>
      <c r="C653" s="13" t="str">
        <f t="shared" si="2"/>
        <v>Dawkins</v>
      </c>
      <c r="D653" s="13" t="str">
        <f t="shared" si="3"/>
        <v>#N/A</v>
      </c>
      <c r="E653" s="1" t="s">
        <v>66</v>
      </c>
    </row>
    <row r="654" ht="15.75" customHeight="1">
      <c r="A654" s="1" t="s">
        <v>931</v>
      </c>
      <c r="B654" s="13" t="str">
        <f t="shared" si="1"/>
        <v>Damarea</v>
      </c>
      <c r="C654" s="13" t="str">
        <f t="shared" si="2"/>
        <v>Crockett</v>
      </c>
      <c r="D654" s="13" t="str">
        <f t="shared" si="3"/>
        <v>#N/A</v>
      </c>
      <c r="E654" s="1" t="s">
        <v>66</v>
      </c>
    </row>
    <row r="655" ht="15.75" customHeight="1">
      <c r="A655" s="1" t="s">
        <v>933</v>
      </c>
      <c r="B655" s="13" t="str">
        <f t="shared" si="1"/>
        <v>Da'Mari</v>
      </c>
      <c r="C655" s="13" t="str">
        <f t="shared" si="2"/>
        <v>Scott</v>
      </c>
      <c r="D655" s="13" t="str">
        <f t="shared" si="3"/>
        <v>#N/A</v>
      </c>
      <c r="E655" s="1" t="s">
        <v>69</v>
      </c>
    </row>
    <row r="656" ht="15.75" customHeight="1">
      <c r="A656" s="1" t="s">
        <v>934</v>
      </c>
      <c r="B656" s="13" t="str">
        <f t="shared" si="1"/>
        <v>Damaris</v>
      </c>
      <c r="C656" s="13" t="str">
        <f t="shared" si="2"/>
        <v>Johnson</v>
      </c>
      <c r="D656" s="13" t="str">
        <f t="shared" si="3"/>
        <v>#N/A</v>
      </c>
      <c r="E656" s="1" t="s">
        <v>69</v>
      </c>
    </row>
    <row r="657" ht="15.75" customHeight="1">
      <c r="A657" s="1" t="s">
        <v>935</v>
      </c>
      <c r="B657" s="13" t="str">
        <f t="shared" si="1"/>
        <v>DaMarkus</v>
      </c>
      <c r="C657" s="13" t="str">
        <f t="shared" si="2"/>
        <v>Lodge</v>
      </c>
      <c r="D657" s="13" t="str">
        <f t="shared" si="3"/>
        <v>#N/A</v>
      </c>
      <c r="E657" s="1" t="s">
        <v>69</v>
      </c>
    </row>
    <row r="658" ht="15.75" customHeight="1">
      <c r="A658" s="1" t="s">
        <v>936</v>
      </c>
      <c r="B658" s="13" t="str">
        <f t="shared" si="1"/>
        <v>Damarr</v>
      </c>
      <c r="C658" s="13" t="str">
        <f t="shared" si="2"/>
        <v>Aultman</v>
      </c>
      <c r="D658" s="13" t="str">
        <f t="shared" si="3"/>
        <v>#N/A</v>
      </c>
      <c r="E658" s="1" t="s">
        <v>69</v>
      </c>
    </row>
    <row r="659" ht="15.75" customHeight="1">
      <c r="A659" s="1" t="s">
        <v>937</v>
      </c>
      <c r="B659" s="13" t="str">
        <f t="shared" si="1"/>
        <v>Dameon</v>
      </c>
      <c r="C659" s="13" t="str">
        <f t="shared" si="2"/>
        <v>Pierce</v>
      </c>
      <c r="D659" s="13" t="str">
        <f t="shared" si="3"/>
        <v>#N/A</v>
      </c>
      <c r="E659" s="1" t="s">
        <v>66</v>
      </c>
    </row>
    <row r="660" ht="15.75" customHeight="1">
      <c r="A660" s="1" t="s">
        <v>938</v>
      </c>
      <c r="B660" s="13" t="str">
        <f t="shared" si="1"/>
        <v>Damian</v>
      </c>
      <c r="C660" s="13" t="str">
        <f t="shared" si="2"/>
        <v>Copeland</v>
      </c>
      <c r="D660" s="13" t="str">
        <f t="shared" si="3"/>
        <v>#N/A</v>
      </c>
      <c r="E660" s="1" t="s">
        <v>69</v>
      </c>
    </row>
    <row r="661" ht="15.75" customHeight="1">
      <c r="A661" s="1" t="s">
        <v>939</v>
      </c>
      <c r="B661" s="13" t="str">
        <f t="shared" si="1"/>
        <v>Damian</v>
      </c>
      <c r="C661" s="13" t="str">
        <f t="shared" si="2"/>
        <v>Williams</v>
      </c>
      <c r="D661" s="13" t="str">
        <f t="shared" si="3"/>
        <v>#N/A</v>
      </c>
      <c r="E661" s="1" t="s">
        <v>69</v>
      </c>
    </row>
    <row r="662" ht="15.75" customHeight="1">
      <c r="A662" s="1" t="s">
        <v>127</v>
      </c>
      <c r="B662" s="13" t="str">
        <f t="shared" si="1"/>
        <v>Damien</v>
      </c>
      <c r="C662" s="13" t="str">
        <f t="shared" si="2"/>
        <v>Harris</v>
      </c>
      <c r="D662" s="13" t="str">
        <f t="shared" si="3"/>
        <v>#N/A</v>
      </c>
      <c r="E662" s="1" t="s">
        <v>66</v>
      </c>
    </row>
    <row r="663" ht="15.75" customHeight="1">
      <c r="A663" s="1" t="s">
        <v>941</v>
      </c>
      <c r="B663" s="13" t="str">
        <f t="shared" si="1"/>
        <v>Damien</v>
      </c>
      <c r="C663" s="13" t="str">
        <f t="shared" si="2"/>
        <v>Martinez</v>
      </c>
      <c r="D663" s="13" t="str">
        <f t="shared" si="3"/>
        <v>#N/A</v>
      </c>
      <c r="E663" s="1" t="s">
        <v>66</v>
      </c>
    </row>
    <row r="664" ht="15.75" customHeight="1">
      <c r="A664" s="1" t="s">
        <v>942</v>
      </c>
      <c r="B664" s="13" t="str">
        <f t="shared" si="1"/>
        <v>Damien</v>
      </c>
      <c r="C664" s="13" t="str">
        <f t="shared" si="2"/>
        <v>Moore</v>
      </c>
      <c r="D664" s="13" t="str">
        <f t="shared" si="3"/>
        <v>#N/A</v>
      </c>
      <c r="E664" s="1" t="s">
        <v>66</v>
      </c>
    </row>
    <row r="665" ht="15.75" customHeight="1">
      <c r="A665" s="1" t="s">
        <v>943</v>
      </c>
      <c r="B665" s="13" t="str">
        <f t="shared" si="1"/>
        <v>Damien</v>
      </c>
      <c r="C665" s="13" t="str">
        <f t="shared" si="2"/>
        <v>Williams</v>
      </c>
      <c r="D665" s="13" t="str">
        <f t="shared" si="3"/>
        <v>#N/A</v>
      </c>
      <c r="E665" s="1" t="s">
        <v>66</v>
      </c>
    </row>
    <row r="666" ht="15.75" customHeight="1">
      <c r="A666" s="1" t="s">
        <v>945</v>
      </c>
      <c r="B666" s="13" t="str">
        <f t="shared" si="1"/>
        <v>Damiere</v>
      </c>
      <c r="C666" s="13" t="str">
        <f t="shared" si="2"/>
        <v>Byrd</v>
      </c>
      <c r="D666" s="13" t="str">
        <f t="shared" si="3"/>
        <v>#N/A</v>
      </c>
      <c r="E666" s="1" t="s">
        <v>69</v>
      </c>
    </row>
    <row r="667" ht="15.75" customHeight="1">
      <c r="A667" s="1" t="s">
        <v>946</v>
      </c>
      <c r="B667" s="13" t="str">
        <f t="shared" si="1"/>
        <v>Damion</v>
      </c>
      <c r="C667" s="13" t="str">
        <f t="shared" si="2"/>
        <v>Jeanpiere</v>
      </c>
      <c r="D667" s="13" t="str">
        <f t="shared" si="3"/>
        <v>#N/A</v>
      </c>
      <c r="E667" s="1" t="s">
        <v>69</v>
      </c>
    </row>
    <row r="668" ht="15.75" customHeight="1">
      <c r="A668" s="1" t="s">
        <v>947</v>
      </c>
      <c r="B668" s="13" t="str">
        <f t="shared" si="1"/>
        <v>Damion</v>
      </c>
      <c r="C668" s="13" t="str">
        <f t="shared" si="2"/>
        <v>Ratley</v>
      </c>
      <c r="D668" s="13" t="str">
        <f t="shared" si="3"/>
        <v>#N/A</v>
      </c>
      <c r="E668" s="1" t="s">
        <v>69</v>
      </c>
    </row>
    <row r="669" ht="15.75" customHeight="1">
      <c r="A669" s="1" t="s">
        <v>949</v>
      </c>
      <c r="B669" s="13" t="str">
        <f t="shared" si="1"/>
        <v>Damion</v>
      </c>
      <c r="C669" s="13" t="str">
        <f t="shared" si="2"/>
        <v>Willis</v>
      </c>
      <c r="D669" s="13" t="str">
        <f t="shared" si="3"/>
        <v>#N/A</v>
      </c>
      <c r="E669" s="1" t="s">
        <v>69</v>
      </c>
    </row>
    <row r="670" ht="15.75" customHeight="1">
      <c r="A670" s="1" t="s">
        <v>950</v>
      </c>
      <c r="B670" s="13" t="str">
        <f t="shared" si="1"/>
        <v>Damon</v>
      </c>
      <c r="C670" s="13" t="str">
        <f t="shared" si="2"/>
        <v>Hazelton</v>
      </c>
      <c r="D670" s="13" t="str">
        <f t="shared" si="3"/>
        <v>#N/A</v>
      </c>
      <c r="E670" s="1" t="s">
        <v>69</v>
      </c>
    </row>
    <row r="671" ht="15.75" customHeight="1">
      <c r="A671" s="1" t="s">
        <v>951</v>
      </c>
      <c r="B671" s="13" t="str">
        <f t="shared" si="1"/>
        <v>Damon</v>
      </c>
      <c r="C671" s="13" t="str">
        <f t="shared" si="2"/>
        <v>Sheehy-Guiseppi</v>
      </c>
      <c r="D671" s="13" t="str">
        <f t="shared" si="3"/>
        <v>#N/A</v>
      </c>
      <c r="E671" s="1" t="s">
        <v>69</v>
      </c>
    </row>
    <row r="672" ht="15.75" customHeight="1">
      <c r="A672" s="1" t="s">
        <v>953</v>
      </c>
      <c r="B672" s="13" t="str">
        <f t="shared" si="1"/>
        <v>Damond</v>
      </c>
      <c r="C672" s="13" t="str">
        <f t="shared" si="2"/>
        <v>Powell</v>
      </c>
      <c r="D672" s="13" t="str">
        <f t="shared" si="3"/>
        <v>#N/A</v>
      </c>
      <c r="E672" s="1" t="s">
        <v>69</v>
      </c>
    </row>
    <row r="673" ht="15.75" customHeight="1">
      <c r="A673" s="1" t="s">
        <v>954</v>
      </c>
      <c r="B673" s="13" t="str">
        <f t="shared" si="1"/>
        <v>Damonte</v>
      </c>
      <c r="C673" s="13" t="str">
        <f t="shared" si="2"/>
        <v>Coxie</v>
      </c>
      <c r="D673" s="13" t="str">
        <f t="shared" si="3"/>
        <v>#N/A</v>
      </c>
      <c r="E673" s="1" t="s">
        <v>69</v>
      </c>
    </row>
    <row r="674" ht="15.75" customHeight="1">
      <c r="A674" s="1" t="s">
        <v>956</v>
      </c>
      <c r="B674" s="13" t="str">
        <f t="shared" si="1"/>
        <v>Damore'ea</v>
      </c>
      <c r="C674" s="13" t="str">
        <f t="shared" si="2"/>
        <v>Stringfellow</v>
      </c>
      <c r="D674" s="13" t="str">
        <f t="shared" si="3"/>
        <v>#N/A</v>
      </c>
      <c r="E674" s="1" t="s">
        <v>69</v>
      </c>
    </row>
    <row r="675" ht="15.75" customHeight="1">
      <c r="A675" s="1" t="s">
        <v>957</v>
      </c>
      <c r="B675" s="13" t="str">
        <f t="shared" si="1"/>
        <v>Damoun</v>
      </c>
      <c r="C675" s="13" t="str">
        <f t="shared" si="2"/>
        <v>Patterson</v>
      </c>
      <c r="D675" s="13" t="str">
        <f t="shared" si="3"/>
        <v>#N/A</v>
      </c>
      <c r="E675" s="1" t="s">
        <v>69</v>
      </c>
    </row>
    <row r="676" ht="15.75" customHeight="1">
      <c r="A676" s="1" t="s">
        <v>958</v>
      </c>
      <c r="B676" s="13" t="str">
        <f t="shared" si="1"/>
        <v>Dan</v>
      </c>
      <c r="C676" s="13" t="str">
        <f t="shared" si="2"/>
        <v>Arnold</v>
      </c>
      <c r="D676" s="13" t="str">
        <f t="shared" si="3"/>
        <v>#N/A</v>
      </c>
      <c r="E676" s="1" t="s">
        <v>68</v>
      </c>
    </row>
    <row r="677" ht="15.75" customHeight="1">
      <c r="A677" s="1" t="s">
        <v>959</v>
      </c>
      <c r="B677" s="13" t="str">
        <f t="shared" si="1"/>
        <v>Dan</v>
      </c>
      <c r="C677" s="13" t="str">
        <f t="shared" si="2"/>
        <v>Bailey</v>
      </c>
      <c r="D677" s="13" t="str">
        <f t="shared" si="3"/>
        <v>#N/A</v>
      </c>
      <c r="E677" s="1" t="s">
        <v>64</v>
      </c>
    </row>
    <row r="678" ht="15.75" customHeight="1">
      <c r="A678" s="1" t="s">
        <v>960</v>
      </c>
      <c r="B678" s="13" t="str">
        <f t="shared" si="1"/>
        <v>Dan</v>
      </c>
      <c r="C678" s="13" t="str">
        <f t="shared" si="2"/>
        <v>Chisena</v>
      </c>
      <c r="D678" s="13" t="str">
        <f t="shared" si="3"/>
        <v>#N/A</v>
      </c>
      <c r="E678" s="1" t="s">
        <v>69</v>
      </c>
    </row>
    <row r="679" ht="15.75" customHeight="1">
      <c r="A679" s="1" t="s">
        <v>961</v>
      </c>
      <c r="B679" s="13" t="str">
        <f t="shared" si="1"/>
        <v>Dan</v>
      </c>
      <c r="C679" s="13" t="str">
        <f t="shared" si="2"/>
        <v>Herron</v>
      </c>
      <c r="D679" s="13" t="str">
        <f t="shared" si="3"/>
        <v>#N/A</v>
      </c>
      <c r="E679" s="1" t="s">
        <v>66</v>
      </c>
    </row>
    <row r="680" ht="15.75" customHeight="1">
      <c r="A680" s="1" t="s">
        <v>962</v>
      </c>
      <c r="B680" s="13" t="str">
        <f t="shared" si="1"/>
        <v>Dan</v>
      </c>
      <c r="C680" s="13" t="str">
        <f t="shared" si="2"/>
        <v>Orlovsky</v>
      </c>
      <c r="D680" s="13" t="str">
        <f t="shared" si="3"/>
        <v>#N/A</v>
      </c>
      <c r="E680" s="1" t="s">
        <v>65</v>
      </c>
    </row>
    <row r="681" ht="15.75" customHeight="1">
      <c r="A681" s="1" t="s">
        <v>963</v>
      </c>
      <c r="B681" s="13" t="str">
        <f t="shared" si="1"/>
        <v>Dan</v>
      </c>
      <c r="C681" s="13" t="str">
        <f t="shared" si="2"/>
        <v>Vitale</v>
      </c>
      <c r="D681" s="13" t="str">
        <f t="shared" si="3"/>
        <v>#N/A</v>
      </c>
      <c r="E681" s="1" t="s">
        <v>66</v>
      </c>
    </row>
    <row r="682" ht="15.75" customHeight="1">
      <c r="A682" s="1" t="s">
        <v>964</v>
      </c>
      <c r="B682" s="13" t="str">
        <f t="shared" si="1"/>
        <v>Danario</v>
      </c>
      <c r="C682" s="13" t="str">
        <f t="shared" si="2"/>
        <v>Alexander</v>
      </c>
      <c r="D682" s="13" t="str">
        <f t="shared" si="3"/>
        <v>#N/A</v>
      </c>
      <c r="E682" s="1" t="s">
        <v>69</v>
      </c>
    </row>
    <row r="683" ht="15.75" customHeight="1">
      <c r="A683" s="1" t="s">
        <v>222</v>
      </c>
      <c r="B683" s="13" t="str">
        <f t="shared" si="1"/>
        <v>D'Andre</v>
      </c>
      <c r="C683" s="13" t="str">
        <f t="shared" si="2"/>
        <v>Swift</v>
      </c>
      <c r="D683" s="13" t="str">
        <f t="shared" si="3"/>
        <v>#N/A</v>
      </c>
      <c r="E683" s="1" t="s">
        <v>66</v>
      </c>
    </row>
    <row r="684" ht="15.75" customHeight="1">
      <c r="A684" s="1" t="s">
        <v>966</v>
      </c>
      <c r="B684" s="13" t="str">
        <f t="shared" si="1"/>
        <v>Dane</v>
      </c>
      <c r="C684" s="13" t="str">
        <f t="shared" si="2"/>
        <v>Key</v>
      </c>
      <c r="D684" s="13" t="str">
        <f t="shared" si="3"/>
        <v>#N/A</v>
      </c>
      <c r="E684" s="1" t="s">
        <v>69</v>
      </c>
    </row>
    <row r="685" ht="15.75" customHeight="1">
      <c r="A685" s="1" t="s">
        <v>967</v>
      </c>
      <c r="B685" s="13" t="str">
        <f t="shared" si="1"/>
        <v>Dane</v>
      </c>
      <c r="C685" s="13" t="str">
        <f t="shared" si="2"/>
        <v>Sanzenbacher</v>
      </c>
      <c r="D685" s="13" t="str">
        <f t="shared" si="3"/>
        <v>#N/A</v>
      </c>
      <c r="E685" s="1" t="s">
        <v>69</v>
      </c>
    </row>
    <row r="686" ht="15.75" customHeight="1">
      <c r="A686" s="1" t="s">
        <v>968</v>
      </c>
      <c r="B686" s="13" t="str">
        <f t="shared" si="1"/>
        <v>Daniel</v>
      </c>
      <c r="C686" s="13" t="str">
        <f t="shared" si="2"/>
        <v>Bellinger</v>
      </c>
      <c r="D686" s="13" t="str">
        <f t="shared" si="3"/>
        <v>#N/A</v>
      </c>
      <c r="E686" s="1" t="s">
        <v>68</v>
      </c>
    </row>
    <row r="687" ht="15.75" customHeight="1">
      <c r="A687" s="1" t="s">
        <v>970</v>
      </c>
      <c r="B687" s="13" t="str">
        <f t="shared" si="1"/>
        <v>Daniel</v>
      </c>
      <c r="C687" s="13" t="str">
        <f t="shared" si="2"/>
        <v>Braverman</v>
      </c>
      <c r="D687" s="13" t="str">
        <f t="shared" si="3"/>
        <v>#N/A</v>
      </c>
      <c r="E687" s="1" t="s">
        <v>69</v>
      </c>
    </row>
    <row r="688" ht="15.75" customHeight="1">
      <c r="A688" s="1" t="s">
        <v>971</v>
      </c>
      <c r="B688" s="13" t="str">
        <f t="shared" si="1"/>
        <v>Daniel</v>
      </c>
      <c r="C688" s="13" t="str">
        <f t="shared" si="2"/>
        <v>Brown</v>
      </c>
      <c r="D688" s="13" t="str">
        <f t="shared" si="3"/>
        <v>#N/A</v>
      </c>
      <c r="E688" s="1" t="s">
        <v>68</v>
      </c>
    </row>
    <row r="689" ht="15.75" customHeight="1">
      <c r="A689" s="1" t="s">
        <v>377</v>
      </c>
      <c r="B689" s="13" t="str">
        <f t="shared" si="1"/>
        <v>Daniel</v>
      </c>
      <c r="C689" s="13" t="str">
        <f t="shared" si="2"/>
        <v>Carlson</v>
      </c>
      <c r="D689" s="13" t="str">
        <f t="shared" si="3"/>
        <v>#N/A</v>
      </c>
      <c r="E689" s="1" t="s">
        <v>64</v>
      </c>
    </row>
    <row r="690" ht="15.75" customHeight="1">
      <c r="A690" s="1" t="s">
        <v>973</v>
      </c>
      <c r="B690" s="13" t="str">
        <f t="shared" si="1"/>
        <v>Daniel</v>
      </c>
      <c r="C690" s="13" t="str">
        <f t="shared" si="2"/>
        <v>Fells</v>
      </c>
      <c r="D690" s="13" t="str">
        <f t="shared" si="3"/>
        <v>#N/A</v>
      </c>
      <c r="E690" s="1" t="s">
        <v>68</v>
      </c>
    </row>
    <row r="691" ht="15.75" customHeight="1">
      <c r="A691" s="1" t="s">
        <v>974</v>
      </c>
      <c r="B691" s="13" t="str">
        <f t="shared" si="1"/>
        <v>Daniel</v>
      </c>
      <c r="C691" s="13" t="str">
        <f t="shared" si="2"/>
        <v>Helm</v>
      </c>
      <c r="D691" s="13" t="str">
        <f t="shared" si="3"/>
        <v>#N/A</v>
      </c>
      <c r="E691" s="1" t="s">
        <v>68</v>
      </c>
    </row>
    <row r="692" ht="15.75" customHeight="1">
      <c r="A692" s="1" t="s">
        <v>810</v>
      </c>
      <c r="B692" s="13" t="str">
        <f t="shared" si="1"/>
        <v>Daniel</v>
      </c>
      <c r="C692" s="13" t="str">
        <f t="shared" si="2"/>
        <v>Jones</v>
      </c>
      <c r="D692" s="13" t="str">
        <f t="shared" si="3"/>
        <v>#N/A</v>
      </c>
      <c r="E692" s="1" t="s">
        <v>65</v>
      </c>
    </row>
    <row r="693" ht="15.75" customHeight="1">
      <c r="A693" s="1" t="s">
        <v>975</v>
      </c>
      <c r="B693" s="13" t="str">
        <f t="shared" si="1"/>
        <v>Daniel</v>
      </c>
      <c r="C693" s="13" t="str">
        <f t="shared" si="2"/>
        <v>Lasco</v>
      </c>
      <c r="D693" s="13" t="str">
        <f t="shared" si="3"/>
        <v>#N/A</v>
      </c>
      <c r="E693" s="1" t="s">
        <v>66</v>
      </c>
    </row>
    <row r="694" ht="15.75" customHeight="1">
      <c r="A694" s="1" t="s">
        <v>976</v>
      </c>
      <c r="B694" s="13" t="str">
        <f t="shared" si="1"/>
        <v>Daniel</v>
      </c>
      <c r="C694" s="13" t="str">
        <f t="shared" si="2"/>
        <v>Thomas</v>
      </c>
      <c r="D694" s="13" t="str">
        <f t="shared" si="3"/>
        <v>#N/A</v>
      </c>
      <c r="E694" s="1" t="s">
        <v>66</v>
      </c>
    </row>
    <row r="695" ht="15.75" customHeight="1">
      <c r="A695" s="1" t="s">
        <v>977</v>
      </c>
      <c r="B695" s="13" t="str">
        <f t="shared" si="1"/>
        <v>Daniel</v>
      </c>
      <c r="C695" s="13" t="str">
        <f t="shared" si="2"/>
        <v>Williams</v>
      </c>
      <c r="D695" s="13" t="str">
        <f t="shared" si="3"/>
        <v>#N/A</v>
      </c>
      <c r="E695" s="1" t="s">
        <v>69</v>
      </c>
    </row>
    <row r="696" ht="15.75" customHeight="1">
      <c r="A696" s="1" t="s">
        <v>978</v>
      </c>
      <c r="B696" s="13" t="str">
        <f t="shared" si="1"/>
        <v>Danny</v>
      </c>
      <c r="C696" s="13" t="str">
        <f t="shared" si="2"/>
        <v>Amendola</v>
      </c>
      <c r="D696" s="13" t="str">
        <f t="shared" si="3"/>
        <v>#N/A</v>
      </c>
      <c r="E696" s="1" t="s">
        <v>69</v>
      </c>
    </row>
    <row r="697" ht="15.75" customHeight="1">
      <c r="A697" s="1" t="s">
        <v>979</v>
      </c>
      <c r="B697" s="13" t="str">
        <f t="shared" si="1"/>
        <v>Danny</v>
      </c>
      <c r="C697" s="13" t="str">
        <f t="shared" si="2"/>
        <v>Coale</v>
      </c>
      <c r="D697" s="13" t="str">
        <f t="shared" si="3"/>
        <v>#N/A</v>
      </c>
      <c r="E697" s="1" t="s">
        <v>69</v>
      </c>
    </row>
    <row r="698" ht="15.75" customHeight="1">
      <c r="A698" s="1" t="s">
        <v>980</v>
      </c>
      <c r="B698" s="13" t="str">
        <f t="shared" si="1"/>
        <v>Danny</v>
      </c>
      <c r="C698" s="13" t="str">
        <f t="shared" si="2"/>
        <v>Etling</v>
      </c>
      <c r="D698" s="13" t="str">
        <f t="shared" si="3"/>
        <v>#N/A</v>
      </c>
      <c r="E698" s="1" t="s">
        <v>65</v>
      </c>
    </row>
    <row r="699" ht="15.75" customHeight="1">
      <c r="A699" s="1" t="s">
        <v>981</v>
      </c>
      <c r="B699" s="13" t="str">
        <f t="shared" si="1"/>
        <v>Danny</v>
      </c>
      <c r="C699" s="13" t="str">
        <f t="shared" si="2"/>
        <v>Gray</v>
      </c>
      <c r="D699" s="13" t="str">
        <f t="shared" si="3"/>
        <v>#N/A</v>
      </c>
      <c r="E699" s="1" t="s">
        <v>69</v>
      </c>
    </row>
    <row r="700" ht="15.75" customHeight="1">
      <c r="A700" s="1" t="s">
        <v>983</v>
      </c>
      <c r="B700" s="13" t="str">
        <f t="shared" si="1"/>
        <v>Danny</v>
      </c>
      <c r="C700" s="13" t="str">
        <f t="shared" si="2"/>
        <v>Woodhead</v>
      </c>
      <c r="D700" s="13" t="str">
        <f t="shared" si="3"/>
        <v>#N/A</v>
      </c>
      <c r="E700" s="1" t="s">
        <v>66</v>
      </c>
    </row>
    <row r="701" ht="15.75" customHeight="1">
      <c r="A701" s="1" t="s">
        <v>984</v>
      </c>
      <c r="B701" s="13" t="str">
        <f t="shared" si="1"/>
        <v>Dante</v>
      </c>
      <c r="C701" s="13" t="str">
        <f t="shared" si="2"/>
        <v>Pettis</v>
      </c>
      <c r="D701" s="13" t="str">
        <f t="shared" si="3"/>
        <v>#N/A</v>
      </c>
      <c r="E701" s="1" t="s">
        <v>69</v>
      </c>
    </row>
    <row r="702" ht="15.75" customHeight="1">
      <c r="A702" s="1" t="s">
        <v>986</v>
      </c>
      <c r="B702" s="13" t="str">
        <f t="shared" si="1"/>
        <v>Dante</v>
      </c>
      <c r="C702" s="13" t="str">
        <f t="shared" si="2"/>
        <v>Rosario</v>
      </c>
      <c r="D702" s="13" t="str">
        <f t="shared" si="3"/>
        <v>#N/A</v>
      </c>
      <c r="E702" s="1" t="s">
        <v>68</v>
      </c>
    </row>
    <row r="703" ht="15.75" customHeight="1">
      <c r="A703" s="1" t="s">
        <v>987</v>
      </c>
      <c r="B703" s="13" t="str">
        <f t="shared" si="1"/>
        <v>Dante</v>
      </c>
      <c r="C703" s="13" t="str">
        <f t="shared" si="2"/>
        <v>Wright</v>
      </c>
      <c r="D703" s="13" t="str">
        <f t="shared" si="3"/>
        <v>#N/A</v>
      </c>
      <c r="E703" s="1" t="s">
        <v>69</v>
      </c>
    </row>
    <row r="704" ht="15.75" customHeight="1">
      <c r="A704" s="1" t="s">
        <v>988</v>
      </c>
      <c r="B704" s="13" t="str">
        <f t="shared" si="1"/>
        <v>Dare</v>
      </c>
      <c r="C704" s="13" t="str">
        <f t="shared" si="2"/>
        <v>Ogunbowale</v>
      </c>
      <c r="D704" s="13" t="str">
        <f t="shared" si="3"/>
        <v>#N/A</v>
      </c>
      <c r="E704" s="1" t="s">
        <v>66</v>
      </c>
    </row>
    <row r="705" ht="15.75" customHeight="1">
      <c r="A705" s="1" t="s">
        <v>989</v>
      </c>
      <c r="B705" s="13" t="str">
        <f t="shared" si="1"/>
        <v>Dareke</v>
      </c>
      <c r="C705" s="13" t="str">
        <f t="shared" si="2"/>
        <v>Young</v>
      </c>
      <c r="D705" s="13" t="str">
        <f t="shared" si="3"/>
        <v>#N/A</v>
      </c>
      <c r="E705" s="1" t="s">
        <v>69</v>
      </c>
    </row>
    <row r="706" ht="15.75" customHeight="1">
      <c r="A706" s="1" t="s">
        <v>990</v>
      </c>
      <c r="B706" s="13" t="str">
        <f t="shared" si="1"/>
        <v>Da'Rel</v>
      </c>
      <c r="C706" s="13" t="str">
        <f t="shared" si="2"/>
        <v>Scott</v>
      </c>
      <c r="D706" s="13" t="str">
        <f t="shared" si="3"/>
        <v>#N/A</v>
      </c>
      <c r="E706" s="1" t="s">
        <v>66</v>
      </c>
    </row>
    <row r="707" ht="15.75" customHeight="1">
      <c r="A707" s="1" t="s">
        <v>991</v>
      </c>
      <c r="B707" s="13" t="str">
        <f t="shared" si="1"/>
        <v>Da'Rick</v>
      </c>
      <c r="C707" s="13" t="str">
        <f t="shared" si="2"/>
        <v>Rogers</v>
      </c>
      <c r="D707" s="13" t="str">
        <f t="shared" si="3"/>
        <v>#N/A</v>
      </c>
      <c r="E707" s="1" t="s">
        <v>69</v>
      </c>
    </row>
    <row r="708" ht="15.75" customHeight="1">
      <c r="A708" s="1" t="s">
        <v>992</v>
      </c>
      <c r="B708" s="13" t="str">
        <f t="shared" si="1"/>
        <v>Darion</v>
      </c>
      <c r="C708" s="13" t="str">
        <f t="shared" si="2"/>
        <v>Griswold</v>
      </c>
      <c r="D708" s="13" t="str">
        <f t="shared" si="3"/>
        <v>#N/A</v>
      </c>
      <c r="E708" s="1" t="s">
        <v>68</v>
      </c>
    </row>
    <row r="709" ht="15.75" customHeight="1">
      <c r="A709" s="1" t="s">
        <v>993</v>
      </c>
      <c r="B709" s="13" t="str">
        <f t="shared" si="1"/>
        <v>Darius</v>
      </c>
      <c r="C709" s="13" t="str">
        <f t="shared" si="2"/>
        <v>Anderson</v>
      </c>
      <c r="D709" s="13" t="str">
        <f t="shared" si="3"/>
        <v>#N/A</v>
      </c>
      <c r="E709" s="1" t="s">
        <v>66</v>
      </c>
    </row>
    <row r="710" ht="15.75" customHeight="1">
      <c r="A710" s="1" t="s">
        <v>994</v>
      </c>
      <c r="B710" s="13" t="str">
        <f t="shared" si="1"/>
        <v>Darius</v>
      </c>
      <c r="C710" s="13" t="str">
        <f t="shared" si="2"/>
        <v>Bradwell</v>
      </c>
      <c r="D710" s="13" t="str">
        <f t="shared" si="3"/>
        <v>#N/A</v>
      </c>
      <c r="E710" s="1" t="s">
        <v>66</v>
      </c>
    </row>
    <row r="711" ht="15.75" customHeight="1">
      <c r="A711" s="1" t="s">
        <v>995</v>
      </c>
      <c r="B711" s="13" t="str">
        <f t="shared" si="1"/>
        <v>Darius</v>
      </c>
      <c r="C711" s="13" t="str">
        <f t="shared" si="2"/>
        <v>Davis</v>
      </c>
      <c r="D711" s="13" t="str">
        <f t="shared" si="3"/>
        <v>#N/A</v>
      </c>
      <c r="E711" s="1" t="s">
        <v>69</v>
      </c>
    </row>
    <row r="712" ht="15.75" customHeight="1">
      <c r="A712" s="1" t="s">
        <v>996</v>
      </c>
      <c r="B712" s="13" t="str">
        <f t="shared" si="1"/>
        <v>Darius</v>
      </c>
      <c r="C712" s="13" t="str">
        <f t="shared" si="2"/>
        <v>Jackson</v>
      </c>
      <c r="D712" s="13" t="str">
        <f t="shared" si="3"/>
        <v>#N/A</v>
      </c>
      <c r="E712" s="1" t="s">
        <v>66</v>
      </c>
    </row>
    <row r="713" ht="15.75" customHeight="1">
      <c r="A713" s="1" t="s">
        <v>997</v>
      </c>
      <c r="B713" s="13" t="str">
        <f t="shared" si="1"/>
        <v>Darius</v>
      </c>
      <c r="C713" s="13" t="str">
        <f t="shared" si="2"/>
        <v>Jennings</v>
      </c>
      <c r="D713" s="13" t="str">
        <f t="shared" si="3"/>
        <v>#N/A</v>
      </c>
      <c r="E713" s="1" t="s">
        <v>69</v>
      </c>
    </row>
    <row r="714" ht="15.75" customHeight="1">
      <c r="A714" s="1" t="s">
        <v>998</v>
      </c>
      <c r="B714" s="13" t="str">
        <f t="shared" si="1"/>
        <v>Darius</v>
      </c>
      <c r="C714" s="13" t="str">
        <f t="shared" si="2"/>
        <v>Johnson</v>
      </c>
      <c r="D714" s="13" t="str">
        <f t="shared" si="3"/>
        <v>#N/A</v>
      </c>
      <c r="E714" s="1" t="s">
        <v>69</v>
      </c>
    </row>
    <row r="715" ht="15.75" customHeight="1">
      <c r="A715" s="1" t="s">
        <v>999</v>
      </c>
      <c r="B715" s="13" t="str">
        <f t="shared" si="1"/>
        <v>Darius</v>
      </c>
      <c r="C715" s="13" t="str">
        <f t="shared" si="2"/>
        <v>Powe</v>
      </c>
      <c r="D715" s="13" t="str">
        <f t="shared" si="3"/>
        <v>#N/A</v>
      </c>
      <c r="E715" s="1" t="s">
        <v>69</v>
      </c>
    </row>
    <row r="716" ht="15.75" customHeight="1">
      <c r="A716" s="1" t="s">
        <v>711</v>
      </c>
      <c r="B716" s="13" t="str">
        <f t="shared" si="1"/>
        <v>Darius</v>
      </c>
      <c r="C716" s="13" t="str">
        <f t="shared" si="2"/>
        <v>Slayton</v>
      </c>
      <c r="D716" s="13" t="str">
        <f t="shared" si="3"/>
        <v>#N/A</v>
      </c>
      <c r="E716" s="1" t="s">
        <v>69</v>
      </c>
    </row>
    <row r="717" ht="15.75" customHeight="1">
      <c r="A717" s="1" t="s">
        <v>1001</v>
      </c>
      <c r="B717" s="13" t="str">
        <f t="shared" si="1"/>
        <v>Darius</v>
      </c>
      <c r="C717" s="13" t="str">
        <f t="shared" si="2"/>
        <v>Victor</v>
      </c>
      <c r="D717" s="13" t="str">
        <f t="shared" si="3"/>
        <v>#N/A</v>
      </c>
      <c r="E717" s="1" t="s">
        <v>66</v>
      </c>
    </row>
    <row r="718" ht="15.75" customHeight="1">
      <c r="A718" s="1" t="s">
        <v>1002</v>
      </c>
      <c r="B718" s="13" t="str">
        <f t="shared" si="1"/>
        <v>Darnell</v>
      </c>
      <c r="C718" s="13" t="str">
        <f t="shared" si="2"/>
        <v>Holland</v>
      </c>
      <c r="D718" s="13" t="str">
        <f t="shared" si="3"/>
        <v>#N/A</v>
      </c>
      <c r="E718" s="1" t="s">
        <v>66</v>
      </c>
    </row>
    <row r="719" ht="15.75" customHeight="1">
      <c r="A719" s="1" t="s">
        <v>246</v>
      </c>
      <c r="B719" s="13" t="str">
        <f t="shared" si="1"/>
        <v>Darnell</v>
      </c>
      <c r="C719" s="13" t="str">
        <f t="shared" si="2"/>
        <v>Mooney</v>
      </c>
      <c r="D719" s="13" t="str">
        <f t="shared" si="3"/>
        <v>#N/A</v>
      </c>
      <c r="E719" s="1" t="s">
        <v>69</v>
      </c>
    </row>
    <row r="720" ht="15.75" customHeight="1">
      <c r="A720" s="1" t="s">
        <v>1003</v>
      </c>
      <c r="B720" s="13" t="str">
        <f t="shared" si="1"/>
        <v>Darnell</v>
      </c>
      <c r="C720" s="13" t="str">
        <f t="shared" si="2"/>
        <v>Washington</v>
      </c>
      <c r="D720" s="13" t="str">
        <f t="shared" si="3"/>
        <v>#N/A</v>
      </c>
      <c r="E720" s="1" t="s">
        <v>68</v>
      </c>
    </row>
    <row r="721" ht="15.75" customHeight="1">
      <c r="A721" s="1" t="s">
        <v>1004</v>
      </c>
      <c r="B721" s="13" t="str">
        <f t="shared" si="1"/>
        <v>Darnell</v>
      </c>
      <c r="C721" s="13" t="str">
        <f t="shared" si="2"/>
        <v>Woolfolk</v>
      </c>
      <c r="D721" s="13" t="str">
        <f t="shared" si="3"/>
        <v>#N/A</v>
      </c>
      <c r="E721" s="1" t="s">
        <v>66</v>
      </c>
    </row>
    <row r="722" ht="15.75" customHeight="1">
      <c r="A722" s="1" t="s">
        <v>1005</v>
      </c>
      <c r="B722" s="13" t="str">
        <f t="shared" si="1"/>
        <v>Da'Ron</v>
      </c>
      <c r="C722" s="13" t="str">
        <f t="shared" si="2"/>
        <v>Brown</v>
      </c>
      <c r="D722" s="13" t="str">
        <f t="shared" si="3"/>
        <v>#N/A</v>
      </c>
      <c r="E722" s="1" t="s">
        <v>69</v>
      </c>
    </row>
    <row r="723" ht="15.75" customHeight="1">
      <c r="A723" s="1" t="s">
        <v>1006</v>
      </c>
      <c r="B723" s="13" t="str">
        <f t="shared" si="1"/>
        <v>Darrel</v>
      </c>
      <c r="C723" s="13" t="str">
        <f t="shared" si="2"/>
        <v>Williams</v>
      </c>
      <c r="D723" s="13" t="str">
        <f t="shared" si="3"/>
        <v>#N/A</v>
      </c>
      <c r="E723" s="1" t="s">
        <v>66</v>
      </c>
    </row>
    <row r="724" ht="15.75" customHeight="1">
      <c r="A724" s="1" t="s">
        <v>1008</v>
      </c>
      <c r="B724" s="13" t="str">
        <f t="shared" si="1"/>
        <v>Darrel</v>
      </c>
      <c r="C724" s="13" t="str">
        <f t="shared" si="2"/>
        <v>Young</v>
      </c>
      <c r="D724" s="13" t="str">
        <f t="shared" si="3"/>
        <v>#N/A</v>
      </c>
      <c r="E724" s="1" t="s">
        <v>66</v>
      </c>
    </row>
    <row r="725" ht="15.75" customHeight="1">
      <c r="A725" s="1" t="s">
        <v>1009</v>
      </c>
      <c r="B725" s="13" t="str">
        <f t="shared" si="1"/>
        <v>Darrell</v>
      </c>
      <c r="C725" s="13" t="str">
        <f t="shared" si="2"/>
        <v>Daniels</v>
      </c>
      <c r="D725" s="13" t="str">
        <f t="shared" si="3"/>
        <v>#N/A</v>
      </c>
      <c r="E725" s="1" t="s">
        <v>68</v>
      </c>
    </row>
    <row r="726" ht="15.75" customHeight="1">
      <c r="A726" s="1" t="s">
        <v>1010</v>
      </c>
      <c r="B726" s="13" t="str">
        <f t="shared" si="1"/>
        <v>Darrell</v>
      </c>
      <c r="C726" s="13" t="str">
        <f t="shared" si="2"/>
        <v>Henderson</v>
      </c>
      <c r="D726" s="13" t="str">
        <f t="shared" si="3"/>
        <v>#N/A</v>
      </c>
      <c r="E726" s="1" t="s">
        <v>66</v>
      </c>
    </row>
    <row r="727" ht="15.75" customHeight="1">
      <c r="A727" s="1" t="s">
        <v>1011</v>
      </c>
      <c r="B727" s="13" t="str">
        <f t="shared" si="1"/>
        <v>Darrell</v>
      </c>
      <c r="C727" s="13" t="str">
        <f t="shared" si="2"/>
        <v>Stewart</v>
      </c>
      <c r="D727" s="13" t="str">
        <f t="shared" si="3"/>
        <v>#N/A</v>
      </c>
      <c r="E727" s="1" t="s">
        <v>69</v>
      </c>
    </row>
    <row r="728" ht="15.75" customHeight="1">
      <c r="A728" s="1" t="s">
        <v>1012</v>
      </c>
      <c r="B728" s="13" t="str">
        <f t="shared" si="1"/>
        <v>Darren</v>
      </c>
      <c r="C728" s="13" t="str">
        <f t="shared" si="2"/>
        <v>Andrews</v>
      </c>
      <c r="D728" s="13" t="str">
        <f t="shared" si="3"/>
        <v>#N/A</v>
      </c>
      <c r="E728" s="1" t="s">
        <v>69</v>
      </c>
    </row>
    <row r="729" ht="15.75" customHeight="1">
      <c r="A729" s="1" t="s">
        <v>1013</v>
      </c>
      <c r="B729" s="13" t="str">
        <f t="shared" si="1"/>
        <v>Darren</v>
      </c>
      <c r="C729" s="13" t="str">
        <f t="shared" si="2"/>
        <v>Carrington</v>
      </c>
      <c r="D729" s="13" t="str">
        <f t="shared" si="3"/>
        <v>#N/A</v>
      </c>
      <c r="E729" s="1" t="s">
        <v>69</v>
      </c>
    </row>
    <row r="730" ht="15.75" customHeight="1">
      <c r="A730" s="1" t="s">
        <v>1014</v>
      </c>
      <c r="B730" s="13" t="str">
        <f t="shared" si="1"/>
        <v>Darren</v>
      </c>
      <c r="C730" s="13" t="str">
        <f t="shared" si="2"/>
        <v>Fells</v>
      </c>
      <c r="D730" s="13" t="str">
        <f t="shared" si="3"/>
        <v>#N/A</v>
      </c>
      <c r="E730" s="1" t="s">
        <v>68</v>
      </c>
    </row>
    <row r="731" ht="15.75" customHeight="1">
      <c r="A731" s="1" t="s">
        <v>1015</v>
      </c>
      <c r="B731" s="13" t="str">
        <f t="shared" si="1"/>
        <v>Darren</v>
      </c>
      <c r="C731" s="13" t="str">
        <f t="shared" si="2"/>
        <v>McFadden</v>
      </c>
      <c r="D731" s="13" t="str">
        <f t="shared" si="3"/>
        <v>#N/A</v>
      </c>
      <c r="E731" s="1" t="s">
        <v>66</v>
      </c>
    </row>
    <row r="732" ht="15.75" customHeight="1">
      <c r="A732" s="1" t="s">
        <v>1016</v>
      </c>
      <c r="B732" s="13" t="str">
        <f t="shared" si="1"/>
        <v>Darren</v>
      </c>
      <c r="C732" s="13" t="str">
        <f t="shared" si="2"/>
        <v>Sproles</v>
      </c>
      <c r="D732" s="13" t="str">
        <f t="shared" si="3"/>
        <v>#N/A</v>
      </c>
      <c r="E732" s="1" t="s">
        <v>66</v>
      </c>
    </row>
    <row r="733" ht="15.75" customHeight="1">
      <c r="A733" s="1" t="s">
        <v>259</v>
      </c>
      <c r="B733" s="13" t="str">
        <f t="shared" si="1"/>
        <v>Darren</v>
      </c>
      <c r="C733" s="13" t="str">
        <f t="shared" si="2"/>
        <v>Waller</v>
      </c>
      <c r="D733" s="13" t="str">
        <f t="shared" si="3"/>
        <v>#N/A</v>
      </c>
      <c r="E733" s="1" t="s">
        <v>68</v>
      </c>
    </row>
    <row r="734" ht="15.75" customHeight="1">
      <c r="A734" s="1" t="s">
        <v>1017</v>
      </c>
      <c r="B734" s="13" t="str">
        <f t="shared" si="1"/>
        <v>Darreus</v>
      </c>
      <c r="C734" s="13" t="str">
        <f t="shared" si="2"/>
        <v>Rogers</v>
      </c>
      <c r="D734" s="13" t="str">
        <f t="shared" si="3"/>
        <v>#N/A</v>
      </c>
      <c r="E734" s="1" t="s">
        <v>69</v>
      </c>
    </row>
    <row r="735" ht="15.75" customHeight="1">
      <c r="A735" s="1" t="s">
        <v>1018</v>
      </c>
      <c r="B735" s="13" t="str">
        <f t="shared" si="1"/>
        <v>Darrin</v>
      </c>
      <c r="C735" s="13" t="str">
        <f t="shared" si="2"/>
        <v>Hall</v>
      </c>
      <c r="D735" s="13" t="str">
        <f t="shared" si="3"/>
        <v>#N/A</v>
      </c>
      <c r="E735" s="1" t="s">
        <v>66</v>
      </c>
    </row>
    <row r="736" ht="15.75" customHeight="1">
      <c r="A736" s="1" t="s">
        <v>1019</v>
      </c>
      <c r="B736" s="13" t="str">
        <f t="shared" si="1"/>
        <v>Darrin</v>
      </c>
      <c r="C736" s="13" t="str">
        <f t="shared" si="2"/>
        <v>Reaves</v>
      </c>
      <c r="D736" s="13" t="str">
        <f t="shared" si="3"/>
        <v>#N/A</v>
      </c>
      <c r="E736" s="1" t="s">
        <v>66</v>
      </c>
    </row>
    <row r="737" ht="15.75" customHeight="1">
      <c r="A737" s="1" t="s">
        <v>1020</v>
      </c>
      <c r="B737" s="13" t="str">
        <f t="shared" si="1"/>
        <v>Darrius</v>
      </c>
      <c r="C737" s="13" t="str">
        <f t="shared" si="2"/>
        <v>Heyward-Bey</v>
      </c>
      <c r="D737" s="13" t="str">
        <f t="shared" si="3"/>
        <v>#N/A</v>
      </c>
      <c r="E737" s="1" t="s">
        <v>69</v>
      </c>
    </row>
    <row r="738" ht="15.75" customHeight="1">
      <c r="A738" s="1" t="s">
        <v>1021</v>
      </c>
      <c r="B738" s="13" t="str">
        <f t="shared" si="1"/>
        <v>Darrius</v>
      </c>
      <c r="C738" s="13" t="str">
        <f t="shared" si="2"/>
        <v>Shepherd</v>
      </c>
      <c r="D738" s="13" t="str">
        <f t="shared" si="3"/>
        <v>#N/A</v>
      </c>
      <c r="E738" s="1" t="s">
        <v>69</v>
      </c>
    </row>
    <row r="739" ht="15.75" customHeight="1">
      <c r="A739" s="1" t="s">
        <v>1022</v>
      </c>
      <c r="B739" s="13" t="str">
        <f t="shared" si="1"/>
        <v>Darryl</v>
      </c>
      <c r="C739" s="13" t="str">
        <f t="shared" si="2"/>
        <v>Surgent</v>
      </c>
      <c r="D739" s="13" t="str">
        <f t="shared" si="3"/>
        <v>#N/A</v>
      </c>
      <c r="E739" s="1" t="s">
        <v>69</v>
      </c>
    </row>
    <row r="740" ht="15.75" customHeight="1">
      <c r="A740" s="1" t="s">
        <v>1023</v>
      </c>
      <c r="B740" s="13" t="str">
        <f t="shared" si="1"/>
        <v>Darrynton</v>
      </c>
      <c r="C740" s="13" t="str">
        <f t="shared" si="2"/>
        <v>Evans</v>
      </c>
      <c r="D740" s="13" t="str">
        <f t="shared" si="3"/>
        <v>#N/A</v>
      </c>
      <c r="E740" s="1" t="s">
        <v>66</v>
      </c>
    </row>
    <row r="741" ht="15.75" customHeight="1">
      <c r="A741" s="1" t="s">
        <v>1024</v>
      </c>
      <c r="B741" s="13" t="str">
        <f t="shared" si="1"/>
        <v>Darvin</v>
      </c>
      <c r="C741" s="13" t="str">
        <f t="shared" si="2"/>
        <v>Kidsy</v>
      </c>
      <c r="D741" s="13" t="str">
        <f t="shared" si="3"/>
        <v>#N/A</v>
      </c>
      <c r="E741" s="1" t="s">
        <v>69</v>
      </c>
    </row>
    <row r="742" ht="15.75" customHeight="1">
      <c r="A742" s="1" t="s">
        <v>1026</v>
      </c>
      <c r="B742" s="13" t="str">
        <f t="shared" si="1"/>
        <v>Darwin</v>
      </c>
      <c r="C742" s="13" t="str">
        <f t="shared" si="2"/>
        <v>Thompson</v>
      </c>
      <c r="D742" s="13" t="str">
        <f t="shared" si="3"/>
        <v>#N/A</v>
      </c>
      <c r="E742" s="1" t="s">
        <v>66</v>
      </c>
    </row>
    <row r="743" ht="15.75" customHeight="1">
      <c r="A743" s="1" t="s">
        <v>1027</v>
      </c>
      <c r="B743" s="13" t="str">
        <f t="shared" si="1"/>
        <v>Daryl</v>
      </c>
      <c r="C743" s="13" t="str">
        <f t="shared" si="2"/>
        <v>Richardson</v>
      </c>
      <c r="D743" s="13" t="str">
        <f t="shared" si="3"/>
        <v>#N/A</v>
      </c>
      <c r="E743" s="1" t="s">
        <v>66</v>
      </c>
    </row>
    <row r="744" ht="15.75" customHeight="1">
      <c r="A744" s="1" t="s">
        <v>1029</v>
      </c>
      <c r="B744" s="13" t="str">
        <f t="shared" si="1"/>
        <v>Datryan</v>
      </c>
      <c r="C744" s="13" t="str">
        <f t="shared" si="2"/>
        <v>Evans</v>
      </c>
      <c r="D744" s="13" t="str">
        <f t="shared" si="3"/>
        <v>#N/A</v>
      </c>
      <c r="E744" s="1" t="s">
        <v>68</v>
      </c>
    </row>
    <row r="745" ht="15.75" customHeight="1">
      <c r="A745" s="1" t="s">
        <v>1031</v>
      </c>
      <c r="B745" s="13" t="str">
        <f t="shared" si="1"/>
        <v>Daurice</v>
      </c>
      <c r="C745" s="13" t="str">
        <f t="shared" si="2"/>
        <v>Fountain</v>
      </c>
      <c r="D745" s="13" t="str">
        <f t="shared" si="3"/>
        <v>#N/A</v>
      </c>
      <c r="E745" s="1" t="s">
        <v>69</v>
      </c>
    </row>
    <row r="746" ht="15.75" customHeight="1">
      <c r="A746" s="1" t="s">
        <v>213</v>
      </c>
      <c r="B746" s="13" t="str">
        <f t="shared" si="1"/>
        <v>Davante</v>
      </c>
      <c r="C746" s="13" t="str">
        <f t="shared" si="2"/>
        <v>Adams</v>
      </c>
      <c r="D746" s="13" t="str">
        <f t="shared" si="3"/>
        <v>#N/A</v>
      </c>
      <c r="E746" s="1" t="s">
        <v>69</v>
      </c>
    </row>
    <row r="747" ht="15.75" customHeight="1">
      <c r="A747" s="1" t="s">
        <v>1032</v>
      </c>
      <c r="B747" s="13" t="str">
        <f t="shared" si="1"/>
        <v>DaVaris</v>
      </c>
      <c r="C747" s="13" t="str">
        <f t="shared" si="2"/>
        <v>Daniels</v>
      </c>
      <c r="D747" s="13" t="str">
        <f t="shared" si="3"/>
        <v>#N/A</v>
      </c>
      <c r="E747" s="1" t="s">
        <v>69</v>
      </c>
    </row>
    <row r="748" ht="15.75" customHeight="1">
      <c r="A748" s="1" t="s">
        <v>1033</v>
      </c>
      <c r="B748" s="13" t="str">
        <f t="shared" si="1"/>
        <v>David</v>
      </c>
      <c r="C748" s="13" t="str">
        <f t="shared" si="2"/>
        <v>Ausberry</v>
      </c>
      <c r="D748" s="13" t="str">
        <f t="shared" si="3"/>
        <v>#N/A</v>
      </c>
      <c r="E748" s="1" t="s">
        <v>68</v>
      </c>
    </row>
    <row r="749" ht="15.75" customHeight="1">
      <c r="A749" s="1" t="s">
        <v>1034</v>
      </c>
      <c r="B749" s="13" t="str">
        <f t="shared" si="1"/>
        <v>David</v>
      </c>
      <c r="C749" s="13" t="str">
        <f t="shared" si="2"/>
        <v>Bell</v>
      </c>
      <c r="D749" s="13" t="str">
        <f t="shared" si="3"/>
        <v>#N/A</v>
      </c>
      <c r="E749" s="1" t="s">
        <v>69</v>
      </c>
    </row>
    <row r="750" ht="15.75" customHeight="1">
      <c r="A750" s="1" t="s">
        <v>1036</v>
      </c>
      <c r="B750" s="13" t="str">
        <f t="shared" si="1"/>
        <v>David</v>
      </c>
      <c r="C750" s="13" t="str">
        <f t="shared" si="2"/>
        <v>Blough</v>
      </c>
      <c r="D750" s="13" t="str">
        <f t="shared" si="3"/>
        <v>#N/A</v>
      </c>
      <c r="E750" s="1" t="s">
        <v>65</v>
      </c>
    </row>
    <row r="751" ht="15.75" customHeight="1">
      <c r="A751" s="1" t="s">
        <v>1037</v>
      </c>
      <c r="B751" s="13" t="str">
        <f t="shared" si="1"/>
        <v>David</v>
      </c>
      <c r="C751" s="13" t="str">
        <f t="shared" si="2"/>
        <v>Cobb</v>
      </c>
      <c r="D751" s="13" t="str">
        <f t="shared" si="3"/>
        <v>#N/A</v>
      </c>
      <c r="E751" s="1" t="s">
        <v>66</v>
      </c>
    </row>
    <row r="752" ht="15.75" customHeight="1">
      <c r="A752" s="1" t="s">
        <v>1038</v>
      </c>
      <c r="B752" s="13" t="str">
        <f t="shared" si="1"/>
        <v>David</v>
      </c>
      <c r="C752" s="13" t="str">
        <f t="shared" si="2"/>
        <v>Fales</v>
      </c>
      <c r="D752" s="13" t="str">
        <f t="shared" si="3"/>
        <v>#N/A</v>
      </c>
      <c r="E752" s="1" t="s">
        <v>65</v>
      </c>
    </row>
    <row r="753" ht="15.75" customHeight="1">
      <c r="A753" s="1" t="s">
        <v>1039</v>
      </c>
      <c r="B753" s="13" t="str">
        <f t="shared" si="1"/>
        <v>David</v>
      </c>
      <c r="C753" s="13" t="str">
        <f t="shared" si="2"/>
        <v>Fluellen</v>
      </c>
      <c r="D753" s="13" t="str">
        <f t="shared" si="3"/>
        <v>#N/A</v>
      </c>
      <c r="E753" s="1" t="s">
        <v>66</v>
      </c>
    </row>
    <row r="754" ht="15.75" customHeight="1">
      <c r="A754" s="1" t="s">
        <v>1040</v>
      </c>
      <c r="B754" s="13" t="str">
        <f t="shared" si="1"/>
        <v>David</v>
      </c>
      <c r="C754" s="13" t="str">
        <f t="shared" si="2"/>
        <v>Gettis</v>
      </c>
      <c r="D754" s="13" t="str">
        <f t="shared" si="3"/>
        <v>#N/A</v>
      </c>
      <c r="E754" s="1" t="s">
        <v>69</v>
      </c>
    </row>
    <row r="755" ht="15.75" customHeight="1">
      <c r="A755" s="1" t="s">
        <v>1041</v>
      </c>
      <c r="B755" s="13" t="str">
        <f t="shared" si="1"/>
        <v>David</v>
      </c>
      <c r="C755" s="13" t="str">
        <f t="shared" si="2"/>
        <v>Grinnage</v>
      </c>
      <c r="D755" s="13" t="str">
        <f t="shared" si="3"/>
        <v>#N/A</v>
      </c>
      <c r="E755" s="1" t="s">
        <v>68</v>
      </c>
    </row>
    <row r="756" ht="15.75" customHeight="1">
      <c r="A756" s="1" t="s">
        <v>133</v>
      </c>
      <c r="B756" s="13" t="str">
        <f t="shared" si="1"/>
        <v>David</v>
      </c>
      <c r="C756" s="13" t="str">
        <f t="shared" si="2"/>
        <v>Johnson</v>
      </c>
      <c r="D756" s="13" t="str">
        <f t="shared" si="3"/>
        <v>#N/A</v>
      </c>
      <c r="E756" s="1" t="s">
        <v>66</v>
      </c>
    </row>
    <row r="757" ht="15.75" customHeight="1">
      <c r="A757" s="1" t="s">
        <v>261</v>
      </c>
      <c r="B757" s="13" t="str">
        <f t="shared" si="1"/>
        <v>David</v>
      </c>
      <c r="C757" s="13" t="str">
        <f t="shared" si="2"/>
        <v>Montgomery</v>
      </c>
      <c r="D757" s="13" t="str">
        <f t="shared" si="3"/>
        <v>#N/A</v>
      </c>
      <c r="E757" s="1" t="s">
        <v>66</v>
      </c>
    </row>
    <row r="758" ht="15.75" customHeight="1">
      <c r="A758" s="1" t="s">
        <v>1042</v>
      </c>
      <c r="B758" s="13" t="str">
        <f t="shared" si="1"/>
        <v>David</v>
      </c>
      <c r="C758" s="13" t="str">
        <f t="shared" si="2"/>
        <v>Moore</v>
      </c>
      <c r="D758" s="13" t="str">
        <f t="shared" si="3"/>
        <v>#N/A</v>
      </c>
      <c r="E758" s="1" t="s">
        <v>69</v>
      </c>
    </row>
    <row r="759" ht="15.75" customHeight="1">
      <c r="A759" s="1" t="s">
        <v>1043</v>
      </c>
      <c r="B759" s="13" t="str">
        <f t="shared" si="1"/>
        <v>David</v>
      </c>
      <c r="C759" s="13" t="str">
        <f t="shared" si="2"/>
        <v>Morgan</v>
      </c>
      <c r="D759" s="13" t="str">
        <f t="shared" si="3"/>
        <v>#N/A</v>
      </c>
      <c r="E759" s="1" t="s">
        <v>68</v>
      </c>
    </row>
    <row r="760" ht="15.75" customHeight="1">
      <c r="A760" s="1" t="s">
        <v>1044</v>
      </c>
      <c r="B760" s="13" t="str">
        <f t="shared" si="1"/>
        <v>David</v>
      </c>
      <c r="C760" s="13" t="str">
        <f t="shared" si="2"/>
        <v>Nelson</v>
      </c>
      <c r="D760" s="13" t="str">
        <f t="shared" si="3"/>
        <v>#N/A</v>
      </c>
      <c r="E760" s="1" t="s">
        <v>69</v>
      </c>
    </row>
    <row r="761" ht="15.75" customHeight="1">
      <c r="A761" s="1" t="s">
        <v>1000</v>
      </c>
      <c r="B761" s="13" t="str">
        <f t="shared" si="1"/>
        <v>David</v>
      </c>
      <c r="C761" s="13" t="str">
        <f t="shared" si="2"/>
        <v>Njoku</v>
      </c>
      <c r="D761" s="13" t="str">
        <f t="shared" si="3"/>
        <v>#N/A</v>
      </c>
      <c r="E761" s="1" t="s">
        <v>68</v>
      </c>
    </row>
    <row r="762" ht="15.75" customHeight="1">
      <c r="A762" s="1" t="s">
        <v>1046</v>
      </c>
      <c r="B762" s="13" t="str">
        <f t="shared" si="1"/>
        <v>David</v>
      </c>
      <c r="C762" s="13" t="str">
        <f t="shared" si="2"/>
        <v>Paulson</v>
      </c>
      <c r="D762" s="13" t="str">
        <f t="shared" si="3"/>
        <v>#N/A</v>
      </c>
      <c r="E762" s="1" t="s">
        <v>68</v>
      </c>
    </row>
    <row r="763" ht="15.75" customHeight="1">
      <c r="A763" s="1" t="s">
        <v>1047</v>
      </c>
      <c r="B763" s="13" t="str">
        <f t="shared" si="1"/>
        <v>David</v>
      </c>
      <c r="C763" s="13" t="str">
        <f t="shared" si="2"/>
        <v>Reed</v>
      </c>
      <c r="D763" s="13" t="str">
        <f t="shared" si="3"/>
        <v>#N/A</v>
      </c>
      <c r="E763" s="1" t="s">
        <v>69</v>
      </c>
    </row>
    <row r="764" ht="15.75" customHeight="1">
      <c r="A764" s="1" t="s">
        <v>1048</v>
      </c>
      <c r="B764" s="13" t="str">
        <f t="shared" si="1"/>
        <v>David</v>
      </c>
      <c r="C764" s="13" t="str">
        <f t="shared" si="2"/>
        <v>Richards</v>
      </c>
      <c r="D764" s="13" t="str">
        <f t="shared" si="3"/>
        <v>#N/A</v>
      </c>
      <c r="E764" s="1" t="s">
        <v>69</v>
      </c>
    </row>
    <row r="765" ht="15.75" customHeight="1">
      <c r="A765" s="1" t="s">
        <v>1049</v>
      </c>
      <c r="B765" s="13" t="str">
        <f t="shared" si="1"/>
        <v>David</v>
      </c>
      <c r="C765" s="13" t="str">
        <f t="shared" si="2"/>
        <v>Sills</v>
      </c>
      <c r="D765" s="13" t="str">
        <f t="shared" si="3"/>
        <v>#N/A</v>
      </c>
      <c r="E765" s="1" t="s">
        <v>69</v>
      </c>
    </row>
    <row r="766" ht="15.75" customHeight="1">
      <c r="A766" s="1" t="s">
        <v>1050</v>
      </c>
      <c r="B766" s="13" t="str">
        <f t="shared" si="1"/>
        <v>David</v>
      </c>
      <c r="C766" s="13" t="str">
        <f t="shared" si="2"/>
        <v>Wells</v>
      </c>
      <c r="D766" s="13" t="str">
        <f t="shared" si="3"/>
        <v>#N/A</v>
      </c>
      <c r="E766" s="1" t="s">
        <v>68</v>
      </c>
    </row>
    <row r="767" ht="15.75" customHeight="1">
      <c r="A767" s="1" t="s">
        <v>1051</v>
      </c>
      <c r="B767" s="13" t="str">
        <f t="shared" si="1"/>
        <v>David</v>
      </c>
      <c r="C767" s="13" t="str">
        <f t="shared" si="2"/>
        <v>Williams</v>
      </c>
      <c r="D767" s="13" t="str">
        <f t="shared" si="3"/>
        <v>#N/A</v>
      </c>
      <c r="E767" s="1" t="s">
        <v>66</v>
      </c>
    </row>
    <row r="768" ht="15.75" customHeight="1">
      <c r="A768" s="1" t="s">
        <v>1052</v>
      </c>
      <c r="B768" s="13" t="str">
        <f t="shared" si="1"/>
        <v>David</v>
      </c>
      <c r="C768" s="13" t="str">
        <f t="shared" si="2"/>
        <v>Wilson</v>
      </c>
      <c r="D768" s="13" t="str">
        <f t="shared" si="3"/>
        <v>#N/A</v>
      </c>
      <c r="E768" s="1" t="s">
        <v>66</v>
      </c>
    </row>
    <row r="769" ht="15.75" customHeight="1">
      <c r="A769" s="1" t="s">
        <v>1053</v>
      </c>
      <c r="B769" s="13" t="str">
        <f t="shared" si="1"/>
        <v>David</v>
      </c>
      <c r="C769" s="13" t="str">
        <f t="shared" si="2"/>
        <v>Wright</v>
      </c>
      <c r="D769" s="13" t="str">
        <f t="shared" si="3"/>
        <v>#N/A</v>
      </c>
      <c r="E769" s="1" t="s">
        <v>68</v>
      </c>
    </row>
    <row r="770" ht="15.75" customHeight="1">
      <c r="A770" s="1" t="s">
        <v>1054</v>
      </c>
      <c r="B770" s="13" t="str">
        <f t="shared" si="1"/>
        <v>Davin</v>
      </c>
      <c r="C770" s="13" t="str">
        <f t="shared" si="2"/>
        <v>Meggett</v>
      </c>
      <c r="D770" s="13" t="str">
        <f t="shared" si="3"/>
        <v>#N/A</v>
      </c>
      <c r="E770" s="1" t="s">
        <v>66</v>
      </c>
    </row>
    <row r="771" ht="15.75" customHeight="1">
      <c r="A771" s="1" t="s">
        <v>1055</v>
      </c>
      <c r="B771" s="13" t="str">
        <f t="shared" si="1"/>
        <v>Davion</v>
      </c>
      <c r="C771" s="13" t="str">
        <f t="shared" si="2"/>
        <v>Davis</v>
      </c>
      <c r="D771" s="13" t="str">
        <f t="shared" si="3"/>
        <v>#N/A</v>
      </c>
      <c r="E771" s="1" t="s">
        <v>69</v>
      </c>
    </row>
    <row r="772" ht="15.75" customHeight="1">
      <c r="A772" s="1" t="s">
        <v>1056</v>
      </c>
      <c r="B772" s="13" t="str">
        <f t="shared" si="1"/>
        <v>Davis</v>
      </c>
      <c r="C772" s="13" t="str">
        <f t="shared" si="2"/>
        <v>Koppenhaver</v>
      </c>
      <c r="D772" s="13" t="str">
        <f t="shared" si="3"/>
        <v>#N/A</v>
      </c>
      <c r="E772" s="1" t="s">
        <v>68</v>
      </c>
    </row>
    <row r="773" ht="15.75" customHeight="1">
      <c r="A773" s="1" t="s">
        <v>1057</v>
      </c>
      <c r="B773" s="13" t="str">
        <f t="shared" si="1"/>
        <v>Davis</v>
      </c>
      <c r="C773" s="13" t="str">
        <f t="shared" si="2"/>
        <v>Mills</v>
      </c>
      <c r="D773" s="13" t="str">
        <f t="shared" si="3"/>
        <v>#N/A</v>
      </c>
      <c r="E773" s="1" t="s">
        <v>65</v>
      </c>
    </row>
    <row r="774" ht="15.75" customHeight="1">
      <c r="A774" s="1" t="s">
        <v>1058</v>
      </c>
      <c r="B774" s="13" t="str">
        <f t="shared" si="1"/>
        <v>Davis</v>
      </c>
      <c r="C774" s="13" t="str">
        <f t="shared" si="2"/>
        <v>Webb</v>
      </c>
      <c r="D774" s="13" t="str">
        <f t="shared" si="3"/>
        <v>#N/A</v>
      </c>
      <c r="E774" s="1" t="s">
        <v>65</v>
      </c>
    </row>
    <row r="775" ht="15.75" customHeight="1">
      <c r="A775" s="1" t="s">
        <v>1059</v>
      </c>
      <c r="B775" s="13" t="str">
        <f t="shared" si="1"/>
        <v>Davon</v>
      </c>
      <c r="C775" s="13" t="str">
        <f t="shared" si="2"/>
        <v>Grayson</v>
      </c>
      <c r="D775" s="13" t="str">
        <f t="shared" si="3"/>
        <v>#N/A</v>
      </c>
      <c r="E775" s="1" t="s">
        <v>69</v>
      </c>
    </row>
    <row r="776" ht="15.75" customHeight="1">
      <c r="A776" s="1" t="s">
        <v>1060</v>
      </c>
      <c r="B776" s="13" t="str">
        <f t="shared" si="1"/>
        <v>Davonte</v>
      </c>
      <c r="C776" s="13" t="str">
        <f t="shared" si="2"/>
        <v>Allen</v>
      </c>
      <c r="D776" s="13" t="str">
        <f t="shared" si="3"/>
        <v>#N/A</v>
      </c>
      <c r="E776" s="1" t="s">
        <v>69</v>
      </c>
    </row>
    <row r="777" ht="15.75" customHeight="1">
      <c r="A777" s="1" t="s">
        <v>1061</v>
      </c>
      <c r="B777" s="13" t="str">
        <f t="shared" si="1"/>
        <v>Da'Wain</v>
      </c>
      <c r="C777" s="13" t="str">
        <f t="shared" si="2"/>
        <v>Lofton</v>
      </c>
      <c r="D777" s="13" t="str">
        <f t="shared" si="3"/>
        <v>#N/A</v>
      </c>
      <c r="E777" s="1" t="s">
        <v>69</v>
      </c>
    </row>
    <row r="778" ht="15.75" customHeight="1">
      <c r="A778" s="1" t="s">
        <v>1062</v>
      </c>
      <c r="B778" s="13" t="str">
        <f t="shared" si="1"/>
        <v>Dawson</v>
      </c>
      <c r="C778" s="13" t="str">
        <f t="shared" si="2"/>
        <v>Knox</v>
      </c>
      <c r="D778" s="13" t="str">
        <f t="shared" si="3"/>
        <v>#N/A</v>
      </c>
      <c r="E778" s="1" t="s">
        <v>68</v>
      </c>
    </row>
    <row r="779" ht="15.75" customHeight="1">
      <c r="A779" s="1" t="s">
        <v>1063</v>
      </c>
      <c r="B779" s="13" t="str">
        <f t="shared" si="1"/>
        <v>Dax</v>
      </c>
      <c r="C779" s="13" t="str">
        <f t="shared" si="2"/>
        <v>Milne</v>
      </c>
      <c r="D779" s="13" t="str">
        <f t="shared" si="3"/>
        <v>#N/A</v>
      </c>
      <c r="E779" s="1" t="s">
        <v>69</v>
      </c>
    </row>
    <row r="780" ht="15.75" customHeight="1">
      <c r="A780" s="1" t="s">
        <v>1064</v>
      </c>
      <c r="B780" s="13" t="str">
        <f t="shared" si="1"/>
        <v>Dax</v>
      </c>
      <c r="C780" s="13" t="str">
        <f t="shared" si="2"/>
        <v>Raymond</v>
      </c>
      <c r="D780" s="13" t="str">
        <f t="shared" si="3"/>
        <v>#N/A</v>
      </c>
      <c r="E780" s="1" t="s">
        <v>68</v>
      </c>
    </row>
    <row r="781" ht="15.75" customHeight="1">
      <c r="A781" s="1" t="s">
        <v>1065</v>
      </c>
      <c r="B781" s="13" t="str">
        <f t="shared" si="1"/>
        <v>Dazz</v>
      </c>
      <c r="C781" s="13" t="str">
        <f t="shared" si="2"/>
        <v>Newsome</v>
      </c>
      <c r="D781" s="13" t="str">
        <f t="shared" si="3"/>
        <v>#N/A</v>
      </c>
      <c r="E781" s="1" t="s">
        <v>69</v>
      </c>
    </row>
    <row r="782" ht="15.75" customHeight="1">
      <c r="A782" s="1" t="s">
        <v>1066</v>
      </c>
      <c r="B782" s="13" t="str">
        <f t="shared" si="1"/>
        <v>DeaMonte</v>
      </c>
      <c r="C782" s="13" t="str">
        <f t="shared" si="2"/>
        <v>Trayanum</v>
      </c>
      <c r="D782" s="13" t="str">
        <f t="shared" si="3"/>
        <v>#N/A</v>
      </c>
      <c r="E782" s="1" t="s">
        <v>66</v>
      </c>
    </row>
    <row r="783" ht="15.75" customHeight="1">
      <c r="A783" s="1" t="s">
        <v>1067</v>
      </c>
      <c r="B783" s="13" t="str">
        <f t="shared" si="1"/>
        <v>DeAndre</v>
      </c>
      <c r="C783" s="13" t="str">
        <f t="shared" si="2"/>
        <v>Carter</v>
      </c>
      <c r="D783" s="13" t="str">
        <f t="shared" si="3"/>
        <v>#N/A</v>
      </c>
      <c r="E783" s="1" t="s">
        <v>69</v>
      </c>
    </row>
    <row r="784" ht="15.75" customHeight="1">
      <c r="A784" s="1" t="s">
        <v>1068</v>
      </c>
      <c r="B784" s="13" t="str">
        <f t="shared" si="1"/>
        <v>DeAndre</v>
      </c>
      <c r="C784" s="13" t="str">
        <f t="shared" si="2"/>
        <v>Goolsby</v>
      </c>
      <c r="D784" s="13" t="str">
        <f t="shared" si="3"/>
        <v>#N/A</v>
      </c>
      <c r="E784" s="1" t="s">
        <v>68</v>
      </c>
    </row>
    <row r="785" ht="15.75" customHeight="1">
      <c r="A785" s="1" t="s">
        <v>298</v>
      </c>
      <c r="B785" s="13" t="str">
        <f t="shared" si="1"/>
        <v>DeAndre</v>
      </c>
      <c r="C785" s="13" t="str">
        <f t="shared" si="2"/>
        <v>Hopkins</v>
      </c>
      <c r="D785" s="13" t="str">
        <f t="shared" si="3"/>
        <v>#N/A</v>
      </c>
      <c r="E785" s="1" t="s">
        <v>69</v>
      </c>
    </row>
    <row r="786" ht="15.75" customHeight="1">
      <c r="A786" s="1" t="s">
        <v>1069</v>
      </c>
      <c r="B786" s="13" t="str">
        <f t="shared" si="1"/>
        <v>DeAndre</v>
      </c>
      <c r="C786" s="13" t="str">
        <f t="shared" si="2"/>
        <v>Reaves</v>
      </c>
      <c r="D786" s="13" t="str">
        <f t="shared" si="3"/>
        <v>#N/A</v>
      </c>
      <c r="E786" s="1" t="s">
        <v>69</v>
      </c>
    </row>
    <row r="787" ht="15.75" customHeight="1">
      <c r="A787" s="1" t="s">
        <v>1070</v>
      </c>
      <c r="B787" s="13" t="str">
        <f t="shared" si="1"/>
        <v>DeAndre</v>
      </c>
      <c r="C787" s="13" t="str">
        <f t="shared" si="2"/>
        <v>Smelter</v>
      </c>
      <c r="D787" s="13" t="str">
        <f t="shared" si="3"/>
        <v>#N/A</v>
      </c>
      <c r="E787" s="1" t="s">
        <v>69</v>
      </c>
    </row>
    <row r="788" ht="15.75" customHeight="1">
      <c r="A788" s="1" t="s">
        <v>1071</v>
      </c>
      <c r="B788" s="13" t="str">
        <f t="shared" si="1"/>
        <v>DeAndre</v>
      </c>
      <c r="C788" s="13" t="str">
        <f t="shared" si="2"/>
        <v>Thompkins</v>
      </c>
      <c r="D788" s="13" t="str">
        <f t="shared" si="3"/>
        <v>#N/A</v>
      </c>
      <c r="E788" s="1" t="s">
        <v>69</v>
      </c>
    </row>
    <row r="789" ht="15.75" customHeight="1">
      <c r="A789" s="1" t="s">
        <v>1072</v>
      </c>
      <c r="B789" s="13" t="str">
        <f t="shared" si="1"/>
        <v>Deandre</v>
      </c>
      <c r="C789" s="13" t="str">
        <f t="shared" si="2"/>
        <v>Torrey</v>
      </c>
      <c r="D789" s="13" t="str">
        <f t="shared" si="3"/>
        <v>#N/A</v>
      </c>
      <c r="E789" s="1" t="s">
        <v>66</v>
      </c>
    </row>
    <row r="790" ht="15.75" customHeight="1">
      <c r="A790" s="1" t="s">
        <v>1073</v>
      </c>
      <c r="B790" s="13" t="str">
        <f t="shared" si="1"/>
        <v>DeAndre</v>
      </c>
      <c r="C790" s="13" t="str">
        <f t="shared" si="2"/>
        <v>Washington</v>
      </c>
      <c r="D790" s="13" t="str">
        <f t="shared" si="3"/>
        <v>#N/A</v>
      </c>
      <c r="E790" s="1" t="s">
        <v>66</v>
      </c>
    </row>
    <row r="791" ht="15.75" customHeight="1">
      <c r="A791" s="1" t="s">
        <v>1075</v>
      </c>
      <c r="B791" s="13" t="str">
        <f t="shared" si="1"/>
        <v>DeAndrew</v>
      </c>
      <c r="C791" s="13" t="str">
        <f t="shared" si="2"/>
        <v>White</v>
      </c>
      <c r="D791" s="13" t="str">
        <f t="shared" si="3"/>
        <v>#N/A</v>
      </c>
      <c r="E791" s="1" t="s">
        <v>69</v>
      </c>
    </row>
    <row r="792" ht="15.75" customHeight="1">
      <c r="A792" s="1" t="s">
        <v>1077</v>
      </c>
      <c r="B792" s="13" t="str">
        <f t="shared" si="1"/>
        <v>De'Angelo</v>
      </c>
      <c r="C792" s="13" t="str">
        <f t="shared" si="2"/>
        <v>Henderson</v>
      </c>
      <c r="D792" s="13" t="str">
        <f t="shared" si="3"/>
        <v>#N/A</v>
      </c>
      <c r="E792" s="1" t="s">
        <v>66</v>
      </c>
    </row>
    <row r="793" ht="15.75" customHeight="1">
      <c r="A793" s="1" t="s">
        <v>1078</v>
      </c>
      <c r="B793" s="13" t="str">
        <f t="shared" si="1"/>
        <v>DeAngelo</v>
      </c>
      <c r="C793" s="13" t="str">
        <f t="shared" si="2"/>
        <v>Williams</v>
      </c>
      <c r="D793" s="13" t="str">
        <f t="shared" si="3"/>
        <v>#N/A</v>
      </c>
      <c r="E793" s="1" t="s">
        <v>66</v>
      </c>
    </row>
    <row r="794" ht="15.75" customHeight="1">
      <c r="A794" s="1" t="s">
        <v>1079</v>
      </c>
      <c r="B794" s="13" t="str">
        <f t="shared" si="1"/>
        <v>DeAngelo</v>
      </c>
      <c r="C794" s="13" t="str">
        <f t="shared" si="2"/>
        <v>Yancey</v>
      </c>
      <c r="D794" s="13" t="str">
        <f t="shared" si="3"/>
        <v>#N/A</v>
      </c>
      <c r="E794" s="1" t="s">
        <v>69</v>
      </c>
    </row>
    <row r="795" ht="15.75" customHeight="1">
      <c r="A795" s="1" t="s">
        <v>1080</v>
      </c>
      <c r="B795" s="13" t="str">
        <f t="shared" si="1"/>
        <v>Deante'</v>
      </c>
      <c r="C795" s="13" t="str">
        <f t="shared" si="2"/>
        <v>Gray</v>
      </c>
      <c r="D795" s="13" t="str">
        <f t="shared" si="3"/>
        <v>#N/A</v>
      </c>
      <c r="E795" s="1" t="s">
        <v>69</v>
      </c>
    </row>
    <row r="796" ht="15.75" customHeight="1">
      <c r="A796" s="1" t="s">
        <v>1081</v>
      </c>
      <c r="B796" s="13" t="str">
        <f t="shared" si="1"/>
        <v>De'Anthony</v>
      </c>
      <c r="C796" s="13" t="str">
        <f t="shared" si="2"/>
        <v>Thomas</v>
      </c>
      <c r="D796" s="13" t="str">
        <f t="shared" si="3"/>
        <v>#N/A</v>
      </c>
      <c r="E796" s="1" t="s">
        <v>69</v>
      </c>
    </row>
    <row r="797" ht="15.75" customHeight="1">
      <c r="A797" s="1" t="s">
        <v>1045</v>
      </c>
      <c r="B797" s="13" t="str">
        <f t="shared" si="1"/>
        <v>Dede</v>
      </c>
      <c r="C797" s="13" t="str">
        <f t="shared" si="2"/>
        <v>Westbrook</v>
      </c>
      <c r="D797" s="13" t="str">
        <f t="shared" si="3"/>
        <v>#N/A</v>
      </c>
      <c r="E797" s="1" t="s">
        <v>69</v>
      </c>
    </row>
    <row r="798" ht="15.75" customHeight="1">
      <c r="A798" s="1" t="s">
        <v>1083</v>
      </c>
      <c r="B798" s="13" t="str">
        <f t="shared" si="1"/>
        <v>Dedrick</v>
      </c>
      <c r="C798" s="13" t="str">
        <f t="shared" si="2"/>
        <v>Mills</v>
      </c>
      <c r="D798" s="13" t="str">
        <f t="shared" si="3"/>
        <v>#N/A</v>
      </c>
      <c r="E798" s="1" t="s">
        <v>66</v>
      </c>
    </row>
    <row r="799" ht="15.75" customHeight="1">
      <c r="A799" s="1" t="s">
        <v>1084</v>
      </c>
      <c r="B799" s="13" t="str">
        <f t="shared" si="1"/>
        <v>Dee</v>
      </c>
      <c r="C799" s="13" t="str">
        <f t="shared" si="2"/>
        <v>Anderson</v>
      </c>
      <c r="D799" s="13" t="str">
        <f t="shared" si="3"/>
        <v>#N/A</v>
      </c>
      <c r="E799" s="1" t="s">
        <v>69</v>
      </c>
    </row>
    <row r="800" ht="15.75" customHeight="1">
      <c r="A800" s="1" t="s">
        <v>1085</v>
      </c>
      <c r="B800" s="13" t="str">
        <f t="shared" si="1"/>
        <v>Dee</v>
      </c>
      <c r="C800" s="13" t="str">
        <f t="shared" si="2"/>
        <v>Hart</v>
      </c>
      <c r="D800" s="13" t="str">
        <f t="shared" si="3"/>
        <v>#N/A</v>
      </c>
      <c r="E800" s="1" t="s">
        <v>66</v>
      </c>
    </row>
    <row r="801" ht="15.75" customHeight="1">
      <c r="A801" s="1" t="s">
        <v>98</v>
      </c>
      <c r="B801" s="13" t="str">
        <f t="shared" si="1"/>
        <v>Deebo</v>
      </c>
      <c r="C801" s="13" t="str">
        <f t="shared" si="2"/>
        <v>Samuel</v>
      </c>
      <c r="D801" s="13" t="str">
        <f t="shared" si="3"/>
        <v>#N/A</v>
      </c>
      <c r="E801" s="1" t="s">
        <v>69</v>
      </c>
    </row>
    <row r="802" ht="15.75" customHeight="1">
      <c r="A802" s="1" t="s">
        <v>1087</v>
      </c>
      <c r="B802" s="13" t="str">
        <f t="shared" si="1"/>
        <v>DeeJay</v>
      </c>
      <c r="C802" s="13" t="str">
        <f t="shared" si="2"/>
        <v>Dallas</v>
      </c>
      <c r="D802" s="13" t="str">
        <f t="shared" si="3"/>
        <v>#N/A</v>
      </c>
      <c r="E802" s="1" t="s">
        <v>66</v>
      </c>
    </row>
    <row r="803" ht="15.75" customHeight="1">
      <c r="A803" s="1" t="s">
        <v>1088</v>
      </c>
      <c r="B803" s="13" t="str">
        <f t="shared" si="1"/>
        <v>Deion</v>
      </c>
      <c r="C803" s="13" t="str">
        <f t="shared" si="2"/>
        <v>Branch</v>
      </c>
      <c r="D803" s="13" t="str">
        <f t="shared" si="3"/>
        <v>#N/A</v>
      </c>
      <c r="E803" s="1" t="s">
        <v>69</v>
      </c>
    </row>
    <row r="804" ht="15.75" customHeight="1">
      <c r="A804" s="1" t="s">
        <v>1089</v>
      </c>
      <c r="B804" s="13" t="str">
        <f t="shared" si="1"/>
        <v>De'Lance</v>
      </c>
      <c r="C804" s="13" t="str">
        <f t="shared" si="2"/>
        <v>Turner</v>
      </c>
      <c r="D804" s="13" t="str">
        <f t="shared" si="3"/>
        <v>#N/A</v>
      </c>
      <c r="E804" s="1" t="s">
        <v>66</v>
      </c>
    </row>
    <row r="805" ht="15.75" customHeight="1">
      <c r="A805" s="1" t="s">
        <v>1090</v>
      </c>
      <c r="B805" s="13" t="str">
        <f t="shared" si="1"/>
        <v>Delane</v>
      </c>
      <c r="C805" s="13" t="str">
        <f t="shared" si="2"/>
        <v>Hart-Johnson</v>
      </c>
      <c r="D805" s="13" t="str">
        <f t="shared" si="3"/>
        <v>#N/A</v>
      </c>
      <c r="E805" s="1" t="s">
        <v>69</v>
      </c>
    </row>
    <row r="806" ht="15.75" customHeight="1">
      <c r="A806" s="1" t="s">
        <v>940</v>
      </c>
      <c r="B806" s="13" t="str">
        <f t="shared" si="1"/>
        <v>Delanie</v>
      </c>
      <c r="C806" s="13" t="str">
        <f t="shared" si="2"/>
        <v>Walker</v>
      </c>
      <c r="D806" s="13" t="str">
        <f t="shared" si="3"/>
        <v>#N/A</v>
      </c>
      <c r="E806" s="1" t="s">
        <v>68</v>
      </c>
    </row>
    <row r="807" ht="15.75" customHeight="1">
      <c r="A807" s="1" t="s">
        <v>1091</v>
      </c>
      <c r="B807" s="13" t="str">
        <f t="shared" si="1"/>
        <v>Delone</v>
      </c>
      <c r="C807" s="13" t="str">
        <f t="shared" si="2"/>
        <v>Carter</v>
      </c>
      <c r="D807" s="13" t="str">
        <f t="shared" si="3"/>
        <v>#N/A</v>
      </c>
      <c r="E807" s="1" t="s">
        <v>66</v>
      </c>
    </row>
    <row r="808" ht="15.75" customHeight="1">
      <c r="A808" s="1" t="s">
        <v>1092</v>
      </c>
      <c r="B808" s="13" t="str">
        <f t="shared" si="1"/>
        <v>DeMarco</v>
      </c>
      <c r="C808" s="13" t="str">
        <f t="shared" si="2"/>
        <v>Murray</v>
      </c>
      <c r="D808" s="13" t="str">
        <f t="shared" si="3"/>
        <v>#N/A</v>
      </c>
      <c r="E808" s="1" t="s">
        <v>66</v>
      </c>
    </row>
    <row r="809" ht="15.75" customHeight="1">
      <c r="A809" s="1" t="s">
        <v>1093</v>
      </c>
      <c r="B809" s="13" t="str">
        <f t="shared" si="1"/>
        <v>Demarcus</v>
      </c>
      <c r="C809" s="13" t="str">
        <f t="shared" si="2"/>
        <v>Ayers</v>
      </c>
      <c r="D809" s="13" t="str">
        <f t="shared" si="3"/>
        <v>#N/A</v>
      </c>
      <c r="E809" s="1" t="s">
        <v>69</v>
      </c>
    </row>
    <row r="810" ht="15.75" customHeight="1">
      <c r="A810" s="1" t="s">
        <v>1094</v>
      </c>
      <c r="B810" s="13" t="str">
        <f t="shared" si="1"/>
        <v>Demarcus</v>
      </c>
      <c r="C810" s="13" t="str">
        <f t="shared" si="2"/>
        <v>Robinson</v>
      </c>
      <c r="D810" s="13" t="str">
        <f t="shared" si="3"/>
        <v>#N/A</v>
      </c>
      <c r="E810" s="1" t="s">
        <v>69</v>
      </c>
    </row>
    <row r="811" ht="15.75" customHeight="1">
      <c r="A811" s="1" t="s">
        <v>1095</v>
      </c>
      <c r="B811" s="13" t="str">
        <f t="shared" si="1"/>
        <v>DeMario</v>
      </c>
      <c r="C811" s="13" t="str">
        <f t="shared" si="2"/>
        <v>Bennett</v>
      </c>
      <c r="D811" s="13" t="str">
        <f t="shared" si="3"/>
        <v>#N/A</v>
      </c>
      <c r="E811" s="1" t="s">
        <v>69</v>
      </c>
    </row>
    <row r="812" ht="15.75" customHeight="1">
      <c r="A812" s="1" t="s">
        <v>1096</v>
      </c>
      <c r="B812" s="13" t="str">
        <f t="shared" si="1"/>
        <v>Demaryius</v>
      </c>
      <c r="C812" s="13" t="str">
        <f t="shared" si="2"/>
        <v>Thomas</v>
      </c>
      <c r="D812" s="13" t="str">
        <f t="shared" si="3"/>
        <v>#N/A</v>
      </c>
      <c r="E812" s="1" t="s">
        <v>69</v>
      </c>
    </row>
    <row r="813" ht="15.75" customHeight="1">
      <c r="A813" s="1" t="s">
        <v>1097</v>
      </c>
      <c r="B813" s="13" t="str">
        <f t="shared" si="1"/>
        <v>Demetric</v>
      </c>
      <c r="C813" s="13" t="str">
        <f t="shared" si="2"/>
        <v>Felton</v>
      </c>
      <c r="D813" s="13" t="str">
        <f t="shared" si="3"/>
        <v>#N/A</v>
      </c>
      <c r="E813" s="1" t="s">
        <v>69</v>
      </c>
    </row>
    <row r="814" ht="15.75" customHeight="1">
      <c r="A814" s="1" t="s">
        <v>1098</v>
      </c>
      <c r="B814" s="13" t="str">
        <f t="shared" si="1"/>
        <v>Demetris</v>
      </c>
      <c r="C814" s="13" t="str">
        <f t="shared" si="2"/>
        <v>Robertson</v>
      </c>
      <c r="D814" s="13" t="str">
        <f t="shared" si="3"/>
        <v>#N/A</v>
      </c>
      <c r="E814" s="1" t="s">
        <v>69</v>
      </c>
    </row>
    <row r="815" ht="15.75" customHeight="1">
      <c r="A815" s="1" t="s">
        <v>1099</v>
      </c>
      <c r="B815" s="13" t="str">
        <f t="shared" si="1"/>
        <v>Demetrius</v>
      </c>
      <c r="C815" s="13" t="str">
        <f t="shared" si="2"/>
        <v>Harris</v>
      </c>
      <c r="D815" s="13" t="str">
        <f t="shared" si="3"/>
        <v>#N/A</v>
      </c>
      <c r="E815" s="1" t="s">
        <v>68</v>
      </c>
    </row>
    <row r="816" ht="15.75" customHeight="1">
      <c r="A816" s="1" t="s">
        <v>1100</v>
      </c>
      <c r="B816" s="13" t="str">
        <f t="shared" si="1"/>
        <v>DeMichael</v>
      </c>
      <c r="C816" s="13" t="str">
        <f t="shared" si="2"/>
        <v>Harris</v>
      </c>
      <c r="D816" s="13" t="str">
        <f t="shared" si="3"/>
        <v>#N/A</v>
      </c>
      <c r="E816" s="1" t="s">
        <v>69</v>
      </c>
    </row>
    <row r="817" ht="15.75" customHeight="1">
      <c r="A817" s="1" t="s">
        <v>1101</v>
      </c>
      <c r="B817" s="13" t="str">
        <f t="shared" si="1"/>
        <v>Demond</v>
      </c>
      <c r="C817" s="13" t="str">
        <f t="shared" si="2"/>
        <v>Demas</v>
      </c>
      <c r="D817" s="13" t="str">
        <f t="shared" si="3"/>
        <v>#N/A</v>
      </c>
      <c r="E817" s="1" t="s">
        <v>69</v>
      </c>
    </row>
    <row r="818" ht="15.75" customHeight="1">
      <c r="A818" s="1" t="s">
        <v>1102</v>
      </c>
      <c r="B818" s="13" t="str">
        <f t="shared" si="1"/>
        <v>De'Montre</v>
      </c>
      <c r="C818" s="13" t="str">
        <f t="shared" si="2"/>
        <v>Tuggle</v>
      </c>
      <c r="D818" s="13" t="str">
        <f t="shared" si="3"/>
        <v>#N/A</v>
      </c>
      <c r="E818" s="1" t="s">
        <v>66</v>
      </c>
    </row>
    <row r="819" ht="15.75" customHeight="1">
      <c r="A819" s="1" t="s">
        <v>1104</v>
      </c>
      <c r="B819" s="13" t="str">
        <f t="shared" si="1"/>
        <v>De'Mornay</v>
      </c>
      <c r="C819" s="13" t="str">
        <f t="shared" si="2"/>
        <v>Pierson-El</v>
      </c>
      <c r="D819" s="13" t="str">
        <f t="shared" si="3"/>
        <v>#N/A</v>
      </c>
      <c r="E819" s="1" t="s">
        <v>69</v>
      </c>
    </row>
    <row r="820" ht="15.75" customHeight="1">
      <c r="A820" s="1" t="s">
        <v>1106</v>
      </c>
      <c r="B820" s="13" t="str">
        <f t="shared" si="1"/>
        <v>Denard</v>
      </c>
      <c r="C820" s="13" t="str">
        <f t="shared" si="2"/>
        <v>Robinson</v>
      </c>
      <c r="D820" s="13" t="str">
        <f t="shared" si="3"/>
        <v>#N/A</v>
      </c>
      <c r="E820" s="1" t="s">
        <v>66</v>
      </c>
    </row>
    <row r="821" ht="15.75" customHeight="1">
      <c r="A821" s="1" t="s">
        <v>1107</v>
      </c>
      <c r="B821" s="13" t="str">
        <f t="shared" si="1"/>
        <v>Denarius</v>
      </c>
      <c r="C821" s="13" t="str">
        <f t="shared" si="2"/>
        <v>Moore</v>
      </c>
      <c r="D821" s="13" t="str">
        <f t="shared" si="3"/>
        <v>#N/A</v>
      </c>
      <c r="E821" s="1" t="s">
        <v>69</v>
      </c>
    </row>
    <row r="822" ht="15.75" customHeight="1">
      <c r="A822" s="1" t="s">
        <v>1108</v>
      </c>
      <c r="B822" s="13" t="str">
        <f t="shared" si="1"/>
        <v>Dennis</v>
      </c>
      <c r="C822" s="13" t="str">
        <f t="shared" si="2"/>
        <v>Dixon</v>
      </c>
      <c r="D822" s="13" t="str">
        <f t="shared" si="3"/>
        <v>#N/A</v>
      </c>
      <c r="E822" s="1" t="s">
        <v>65</v>
      </c>
    </row>
    <row r="823" ht="15.75" customHeight="1">
      <c r="A823" s="1" t="s">
        <v>1109</v>
      </c>
      <c r="B823" s="13" t="str">
        <f t="shared" si="1"/>
        <v>Dennis</v>
      </c>
      <c r="C823" s="13" t="str">
        <f t="shared" si="2"/>
        <v>Johnson</v>
      </c>
      <c r="D823" s="13" t="str">
        <f t="shared" si="3"/>
        <v>#N/A</v>
      </c>
      <c r="E823" s="1" t="s">
        <v>66</v>
      </c>
    </row>
    <row r="824" ht="15.75" customHeight="1">
      <c r="A824" s="1" t="s">
        <v>1111</v>
      </c>
      <c r="B824" s="13" t="str">
        <f t="shared" si="1"/>
        <v>Dennis</v>
      </c>
      <c r="C824" s="13" t="str">
        <f t="shared" si="2"/>
        <v>Parks</v>
      </c>
      <c r="D824" s="13" t="str">
        <f t="shared" si="3"/>
        <v>#N/A</v>
      </c>
      <c r="E824" s="1" t="s">
        <v>69</v>
      </c>
    </row>
    <row r="825" ht="15.75" customHeight="1">
      <c r="A825" s="1" t="s">
        <v>1112</v>
      </c>
      <c r="B825" s="13" t="str">
        <f t="shared" si="1"/>
        <v>Dennis</v>
      </c>
      <c r="C825" s="13" t="str">
        <f t="shared" si="2"/>
        <v>Pitta</v>
      </c>
      <c r="D825" s="13" t="str">
        <f t="shared" si="3"/>
        <v>#N/A</v>
      </c>
      <c r="E825" s="1" t="s">
        <v>68</v>
      </c>
    </row>
    <row r="826" ht="15.75" customHeight="1">
      <c r="A826" s="1" t="s">
        <v>105</v>
      </c>
      <c r="B826" s="13" t="str">
        <f t="shared" si="1"/>
        <v>#VALUE!</v>
      </c>
      <c r="C826" s="13" t="str">
        <f t="shared" si="2"/>
        <v>#VALUE!</v>
      </c>
      <c r="D826" s="13" t="str">
        <f t="shared" si="3"/>
        <v>#N/A</v>
      </c>
      <c r="E826" s="1" t="s">
        <v>63</v>
      </c>
    </row>
    <row r="827" ht="15.75" customHeight="1">
      <c r="A827" s="1" t="s">
        <v>719</v>
      </c>
      <c r="B827" s="13" t="str">
        <f t="shared" si="1"/>
        <v>Denver</v>
      </c>
      <c r="C827" s="13" t="str">
        <f t="shared" si="2"/>
        <v/>
      </c>
      <c r="D827" s="13" t="str">
        <f t="shared" si="3"/>
        <v>#N/A</v>
      </c>
      <c r="E827" s="1" t="s">
        <v>63</v>
      </c>
    </row>
    <row r="828" ht="15.75" customHeight="1">
      <c r="A828" s="1" t="s">
        <v>1113</v>
      </c>
      <c r="B828" s="13" t="str">
        <f t="shared" si="1"/>
        <v>Denzel</v>
      </c>
      <c r="C828" s="13" t="str">
        <f t="shared" si="2"/>
        <v>Mims</v>
      </c>
      <c r="D828" s="13" t="str">
        <f t="shared" si="3"/>
        <v>#N/A</v>
      </c>
      <c r="E828" s="1" t="s">
        <v>69</v>
      </c>
    </row>
    <row r="829" ht="15.75" customHeight="1">
      <c r="A829" s="1" t="s">
        <v>1114</v>
      </c>
      <c r="B829" s="13" t="str">
        <f t="shared" si="1"/>
        <v>Deon</v>
      </c>
      <c r="C829" s="13" t="str">
        <f t="shared" si="2"/>
        <v>Cain</v>
      </c>
      <c r="D829" s="13" t="str">
        <f t="shared" si="3"/>
        <v>#N/A</v>
      </c>
      <c r="E829" s="1" t="s">
        <v>69</v>
      </c>
    </row>
    <row r="830" ht="15.75" customHeight="1">
      <c r="A830" s="1" t="s">
        <v>1115</v>
      </c>
      <c r="B830" s="13" t="str">
        <f t="shared" si="1"/>
        <v>Deon</v>
      </c>
      <c r="C830" s="13" t="str">
        <f t="shared" si="2"/>
        <v>Jackson</v>
      </c>
      <c r="D830" s="13" t="str">
        <f t="shared" si="3"/>
        <v>#N/A</v>
      </c>
      <c r="E830" s="1" t="s">
        <v>66</v>
      </c>
    </row>
    <row r="831" ht="15.75" customHeight="1">
      <c r="A831" s="1" t="s">
        <v>1116</v>
      </c>
      <c r="B831" s="13" t="str">
        <f t="shared" si="1"/>
        <v>Deon</v>
      </c>
      <c r="C831" s="13" t="str">
        <f t="shared" si="2"/>
        <v>Long</v>
      </c>
      <c r="D831" s="13" t="str">
        <f t="shared" si="3"/>
        <v>#N/A</v>
      </c>
      <c r="E831" s="1" t="s">
        <v>69</v>
      </c>
    </row>
    <row r="832" ht="15.75" customHeight="1">
      <c r="A832" s="1" t="s">
        <v>1117</v>
      </c>
      <c r="B832" s="13" t="str">
        <f t="shared" si="1"/>
        <v>Deon</v>
      </c>
      <c r="C832" s="13" t="str">
        <f t="shared" si="2"/>
        <v>McIntosh</v>
      </c>
      <c r="D832" s="13" t="str">
        <f t="shared" si="3"/>
        <v>#N/A</v>
      </c>
      <c r="E832" s="1" t="s">
        <v>66</v>
      </c>
    </row>
    <row r="833" ht="15.75" customHeight="1">
      <c r="A833" s="1" t="s">
        <v>1118</v>
      </c>
      <c r="B833" s="13" t="str">
        <f t="shared" si="1"/>
        <v>Deon</v>
      </c>
      <c r="C833" s="13" t="str">
        <f t="shared" si="2"/>
        <v>Yelder</v>
      </c>
      <c r="D833" s="13" t="str">
        <f t="shared" si="3"/>
        <v>#N/A</v>
      </c>
      <c r="E833" s="1" t="s">
        <v>68</v>
      </c>
    </row>
    <row r="834" ht="15.75" customHeight="1">
      <c r="A834" s="1" t="s">
        <v>1119</v>
      </c>
      <c r="B834" s="13" t="str">
        <f t="shared" si="1"/>
        <v>Deondre</v>
      </c>
      <c r="C834" s="13" t="str">
        <f t="shared" si="2"/>
        <v>Douglas</v>
      </c>
      <c r="D834" s="13" t="str">
        <f t="shared" si="3"/>
        <v>#N/A</v>
      </c>
      <c r="E834" s="1" t="s">
        <v>69</v>
      </c>
    </row>
    <row r="835" ht="15.75" customHeight="1">
      <c r="A835" s="1" t="s">
        <v>1120</v>
      </c>
      <c r="B835" s="13" t="str">
        <f t="shared" si="1"/>
        <v>Deontay</v>
      </c>
      <c r="C835" s="13" t="str">
        <f t="shared" si="2"/>
        <v>Burnett</v>
      </c>
      <c r="D835" s="13" t="str">
        <f t="shared" si="3"/>
        <v>#N/A</v>
      </c>
      <c r="E835" s="1" t="s">
        <v>69</v>
      </c>
    </row>
    <row r="836" ht="15.75" customHeight="1">
      <c r="A836" s="1" t="s">
        <v>1121</v>
      </c>
      <c r="B836" s="13" t="str">
        <f t="shared" si="1"/>
        <v>Deonte</v>
      </c>
      <c r="C836" s="13" t="str">
        <f t="shared" si="2"/>
        <v>Greenberry</v>
      </c>
      <c r="D836" s="13" t="str">
        <f t="shared" si="3"/>
        <v>#N/A</v>
      </c>
      <c r="E836" s="1" t="s">
        <v>69</v>
      </c>
    </row>
    <row r="837" ht="15.75" customHeight="1">
      <c r="A837" s="1" t="s">
        <v>1122</v>
      </c>
      <c r="B837" s="13" t="str">
        <f t="shared" si="1"/>
        <v>Deonte</v>
      </c>
      <c r="C837" s="13" t="str">
        <f t="shared" si="2"/>
        <v>Harty</v>
      </c>
      <c r="D837" s="13" t="str">
        <f t="shared" si="3"/>
        <v>#N/A</v>
      </c>
      <c r="E837" s="1" t="s">
        <v>69</v>
      </c>
    </row>
    <row r="838" ht="15.75" customHeight="1">
      <c r="A838" s="1" t="s">
        <v>1123</v>
      </c>
      <c r="B838" s="13" t="str">
        <f t="shared" si="1"/>
        <v>Deonte</v>
      </c>
      <c r="C838" s="13" t="str">
        <f t="shared" si="2"/>
        <v>Thompson</v>
      </c>
      <c r="D838" s="13" t="str">
        <f t="shared" si="3"/>
        <v>#N/A</v>
      </c>
      <c r="E838" s="1" t="s">
        <v>69</v>
      </c>
    </row>
    <row r="839" ht="15.75" customHeight="1">
      <c r="A839" s="1" t="s">
        <v>1124</v>
      </c>
      <c r="B839" s="13" t="str">
        <f t="shared" si="1"/>
        <v>Deontez</v>
      </c>
      <c r="C839" s="13" t="str">
        <f t="shared" si="2"/>
        <v>Alexander</v>
      </c>
      <c r="D839" s="13" t="str">
        <f t="shared" si="3"/>
        <v>#N/A</v>
      </c>
      <c r="E839" s="1" t="s">
        <v>69</v>
      </c>
    </row>
    <row r="840" ht="15.75" customHeight="1">
      <c r="A840" s="1" t="s">
        <v>1125</v>
      </c>
      <c r="B840" s="13" t="str">
        <f t="shared" si="1"/>
        <v>Derek</v>
      </c>
      <c r="C840" s="13" t="str">
        <f t="shared" si="2"/>
        <v>Anderson</v>
      </c>
      <c r="D840" s="13" t="str">
        <f t="shared" si="3"/>
        <v>#N/A</v>
      </c>
      <c r="E840" s="1" t="s">
        <v>65</v>
      </c>
    </row>
    <row r="841" ht="15.75" customHeight="1">
      <c r="A841" s="1" t="s">
        <v>1082</v>
      </c>
      <c r="B841" s="13" t="str">
        <f t="shared" si="1"/>
        <v>Derek</v>
      </c>
      <c r="C841" s="13" t="str">
        <f t="shared" si="2"/>
        <v>Carr</v>
      </c>
      <c r="D841" s="13" t="str">
        <f t="shared" si="3"/>
        <v>#N/A</v>
      </c>
      <c r="E841" s="1" t="s">
        <v>65</v>
      </c>
    </row>
    <row r="842" ht="15.75" customHeight="1">
      <c r="A842" s="1" t="s">
        <v>1126</v>
      </c>
      <c r="B842" s="13" t="str">
        <f t="shared" si="1"/>
        <v>Derek</v>
      </c>
      <c r="C842" s="13" t="str">
        <f t="shared" si="2"/>
        <v>Carrier</v>
      </c>
      <c r="D842" s="13" t="str">
        <f t="shared" si="3"/>
        <v>#N/A</v>
      </c>
      <c r="E842" s="1" t="s">
        <v>68</v>
      </c>
    </row>
    <row r="843" ht="15.75" customHeight="1">
      <c r="A843" s="1" t="s">
        <v>1127</v>
      </c>
      <c r="B843" s="13" t="str">
        <f t="shared" si="1"/>
        <v>Derek</v>
      </c>
      <c r="C843" s="13" t="str">
        <f t="shared" si="2"/>
        <v>Hagan</v>
      </c>
      <c r="D843" s="13" t="str">
        <f t="shared" si="3"/>
        <v>#N/A</v>
      </c>
      <c r="E843" s="1" t="s">
        <v>69</v>
      </c>
    </row>
    <row r="844" ht="15.75" customHeight="1">
      <c r="A844" s="1" t="s">
        <v>1128</v>
      </c>
      <c r="B844" s="13" t="str">
        <f t="shared" si="1"/>
        <v>Derek</v>
      </c>
      <c r="C844" s="13" t="str">
        <f t="shared" si="2"/>
        <v>Watt</v>
      </c>
      <c r="D844" s="13" t="str">
        <f t="shared" si="3"/>
        <v>#N/A</v>
      </c>
      <c r="E844" s="1" t="s">
        <v>66</v>
      </c>
    </row>
    <row r="845" ht="15.75" customHeight="1">
      <c r="A845" s="1" t="s">
        <v>1129</v>
      </c>
      <c r="B845" s="13" t="str">
        <f t="shared" si="1"/>
        <v>Derel</v>
      </c>
      <c r="C845" s="13" t="str">
        <f t="shared" si="2"/>
        <v>Walker</v>
      </c>
      <c r="D845" s="13" t="str">
        <f t="shared" si="3"/>
        <v>#N/A</v>
      </c>
      <c r="E845" s="1" t="s">
        <v>69</v>
      </c>
    </row>
    <row r="846" ht="15.75" customHeight="1">
      <c r="A846" s="1" t="s">
        <v>1130</v>
      </c>
      <c r="B846" s="13" t="str">
        <f t="shared" si="1"/>
        <v>D'Eriq</v>
      </c>
      <c r="C846" s="13" t="str">
        <f t="shared" si="2"/>
        <v>King</v>
      </c>
      <c r="D846" s="13" t="str">
        <f t="shared" si="3"/>
        <v>#N/A</v>
      </c>
      <c r="E846" s="1" t="s">
        <v>65</v>
      </c>
    </row>
    <row r="847" ht="15.75" customHeight="1">
      <c r="A847" s="1" t="s">
        <v>1132</v>
      </c>
      <c r="B847" s="13" t="str">
        <f t="shared" si="1"/>
        <v>D'Ernest</v>
      </c>
      <c r="C847" s="13" t="str">
        <f t="shared" si="2"/>
        <v>Johnson</v>
      </c>
      <c r="D847" s="13" t="str">
        <f t="shared" si="3"/>
        <v>#N/A</v>
      </c>
      <c r="E847" s="1" t="s">
        <v>66</v>
      </c>
    </row>
    <row r="848" ht="15.75" customHeight="1">
      <c r="A848" s="1" t="s">
        <v>1133</v>
      </c>
      <c r="B848" s="13" t="str">
        <f t="shared" si="1"/>
        <v>Derrick</v>
      </c>
      <c r="C848" s="13" t="str">
        <f t="shared" si="2"/>
        <v>Coleman</v>
      </c>
      <c r="D848" s="13" t="str">
        <f t="shared" si="3"/>
        <v>#N/A</v>
      </c>
      <c r="E848" s="1" t="s">
        <v>66</v>
      </c>
    </row>
    <row r="849" ht="15.75" customHeight="1">
      <c r="A849" s="1" t="s">
        <v>1134</v>
      </c>
      <c r="B849" s="13" t="str">
        <f t="shared" si="1"/>
        <v>Derrick</v>
      </c>
      <c r="C849" s="13" t="str">
        <f t="shared" si="2"/>
        <v>Deese</v>
      </c>
      <c r="D849" s="13" t="str">
        <f t="shared" si="3"/>
        <v>#N/A</v>
      </c>
      <c r="E849" s="1" t="s">
        <v>68</v>
      </c>
    </row>
    <row r="850" ht="15.75" customHeight="1">
      <c r="A850" s="1" t="s">
        <v>1136</v>
      </c>
      <c r="B850" s="13" t="str">
        <f t="shared" si="1"/>
        <v>Derrick</v>
      </c>
      <c r="C850" s="13" t="str">
        <f t="shared" si="2"/>
        <v>Gore</v>
      </c>
      <c r="D850" s="13" t="str">
        <f t="shared" si="3"/>
        <v>#N/A</v>
      </c>
      <c r="E850" s="1" t="s">
        <v>66</v>
      </c>
    </row>
    <row r="851" ht="15.75" customHeight="1">
      <c r="A851" s="1" t="s">
        <v>168</v>
      </c>
      <c r="B851" s="13" t="str">
        <f t="shared" si="1"/>
        <v>Derrick</v>
      </c>
      <c r="C851" s="13" t="str">
        <f t="shared" si="2"/>
        <v>Henry</v>
      </c>
      <c r="D851" s="13" t="str">
        <f t="shared" si="3"/>
        <v>#N/A</v>
      </c>
      <c r="E851" s="1" t="s">
        <v>66</v>
      </c>
    </row>
    <row r="852" ht="15.75" customHeight="1">
      <c r="A852" s="1" t="s">
        <v>1138</v>
      </c>
      <c r="B852" s="13" t="str">
        <f t="shared" si="1"/>
        <v>Derrick</v>
      </c>
      <c r="C852" s="13" t="str">
        <f t="shared" si="2"/>
        <v>Johnson</v>
      </c>
      <c r="D852" s="13" t="str">
        <f t="shared" si="3"/>
        <v>#N/A</v>
      </c>
      <c r="E852" s="1" t="s">
        <v>69</v>
      </c>
    </row>
    <row r="853" ht="15.75" customHeight="1">
      <c r="A853" s="1" t="s">
        <v>1139</v>
      </c>
      <c r="B853" s="13" t="str">
        <f t="shared" si="1"/>
        <v>Derrick</v>
      </c>
      <c r="C853" s="13" t="str">
        <f t="shared" si="2"/>
        <v>Willies</v>
      </c>
      <c r="D853" s="13" t="str">
        <f t="shared" si="3"/>
        <v>#N/A</v>
      </c>
      <c r="E853" s="1" t="s">
        <v>69</v>
      </c>
    </row>
    <row r="854" ht="15.75" customHeight="1">
      <c r="A854" s="1" t="s">
        <v>880</v>
      </c>
      <c r="B854" s="13" t="str">
        <f t="shared" si="1"/>
        <v>Derrius</v>
      </c>
      <c r="C854" s="13" t="str">
        <f t="shared" si="2"/>
        <v>Guice</v>
      </c>
      <c r="D854" s="13" t="str">
        <f t="shared" si="3"/>
        <v>#N/A</v>
      </c>
      <c r="E854" s="1" t="s">
        <v>66</v>
      </c>
    </row>
    <row r="855" ht="15.75" customHeight="1">
      <c r="A855" s="1" t="s">
        <v>701</v>
      </c>
      <c r="B855" s="13" t="str">
        <f t="shared" si="1"/>
        <v>DeSean</v>
      </c>
      <c r="C855" s="13" t="str">
        <f t="shared" si="2"/>
        <v>Jackson</v>
      </c>
      <c r="D855" s="13" t="str">
        <f t="shared" si="3"/>
        <v>#N/A</v>
      </c>
      <c r="E855" s="1" t="s">
        <v>69</v>
      </c>
    </row>
    <row r="856" ht="15.75" customHeight="1">
      <c r="A856" s="1" t="s">
        <v>730</v>
      </c>
      <c r="B856" s="13" t="str">
        <f t="shared" si="1"/>
        <v>Deshaun</v>
      </c>
      <c r="C856" s="13" t="str">
        <f t="shared" si="2"/>
        <v>Watson</v>
      </c>
      <c r="D856" s="13" t="str">
        <f t="shared" si="3"/>
        <v>#N/A</v>
      </c>
      <c r="E856" s="1" t="s">
        <v>65</v>
      </c>
    </row>
    <row r="857" ht="15.75" customHeight="1">
      <c r="A857" s="1" t="s">
        <v>1141</v>
      </c>
      <c r="B857" s="13" t="str">
        <f t="shared" si="1"/>
        <v>DeShone</v>
      </c>
      <c r="C857" s="13" t="str">
        <f t="shared" si="2"/>
        <v>Kizer</v>
      </c>
      <c r="D857" s="13" t="str">
        <f t="shared" si="3"/>
        <v>#N/A</v>
      </c>
      <c r="E857" s="1" t="s">
        <v>65</v>
      </c>
    </row>
    <row r="858" ht="15.75" customHeight="1">
      <c r="A858" s="1" t="s">
        <v>1142</v>
      </c>
      <c r="B858" s="13" t="str">
        <f t="shared" si="1"/>
        <v>Desmond</v>
      </c>
      <c r="C858" s="13" t="str">
        <f t="shared" si="2"/>
        <v>Martin</v>
      </c>
      <c r="D858" s="13" t="str">
        <f t="shared" si="3"/>
        <v>#N/A</v>
      </c>
      <c r="E858" s="1" t="s">
        <v>66</v>
      </c>
    </row>
    <row r="859" ht="15.75" customHeight="1">
      <c r="A859" s="1" t="s">
        <v>1143</v>
      </c>
      <c r="B859" s="13" t="str">
        <f t="shared" si="1"/>
        <v>Desmond</v>
      </c>
      <c r="C859" s="13" t="str">
        <f t="shared" si="2"/>
        <v>Ridder</v>
      </c>
      <c r="D859" s="13" t="str">
        <f t="shared" si="3"/>
        <v>#N/A</v>
      </c>
      <c r="E859" s="1" t="s">
        <v>65</v>
      </c>
    </row>
    <row r="860" ht="15.75" customHeight="1">
      <c r="A860" s="1" t="s">
        <v>1144</v>
      </c>
      <c r="B860" s="13" t="str">
        <f t="shared" si="1"/>
        <v>Detrez</v>
      </c>
      <c r="C860" s="13" t="str">
        <f t="shared" si="2"/>
        <v>Newsome</v>
      </c>
      <c r="D860" s="13" t="str">
        <f t="shared" si="3"/>
        <v>#N/A</v>
      </c>
      <c r="E860" s="1" t="s">
        <v>66</v>
      </c>
    </row>
    <row r="861" ht="15.75" customHeight="1">
      <c r="A861" s="1" t="s">
        <v>1145</v>
      </c>
      <c r="B861" s="13" t="str">
        <f t="shared" si="1"/>
        <v>Deuce</v>
      </c>
      <c r="C861" s="13" t="str">
        <f t="shared" si="2"/>
        <v>Vaughn</v>
      </c>
      <c r="D861" s="13" t="str">
        <f t="shared" si="3"/>
        <v>#N/A</v>
      </c>
      <c r="E861" s="1" t="s">
        <v>66</v>
      </c>
    </row>
    <row r="862" ht="15.75" customHeight="1">
      <c r="A862" s="1" t="s">
        <v>1146</v>
      </c>
      <c r="B862" s="13" t="str">
        <f t="shared" si="1"/>
        <v>Devante</v>
      </c>
      <c r="C862" s="13" t="str">
        <f t="shared" si="2"/>
        <v>Davis</v>
      </c>
      <c r="D862" s="13" t="str">
        <f t="shared" si="3"/>
        <v>#N/A</v>
      </c>
      <c r="E862" s="1" t="s">
        <v>69</v>
      </c>
    </row>
    <row r="863" ht="15.75" customHeight="1">
      <c r="A863" s="1" t="s">
        <v>1147</v>
      </c>
      <c r="B863" s="13" t="str">
        <f t="shared" si="1"/>
        <v>Devante</v>
      </c>
      <c r="C863" s="13" t="str">
        <f t="shared" si="2"/>
        <v>Mays</v>
      </c>
      <c r="D863" s="13" t="str">
        <f t="shared" si="3"/>
        <v>#N/A</v>
      </c>
      <c r="E863" s="1" t="s">
        <v>66</v>
      </c>
    </row>
    <row r="864" ht="15.75" customHeight="1">
      <c r="A864" s="1" t="s">
        <v>478</v>
      </c>
      <c r="B864" s="13" t="str">
        <f t="shared" si="1"/>
        <v>DeVante</v>
      </c>
      <c r="C864" s="13" t="str">
        <f t="shared" si="2"/>
        <v>Parker</v>
      </c>
      <c r="D864" s="13" t="str">
        <f t="shared" si="3"/>
        <v>#N/A</v>
      </c>
      <c r="E864" s="1" t="s">
        <v>69</v>
      </c>
    </row>
    <row r="865" ht="15.75" customHeight="1">
      <c r="A865" s="1" t="s">
        <v>1148</v>
      </c>
      <c r="B865" s="13" t="str">
        <f t="shared" si="1"/>
        <v>Devaughn</v>
      </c>
      <c r="C865" s="13" t="str">
        <f t="shared" si="2"/>
        <v>Vele</v>
      </c>
      <c r="D865" s="13" t="str">
        <f t="shared" si="3"/>
        <v>#N/A</v>
      </c>
      <c r="E865" s="1" t="s">
        <v>69</v>
      </c>
    </row>
    <row r="866" ht="15.75" customHeight="1">
      <c r="A866" s="1" t="s">
        <v>1149</v>
      </c>
      <c r="B866" s="13" t="str">
        <f t="shared" si="1"/>
        <v>De'Veon</v>
      </c>
      <c r="C866" s="13" t="str">
        <f t="shared" si="2"/>
        <v>Smith</v>
      </c>
      <c r="D866" s="13" t="str">
        <f t="shared" si="3"/>
        <v>#N/A</v>
      </c>
      <c r="E866" s="1" t="s">
        <v>66</v>
      </c>
    </row>
    <row r="867" ht="15.75" customHeight="1">
      <c r="A867" s="1" t="s">
        <v>1150</v>
      </c>
      <c r="B867" s="13" t="str">
        <f t="shared" si="1"/>
        <v>DeVier</v>
      </c>
      <c r="C867" s="13" t="str">
        <f t="shared" si="2"/>
        <v>Posey</v>
      </c>
      <c r="D867" s="13" t="str">
        <f t="shared" si="3"/>
        <v>#N/A</v>
      </c>
      <c r="E867" s="1" t="s">
        <v>69</v>
      </c>
    </row>
    <row r="868" ht="15.75" customHeight="1">
      <c r="A868" s="1" t="s">
        <v>1152</v>
      </c>
      <c r="B868" s="13" t="str">
        <f t="shared" si="1"/>
        <v>Devin</v>
      </c>
      <c r="C868" s="13" t="str">
        <f t="shared" si="2"/>
        <v>Asiasi</v>
      </c>
      <c r="D868" s="13" t="str">
        <f t="shared" si="3"/>
        <v>#N/A</v>
      </c>
      <c r="E868" s="1" t="s">
        <v>68</v>
      </c>
    </row>
    <row r="869" ht="15.75" customHeight="1">
      <c r="A869" s="1" t="s">
        <v>1153</v>
      </c>
      <c r="B869" s="13" t="str">
        <f t="shared" si="1"/>
        <v>Devin</v>
      </c>
      <c r="C869" s="13" t="str">
        <f t="shared" si="2"/>
        <v>Carter</v>
      </c>
      <c r="D869" s="13" t="str">
        <f t="shared" si="3"/>
        <v>#N/A</v>
      </c>
      <c r="E869" s="1" t="s">
        <v>69</v>
      </c>
    </row>
    <row r="870" ht="15.75" customHeight="1">
      <c r="A870" s="1" t="s">
        <v>1155</v>
      </c>
      <c r="B870" s="13" t="str">
        <f t="shared" si="1"/>
        <v>Devin</v>
      </c>
      <c r="C870" s="13" t="str">
        <f t="shared" si="2"/>
        <v>Duvernay</v>
      </c>
      <c r="D870" s="13" t="str">
        <f t="shared" si="3"/>
        <v>#N/A</v>
      </c>
      <c r="E870" s="1" t="s">
        <v>69</v>
      </c>
    </row>
    <row r="871" ht="15.75" customHeight="1">
      <c r="A871" s="1" t="s">
        <v>1156</v>
      </c>
      <c r="B871" s="13" t="str">
        <f t="shared" si="1"/>
        <v>Devin</v>
      </c>
      <c r="C871" s="13" t="str">
        <f t="shared" si="2"/>
        <v>Fuller</v>
      </c>
      <c r="D871" s="13" t="str">
        <f t="shared" si="3"/>
        <v>#N/A</v>
      </c>
      <c r="E871" s="1" t="s">
        <v>69</v>
      </c>
    </row>
    <row r="872" ht="15.75" customHeight="1">
      <c r="A872" s="1" t="s">
        <v>1157</v>
      </c>
      <c r="B872" s="13" t="str">
        <f t="shared" si="1"/>
        <v>Devin</v>
      </c>
      <c r="C872" s="13" t="str">
        <f t="shared" si="2"/>
        <v>Funchess</v>
      </c>
      <c r="D872" s="13" t="str">
        <f t="shared" si="3"/>
        <v>#N/A</v>
      </c>
      <c r="E872" s="1" t="s">
        <v>69</v>
      </c>
    </row>
    <row r="873" ht="15.75" customHeight="1">
      <c r="A873" s="1" t="s">
        <v>1158</v>
      </c>
      <c r="B873" s="13" t="str">
        <f t="shared" si="1"/>
        <v>Devin</v>
      </c>
      <c r="C873" s="13" t="str">
        <f t="shared" si="2"/>
        <v>Gray</v>
      </c>
      <c r="D873" s="13" t="str">
        <f t="shared" si="3"/>
        <v>#N/A</v>
      </c>
      <c r="E873" s="1" t="s">
        <v>69</v>
      </c>
    </row>
    <row r="874" ht="15.75" customHeight="1">
      <c r="A874" s="1" t="s">
        <v>1159</v>
      </c>
      <c r="B874" s="13" t="str">
        <f t="shared" si="1"/>
        <v>Devin</v>
      </c>
      <c r="C874" s="13" t="str">
        <f t="shared" si="2"/>
        <v>Hester</v>
      </c>
      <c r="D874" s="13" t="str">
        <f t="shared" si="3"/>
        <v>#N/A</v>
      </c>
      <c r="E874" s="1" t="s">
        <v>69</v>
      </c>
    </row>
    <row r="875" ht="15.75" customHeight="1">
      <c r="A875" s="1" t="s">
        <v>1160</v>
      </c>
      <c r="B875" s="13" t="str">
        <f t="shared" si="1"/>
        <v>Devin</v>
      </c>
      <c r="C875" s="13" t="str">
        <f t="shared" si="2"/>
        <v>Leary</v>
      </c>
      <c r="D875" s="13" t="str">
        <f t="shared" si="3"/>
        <v>#N/A</v>
      </c>
      <c r="E875" s="1" t="s">
        <v>65</v>
      </c>
    </row>
    <row r="876" ht="15.75" customHeight="1">
      <c r="A876" s="1" t="s">
        <v>1161</v>
      </c>
      <c r="B876" s="13" t="str">
        <f t="shared" si="1"/>
        <v>Devin</v>
      </c>
      <c r="C876" s="13" t="str">
        <f t="shared" si="2"/>
        <v>Lucien</v>
      </c>
      <c r="D876" s="13" t="str">
        <f t="shared" si="3"/>
        <v>#N/A</v>
      </c>
      <c r="E876" s="1" t="s">
        <v>69</v>
      </c>
    </row>
    <row r="877" ht="15.75" customHeight="1">
      <c r="A877" s="1" t="s">
        <v>1162</v>
      </c>
      <c r="B877" s="13" t="str">
        <f t="shared" si="1"/>
        <v>Devin</v>
      </c>
      <c r="C877" s="13" t="str">
        <f t="shared" si="2"/>
        <v>Mahina</v>
      </c>
      <c r="D877" s="13" t="str">
        <f t="shared" si="3"/>
        <v>#N/A</v>
      </c>
      <c r="E877" s="1" t="s">
        <v>68</v>
      </c>
    </row>
    <row r="878" ht="15.75" customHeight="1">
      <c r="A878" s="1" t="s">
        <v>1164</v>
      </c>
      <c r="B878" s="13" t="str">
        <f t="shared" si="1"/>
        <v>Devin</v>
      </c>
      <c r="C878" s="13" t="str">
        <f t="shared" si="2"/>
        <v>Ross</v>
      </c>
      <c r="D878" s="13" t="str">
        <f t="shared" si="3"/>
        <v>#N/A</v>
      </c>
      <c r="E878" s="1" t="s">
        <v>69</v>
      </c>
    </row>
    <row r="879" ht="15.75" customHeight="1">
      <c r="A879" s="1" t="s">
        <v>238</v>
      </c>
      <c r="B879" s="13" t="str">
        <f t="shared" si="1"/>
        <v>Devin</v>
      </c>
      <c r="C879" s="13" t="str">
        <f t="shared" si="2"/>
        <v>Singletary</v>
      </c>
      <c r="D879" s="13" t="str">
        <f t="shared" si="3"/>
        <v>#N/A</v>
      </c>
      <c r="E879" s="1" t="s">
        <v>66</v>
      </c>
    </row>
    <row r="880" ht="15.75" customHeight="1">
      <c r="A880" s="1" t="s">
        <v>1165</v>
      </c>
      <c r="B880" s="13" t="str">
        <f t="shared" si="1"/>
        <v>Devin</v>
      </c>
      <c r="C880" s="13" t="str">
        <f t="shared" si="2"/>
        <v>Smith</v>
      </c>
      <c r="D880" s="13" t="str">
        <f t="shared" si="3"/>
        <v>#N/A</v>
      </c>
      <c r="E880" s="1" t="s">
        <v>69</v>
      </c>
    </row>
    <row r="881" ht="15.75" customHeight="1">
      <c r="A881" s="1" t="s">
        <v>1167</v>
      </c>
      <c r="B881" s="13" t="str">
        <f t="shared" si="1"/>
        <v>Devin</v>
      </c>
      <c r="C881" s="13" t="str">
        <f t="shared" si="2"/>
        <v>Street</v>
      </c>
      <c r="D881" s="13" t="str">
        <f t="shared" si="3"/>
        <v>#N/A</v>
      </c>
      <c r="E881" s="1" t="s">
        <v>69</v>
      </c>
    </row>
    <row r="882" ht="15.75" customHeight="1">
      <c r="A882" s="1" t="s">
        <v>1168</v>
      </c>
      <c r="B882" s="13" t="str">
        <f t="shared" si="1"/>
        <v>Devine</v>
      </c>
      <c r="C882" s="13" t="str">
        <f t="shared" si="2"/>
        <v>Ozigbo</v>
      </c>
      <c r="D882" s="13" t="str">
        <f t="shared" si="3"/>
        <v>#N/A</v>
      </c>
      <c r="E882" s="1" t="s">
        <v>66</v>
      </c>
    </row>
    <row r="883" ht="15.75" customHeight="1">
      <c r="A883" s="1" t="s">
        <v>1169</v>
      </c>
      <c r="B883" s="13" t="str">
        <f t="shared" si="1"/>
        <v>Devine</v>
      </c>
      <c r="C883" s="13" t="str">
        <f t="shared" si="2"/>
        <v>Redding</v>
      </c>
      <c r="D883" s="13" t="str">
        <f t="shared" si="3"/>
        <v>#N/A</v>
      </c>
      <c r="E883" s="1" t="s">
        <v>66</v>
      </c>
    </row>
    <row r="884" ht="15.75" customHeight="1">
      <c r="A884" s="1" t="s">
        <v>1170</v>
      </c>
      <c r="B884" s="13" t="str">
        <f t="shared" si="1"/>
        <v>Devlin</v>
      </c>
      <c r="C884" s="13" t="str">
        <f t="shared" si="2"/>
        <v>Hodges</v>
      </c>
      <c r="D884" s="13" t="str">
        <f t="shared" si="3"/>
        <v>#N/A</v>
      </c>
      <c r="E884" s="1" t="s">
        <v>65</v>
      </c>
    </row>
    <row r="885" ht="15.75" customHeight="1">
      <c r="A885" s="1" t="s">
        <v>1171</v>
      </c>
      <c r="B885" s="13" t="str">
        <f t="shared" si="1"/>
        <v>Devon</v>
      </c>
      <c r="C885" s="13" t="str">
        <f t="shared" si="2"/>
        <v>Achane</v>
      </c>
      <c r="D885" s="13" t="str">
        <f t="shared" si="3"/>
        <v>#N/A</v>
      </c>
      <c r="E885" s="1" t="s">
        <v>66</v>
      </c>
    </row>
    <row r="886" ht="15.75" customHeight="1">
      <c r="A886" s="1" t="s">
        <v>1172</v>
      </c>
      <c r="B886" s="13" t="str">
        <f t="shared" si="1"/>
        <v>Devon</v>
      </c>
      <c r="C886" s="13" t="str">
        <f t="shared" si="2"/>
        <v>Cajuste</v>
      </c>
      <c r="D886" s="13" t="str">
        <f t="shared" si="3"/>
        <v>#N/A</v>
      </c>
      <c r="E886" s="1" t="s">
        <v>68</v>
      </c>
    </row>
    <row r="887" ht="15.75" customHeight="1">
      <c r="A887" s="1" t="s">
        <v>1173</v>
      </c>
      <c r="B887" s="13" t="str">
        <f t="shared" si="1"/>
        <v>Devon</v>
      </c>
      <c r="C887" s="13" t="str">
        <f t="shared" si="2"/>
        <v>Johnson</v>
      </c>
      <c r="D887" s="13" t="str">
        <f t="shared" si="3"/>
        <v>#N/A</v>
      </c>
      <c r="E887" s="1" t="s">
        <v>66</v>
      </c>
    </row>
    <row r="888" ht="15.75" customHeight="1">
      <c r="A888" s="1" t="s">
        <v>1174</v>
      </c>
      <c r="B888" s="13" t="str">
        <f t="shared" si="1"/>
        <v>Devon</v>
      </c>
      <c r="C888" s="13" t="str">
        <f t="shared" si="2"/>
        <v>Williams</v>
      </c>
      <c r="D888" s="13" t="str">
        <f t="shared" si="3"/>
        <v>#N/A</v>
      </c>
      <c r="E888" s="1" t="s">
        <v>69</v>
      </c>
    </row>
    <row r="889" ht="15.75" customHeight="1">
      <c r="A889" s="1" t="s">
        <v>1175</v>
      </c>
      <c r="B889" s="13" t="str">
        <f t="shared" si="1"/>
        <v>Devon</v>
      </c>
      <c r="C889" s="13" t="str">
        <f t="shared" si="2"/>
        <v>Wylie</v>
      </c>
      <c r="D889" s="13" t="str">
        <f t="shared" si="3"/>
        <v>#N/A</v>
      </c>
      <c r="E889" s="1" t="s">
        <v>69</v>
      </c>
    </row>
    <row r="890" ht="15.75" customHeight="1">
      <c r="A890" s="1" t="s">
        <v>841</v>
      </c>
      <c r="B890" s="13" t="str">
        <f t="shared" si="1"/>
        <v>Devonta</v>
      </c>
      <c r="C890" s="13" t="str">
        <f t="shared" si="2"/>
        <v>Freeman</v>
      </c>
      <c r="D890" s="13" t="str">
        <f t="shared" si="3"/>
        <v>#N/A</v>
      </c>
      <c r="E890" s="1" t="s">
        <v>66</v>
      </c>
    </row>
    <row r="891" ht="15.75" customHeight="1">
      <c r="A891" s="1" t="s">
        <v>1176</v>
      </c>
      <c r="B891" s="13" t="str">
        <f t="shared" si="1"/>
        <v>Devonta</v>
      </c>
      <c r="C891" s="13" t="str">
        <f t="shared" si="2"/>
        <v>Smith</v>
      </c>
      <c r="D891" s="13" t="str">
        <f t="shared" si="3"/>
        <v>#N/A</v>
      </c>
      <c r="E891" s="1" t="s">
        <v>69</v>
      </c>
    </row>
    <row r="892" ht="15.75" customHeight="1">
      <c r="A892" s="1" t="s">
        <v>1177</v>
      </c>
      <c r="B892" s="13" t="str">
        <f t="shared" si="1"/>
        <v>Devontae</v>
      </c>
      <c r="C892" s="13" t="str">
        <f t="shared" si="2"/>
        <v>Booker</v>
      </c>
      <c r="D892" s="13" t="str">
        <f t="shared" si="3"/>
        <v>#N/A</v>
      </c>
      <c r="E892" s="1" t="s">
        <v>66</v>
      </c>
    </row>
    <row r="893" ht="15.75" customHeight="1">
      <c r="A893" s="1" t="s">
        <v>1178</v>
      </c>
      <c r="B893" s="13" t="str">
        <f t="shared" si="1"/>
        <v>Devontae</v>
      </c>
      <c r="C893" s="13" t="str">
        <f t="shared" si="2"/>
        <v>Jackson</v>
      </c>
      <c r="D893" s="13" t="str">
        <f t="shared" si="3"/>
        <v>#N/A</v>
      </c>
      <c r="E893" s="1" t="s">
        <v>66</v>
      </c>
    </row>
    <row r="894" ht="15.75" customHeight="1">
      <c r="A894" s="1" t="s">
        <v>1179</v>
      </c>
      <c r="B894" s="13" t="str">
        <f t="shared" si="1"/>
        <v>Devonte</v>
      </c>
      <c r="C894" s="13" t="str">
        <f t="shared" si="2"/>
        <v>Boyd</v>
      </c>
      <c r="D894" s="13" t="str">
        <f t="shared" si="3"/>
        <v>#N/A</v>
      </c>
      <c r="E894" s="1" t="s">
        <v>69</v>
      </c>
    </row>
    <row r="895" ht="15.75" customHeight="1">
      <c r="A895" s="1" t="s">
        <v>1180</v>
      </c>
      <c r="B895" s="13" t="str">
        <f t="shared" si="1"/>
        <v>DeVontres</v>
      </c>
      <c r="C895" s="13" t="str">
        <f t="shared" si="2"/>
        <v>Dukes</v>
      </c>
      <c r="D895" s="13" t="str">
        <f t="shared" si="3"/>
        <v>#N/A</v>
      </c>
      <c r="E895" s="1" t="s">
        <v>69</v>
      </c>
    </row>
    <row r="896" ht="15.75" customHeight="1">
      <c r="A896" s="1" t="s">
        <v>1181</v>
      </c>
      <c r="B896" s="13" t="str">
        <f t="shared" si="1"/>
        <v>Dexter</v>
      </c>
      <c r="C896" s="13" t="str">
        <f t="shared" si="2"/>
        <v>McCluster</v>
      </c>
      <c r="D896" s="13" t="str">
        <f t="shared" si="3"/>
        <v>#N/A</v>
      </c>
      <c r="E896" s="1" t="s">
        <v>66</v>
      </c>
    </row>
    <row r="897" ht="15.75" customHeight="1">
      <c r="A897" s="1" t="s">
        <v>1182</v>
      </c>
      <c r="B897" s="13" t="str">
        <f t="shared" si="1"/>
        <v>Dexter</v>
      </c>
      <c r="C897" s="13" t="str">
        <f t="shared" si="2"/>
        <v>Williams</v>
      </c>
      <c r="D897" s="13" t="str">
        <f t="shared" si="3"/>
        <v>#N/A</v>
      </c>
      <c r="E897" s="1" t="s">
        <v>66</v>
      </c>
    </row>
    <row r="898" ht="15.75" customHeight="1">
      <c r="A898" s="1" t="s">
        <v>1183</v>
      </c>
      <c r="B898" s="13" t="str">
        <f t="shared" si="1"/>
        <v>Dez</v>
      </c>
      <c r="C898" s="13" t="str">
        <f t="shared" si="2"/>
        <v>Bryant</v>
      </c>
      <c r="D898" s="13" t="str">
        <f t="shared" si="3"/>
        <v>#N/A</v>
      </c>
      <c r="E898" s="1" t="s">
        <v>69</v>
      </c>
    </row>
    <row r="899" ht="15.75" customHeight="1">
      <c r="A899" s="1" t="s">
        <v>1184</v>
      </c>
      <c r="B899" s="13" t="str">
        <f t="shared" si="1"/>
        <v>Dez</v>
      </c>
      <c r="C899" s="13" t="str">
        <f t="shared" si="2"/>
        <v>Fitzpatrick</v>
      </c>
      <c r="D899" s="13" t="str">
        <f t="shared" si="3"/>
        <v>#N/A</v>
      </c>
      <c r="E899" s="1" t="s">
        <v>69</v>
      </c>
    </row>
    <row r="900" ht="15.75" customHeight="1">
      <c r="A900" s="1" t="s">
        <v>1185</v>
      </c>
      <c r="B900" s="13" t="str">
        <f t="shared" si="1"/>
        <v>De'Zhaun</v>
      </c>
      <c r="C900" s="13" t="str">
        <f t="shared" si="2"/>
        <v>Stribling</v>
      </c>
      <c r="D900" s="13" t="str">
        <f t="shared" si="3"/>
        <v>#N/A</v>
      </c>
      <c r="E900" s="1" t="s">
        <v>69</v>
      </c>
    </row>
    <row r="901" ht="15.75" customHeight="1">
      <c r="A901" s="1" t="s">
        <v>1186</v>
      </c>
      <c r="B901" s="13" t="str">
        <f t="shared" si="1"/>
        <v>Dezmin</v>
      </c>
      <c r="C901" s="13" t="str">
        <f t="shared" si="2"/>
        <v>Lewis</v>
      </c>
      <c r="D901" s="13" t="str">
        <f t="shared" si="3"/>
        <v>#N/A</v>
      </c>
      <c r="E901" s="1" t="s">
        <v>69</v>
      </c>
    </row>
    <row r="902" ht="15.75" customHeight="1">
      <c r="A902" s="1" t="s">
        <v>1187</v>
      </c>
      <c r="B902" s="13" t="str">
        <f t="shared" si="1"/>
        <v>Dezmon</v>
      </c>
      <c r="C902" s="13" t="str">
        <f t="shared" si="2"/>
        <v>Patmon</v>
      </c>
      <c r="D902" s="13" t="str">
        <f t="shared" si="3"/>
        <v>#N/A</v>
      </c>
      <c r="E902" s="1" t="s">
        <v>69</v>
      </c>
    </row>
    <row r="903" ht="15.75" customHeight="1">
      <c r="A903" s="1" t="s">
        <v>1188</v>
      </c>
      <c r="B903" s="13" t="str">
        <f t="shared" si="1"/>
        <v>Dillon</v>
      </c>
      <c r="C903" s="13" t="str">
        <f t="shared" si="2"/>
        <v>Baxter</v>
      </c>
      <c r="D903" s="13" t="str">
        <f t="shared" si="3"/>
        <v>#N/A</v>
      </c>
      <c r="E903" s="1" t="s">
        <v>66</v>
      </c>
    </row>
    <row r="904" ht="15.75" customHeight="1">
      <c r="A904" s="1" t="s">
        <v>1189</v>
      </c>
      <c r="B904" s="13" t="str">
        <f t="shared" si="1"/>
        <v>Dillon</v>
      </c>
      <c r="C904" s="13" t="str">
        <f t="shared" si="2"/>
        <v>Gabriel</v>
      </c>
      <c r="D904" s="13" t="str">
        <f t="shared" si="3"/>
        <v>#N/A</v>
      </c>
      <c r="E904" s="1" t="s">
        <v>65</v>
      </c>
    </row>
    <row r="905" ht="15.75" customHeight="1">
      <c r="A905" s="1" t="s">
        <v>1190</v>
      </c>
      <c r="B905" s="13" t="str">
        <f t="shared" si="1"/>
        <v>Dillon</v>
      </c>
      <c r="C905" s="13" t="str">
        <f t="shared" si="2"/>
        <v>Mitchell</v>
      </c>
      <c r="D905" s="13" t="str">
        <f t="shared" si="3"/>
        <v>#N/A</v>
      </c>
      <c r="E905" s="1" t="s">
        <v>69</v>
      </c>
    </row>
    <row r="906" ht="15.75" customHeight="1">
      <c r="A906" s="1" t="s">
        <v>1191</v>
      </c>
      <c r="B906" s="13" t="str">
        <f t="shared" si="1"/>
        <v>Dillon</v>
      </c>
      <c r="C906" s="13" t="str">
        <f t="shared" si="2"/>
        <v>Stoner</v>
      </c>
      <c r="D906" s="13" t="str">
        <f t="shared" si="3"/>
        <v>#N/A</v>
      </c>
      <c r="E906" s="1" t="s">
        <v>69</v>
      </c>
    </row>
    <row r="907" ht="15.75" customHeight="1">
      <c r="A907" s="1" t="s">
        <v>1192</v>
      </c>
      <c r="B907" s="13" t="str">
        <f t="shared" si="1"/>
        <v>Dimitri</v>
      </c>
      <c r="C907" s="13" t="str">
        <f t="shared" si="2"/>
        <v>Flowers</v>
      </c>
      <c r="D907" s="13" t="str">
        <f t="shared" si="3"/>
        <v>#N/A</v>
      </c>
      <c r="E907" s="1" t="s">
        <v>66</v>
      </c>
    </row>
    <row r="908" ht="15.75" customHeight="1">
      <c r="A908" s="1" t="s">
        <v>1135</v>
      </c>
      <c r="B908" s="13" t="str">
        <f t="shared" si="1"/>
        <v>Dion</v>
      </c>
      <c r="C908" s="13" t="str">
        <f t="shared" si="2"/>
        <v>Lewis</v>
      </c>
      <c r="D908" s="13" t="str">
        <f t="shared" si="3"/>
        <v>#N/A</v>
      </c>
      <c r="E908" s="1" t="s">
        <v>66</v>
      </c>
    </row>
    <row r="909" ht="15.75" customHeight="1">
      <c r="A909" s="1" t="s">
        <v>1193</v>
      </c>
      <c r="B909" s="13" t="str">
        <f t="shared" si="1"/>
        <v>Dion</v>
      </c>
      <c r="C909" s="13" t="str">
        <f t="shared" si="2"/>
        <v>Sims</v>
      </c>
      <c r="D909" s="13" t="str">
        <f t="shared" si="3"/>
        <v>#N/A</v>
      </c>
      <c r="E909" s="1" t="s">
        <v>68</v>
      </c>
    </row>
    <row r="910" ht="15.75" customHeight="1">
      <c r="A910" s="1" t="s">
        <v>82</v>
      </c>
      <c r="B910" s="13" t="str">
        <f t="shared" si="1"/>
        <v>Diontae</v>
      </c>
      <c r="C910" s="13" t="str">
        <f t="shared" si="2"/>
        <v>Johnson</v>
      </c>
      <c r="D910" s="13" t="str">
        <f t="shared" si="3"/>
        <v>#N/A</v>
      </c>
      <c r="E910" s="1" t="s">
        <v>69</v>
      </c>
    </row>
    <row r="911" ht="15.75" customHeight="1">
      <c r="A911" s="1" t="s">
        <v>1194</v>
      </c>
      <c r="B911" s="13" t="str">
        <f t="shared" si="1"/>
        <v>Diontae</v>
      </c>
      <c r="C911" s="13" t="str">
        <f t="shared" si="2"/>
        <v>Spencer</v>
      </c>
      <c r="D911" s="13" t="str">
        <f t="shared" si="3"/>
        <v>#N/A</v>
      </c>
      <c r="E911" s="1" t="s">
        <v>69</v>
      </c>
    </row>
    <row r="912" ht="15.75" customHeight="1">
      <c r="A912" s="1" t="s">
        <v>1195</v>
      </c>
      <c r="B912" s="13" t="str">
        <f t="shared" si="1"/>
        <v>Dom</v>
      </c>
      <c r="C912" s="13" t="str">
        <f t="shared" si="2"/>
        <v>Williams</v>
      </c>
      <c r="D912" s="13" t="str">
        <f t="shared" si="3"/>
        <v>#N/A</v>
      </c>
      <c r="E912" s="1" t="s">
        <v>69</v>
      </c>
    </row>
    <row r="913" ht="15.75" customHeight="1">
      <c r="A913" s="1" t="s">
        <v>1197</v>
      </c>
      <c r="B913" s="13" t="str">
        <f t="shared" si="1"/>
        <v>Domenik</v>
      </c>
      <c r="C913" s="13" t="str">
        <f t="shared" si="2"/>
        <v>Hixon</v>
      </c>
      <c r="D913" s="13" t="str">
        <f t="shared" si="3"/>
        <v>#N/A</v>
      </c>
      <c r="E913" s="1" t="s">
        <v>69</v>
      </c>
    </row>
    <row r="914" ht="15.75" customHeight="1">
      <c r="A914" s="1" t="s">
        <v>1198</v>
      </c>
      <c r="B914" s="13" t="str">
        <f t="shared" si="1"/>
        <v>Dominic</v>
      </c>
      <c r="C914" s="13" t="str">
        <f t="shared" si="2"/>
        <v>Richardson</v>
      </c>
      <c r="D914" s="13" t="str">
        <f t="shared" si="3"/>
        <v>#N/A</v>
      </c>
      <c r="E914" s="1" t="s">
        <v>66</v>
      </c>
    </row>
    <row r="915" ht="15.75" customHeight="1">
      <c r="A915" s="1" t="s">
        <v>1199</v>
      </c>
      <c r="B915" s="13" t="str">
        <f t="shared" si="1"/>
        <v>Dominick</v>
      </c>
      <c r="C915" s="13" t="str">
        <f t="shared" si="2"/>
        <v>Blaylock</v>
      </c>
      <c r="D915" s="13" t="str">
        <f t="shared" si="3"/>
        <v>#N/A</v>
      </c>
      <c r="E915" s="1" t="s">
        <v>69</v>
      </c>
    </row>
    <row r="916" ht="15.75" customHeight="1">
      <c r="A916" s="1" t="s">
        <v>1200</v>
      </c>
      <c r="B916" s="13" t="str">
        <f t="shared" si="1"/>
        <v>Dominick</v>
      </c>
      <c r="C916" s="13" t="str">
        <f t="shared" si="2"/>
        <v>Bragalone</v>
      </c>
      <c r="D916" s="13" t="str">
        <f t="shared" si="3"/>
        <v>#N/A</v>
      </c>
      <c r="E916" s="1" t="s">
        <v>66</v>
      </c>
    </row>
    <row r="917" ht="15.75" customHeight="1">
      <c r="A917" s="1" t="s">
        <v>1201</v>
      </c>
      <c r="B917" s="13" t="str">
        <f t="shared" si="1"/>
        <v>Dominick</v>
      </c>
      <c r="C917" s="13" t="str">
        <f t="shared" si="2"/>
        <v>Wood-Anderson</v>
      </c>
      <c r="D917" s="13" t="str">
        <f t="shared" si="3"/>
        <v>#N/A</v>
      </c>
      <c r="E917" s="1" t="s">
        <v>68</v>
      </c>
    </row>
    <row r="918" ht="15.75" customHeight="1">
      <c r="A918" s="1" t="s">
        <v>1202</v>
      </c>
      <c r="B918" s="13" t="str">
        <f t="shared" si="1"/>
        <v>Dominique</v>
      </c>
      <c r="C918" s="13" t="str">
        <f t="shared" si="2"/>
        <v>Brown</v>
      </c>
      <c r="D918" s="13" t="str">
        <f t="shared" si="3"/>
        <v>#N/A</v>
      </c>
      <c r="E918" s="1" t="s">
        <v>66</v>
      </c>
    </row>
    <row r="919" ht="15.75" customHeight="1">
      <c r="A919" s="1" t="s">
        <v>1203</v>
      </c>
      <c r="B919" s="13" t="str">
        <f t="shared" si="1"/>
        <v>Dominique</v>
      </c>
      <c r="C919" s="13" t="str">
        <f t="shared" si="2"/>
        <v>Dafney</v>
      </c>
      <c r="D919" s="13" t="str">
        <f t="shared" si="3"/>
        <v>#N/A</v>
      </c>
      <c r="E919" s="1" t="s">
        <v>68</v>
      </c>
    </row>
    <row r="920" ht="15.75" customHeight="1">
      <c r="A920" s="1" t="s">
        <v>1204</v>
      </c>
      <c r="B920" s="13" t="str">
        <f t="shared" si="1"/>
        <v>Dominique</v>
      </c>
      <c r="C920" s="13" t="str">
        <f t="shared" si="2"/>
        <v>Davis</v>
      </c>
      <c r="D920" s="13" t="str">
        <f t="shared" si="3"/>
        <v>#N/A</v>
      </c>
      <c r="E920" s="1" t="s">
        <v>65</v>
      </c>
    </row>
    <row r="921" ht="15.75" customHeight="1">
      <c r="A921" s="1" t="s">
        <v>1205</v>
      </c>
      <c r="B921" s="13" t="str">
        <f t="shared" si="1"/>
        <v>Dominique</v>
      </c>
      <c r="C921" s="13" t="str">
        <f t="shared" si="2"/>
        <v>Jones</v>
      </c>
      <c r="D921" s="13" t="str">
        <f t="shared" si="3"/>
        <v>#N/A</v>
      </c>
      <c r="E921" s="1" t="s">
        <v>68</v>
      </c>
    </row>
    <row r="922" ht="15.75" customHeight="1">
      <c r="A922" s="1" t="s">
        <v>1206</v>
      </c>
      <c r="B922" s="13" t="str">
        <f t="shared" si="1"/>
        <v>Dominique</v>
      </c>
      <c r="C922" s="13" t="str">
        <f t="shared" si="2"/>
        <v>Williams</v>
      </c>
      <c r="D922" s="13" t="str">
        <f t="shared" si="3"/>
        <v>#N/A</v>
      </c>
      <c r="E922" s="1" t="s">
        <v>66</v>
      </c>
    </row>
    <row r="923" ht="15.75" customHeight="1">
      <c r="A923" s="1" t="s">
        <v>1207</v>
      </c>
      <c r="B923" s="13" t="str">
        <f t="shared" si="1"/>
        <v>Don</v>
      </c>
      <c r="C923" s="13" t="str">
        <f t="shared" si="2"/>
        <v>Jackson</v>
      </c>
      <c r="D923" s="13" t="str">
        <f t="shared" si="3"/>
        <v>#N/A</v>
      </c>
      <c r="E923" s="1" t="s">
        <v>66</v>
      </c>
    </row>
    <row r="924" ht="15.75" customHeight="1">
      <c r="A924" s="1" t="s">
        <v>1208</v>
      </c>
      <c r="B924" s="13" t="str">
        <f t="shared" si="1"/>
        <v>Donald</v>
      </c>
      <c r="C924" s="13" t="str">
        <f t="shared" si="2"/>
        <v>Brown</v>
      </c>
      <c r="D924" s="13" t="str">
        <f t="shared" si="3"/>
        <v>#N/A</v>
      </c>
      <c r="E924" s="1" t="s">
        <v>66</v>
      </c>
    </row>
    <row r="925" ht="15.75" customHeight="1">
      <c r="A925" s="1" t="s">
        <v>1209</v>
      </c>
      <c r="B925" s="13" t="str">
        <f t="shared" si="1"/>
        <v>Donald</v>
      </c>
      <c r="C925" s="13" t="str">
        <f t="shared" si="2"/>
        <v>Parham</v>
      </c>
      <c r="D925" s="13" t="str">
        <f t="shared" si="3"/>
        <v>#N/A</v>
      </c>
      <c r="E925" s="1" t="s">
        <v>68</v>
      </c>
    </row>
    <row r="926" ht="15.75" customHeight="1">
      <c r="A926" s="1" t="s">
        <v>1210</v>
      </c>
      <c r="B926" s="13" t="str">
        <f t="shared" si="1"/>
        <v>Donavon</v>
      </c>
      <c r="C926" s="13" t="str">
        <f t="shared" si="2"/>
        <v>Greene</v>
      </c>
      <c r="D926" s="13" t="str">
        <f t="shared" si="3"/>
        <v>#N/A</v>
      </c>
      <c r="E926" s="1" t="s">
        <v>69</v>
      </c>
    </row>
    <row r="927" ht="15.75" customHeight="1">
      <c r="A927" s="1" t="s">
        <v>1211</v>
      </c>
      <c r="B927" s="13" t="str">
        <f t="shared" si="1"/>
        <v>Donnel</v>
      </c>
      <c r="C927" s="13" t="str">
        <f t="shared" si="2"/>
        <v>Pumphrey</v>
      </c>
      <c r="D927" s="13" t="str">
        <f t="shared" si="3"/>
        <v>#N/A</v>
      </c>
      <c r="E927" s="1" t="s">
        <v>66</v>
      </c>
    </row>
    <row r="928" ht="15.75" customHeight="1">
      <c r="A928" s="1" t="s">
        <v>1212</v>
      </c>
      <c r="B928" s="13" t="str">
        <f t="shared" si="1"/>
        <v>Donnie</v>
      </c>
      <c r="C928" s="13" t="str">
        <f t="shared" si="2"/>
        <v>Avery</v>
      </c>
      <c r="D928" s="13" t="str">
        <f t="shared" si="3"/>
        <v>#N/A</v>
      </c>
      <c r="E928" s="1" t="s">
        <v>69</v>
      </c>
    </row>
    <row r="929" ht="15.75" customHeight="1">
      <c r="A929" s="1" t="s">
        <v>1213</v>
      </c>
      <c r="B929" s="13" t="str">
        <f t="shared" si="1"/>
        <v>Donnie</v>
      </c>
      <c r="C929" s="13" t="str">
        <f t="shared" si="2"/>
        <v>Corley</v>
      </c>
      <c r="D929" s="13" t="str">
        <f t="shared" si="3"/>
        <v>#N/A</v>
      </c>
      <c r="E929" s="1" t="s">
        <v>69</v>
      </c>
    </row>
    <row r="930" ht="15.75" customHeight="1">
      <c r="A930" s="1" t="s">
        <v>1214</v>
      </c>
      <c r="B930" s="13" t="str">
        <f t="shared" si="1"/>
        <v>Donnie</v>
      </c>
      <c r="C930" s="13" t="str">
        <f t="shared" si="2"/>
        <v>Ernsberger</v>
      </c>
      <c r="D930" s="13" t="str">
        <f t="shared" si="3"/>
        <v>#N/A</v>
      </c>
      <c r="E930" s="1" t="s">
        <v>68</v>
      </c>
    </row>
    <row r="931" ht="15.75" customHeight="1">
      <c r="A931" s="1" t="s">
        <v>1215</v>
      </c>
      <c r="B931" s="13" t="str">
        <f t="shared" si="1"/>
        <v>Donovan</v>
      </c>
      <c r="C931" s="13" t="str">
        <f t="shared" si="2"/>
        <v>Peoples-Jones</v>
      </c>
      <c r="D931" s="13" t="str">
        <f t="shared" si="3"/>
        <v>#N/A</v>
      </c>
      <c r="E931" s="1" t="s">
        <v>69</v>
      </c>
    </row>
    <row r="932" ht="15.75" customHeight="1">
      <c r="A932" s="1" t="s">
        <v>1216</v>
      </c>
      <c r="B932" s="13" t="str">
        <f t="shared" si="1"/>
        <v>#VALUE!</v>
      </c>
      <c r="C932" s="13" t="str">
        <f t="shared" si="2"/>
        <v>#VALUE!</v>
      </c>
      <c r="D932" s="13" t="str">
        <f t="shared" si="3"/>
        <v>#N/A</v>
      </c>
      <c r="E932" s="1" t="s">
        <v>66</v>
      </c>
    </row>
    <row r="933" ht="15.75" customHeight="1">
      <c r="A933" s="1" t="s">
        <v>1217</v>
      </c>
      <c r="B933" s="13" t="str">
        <f t="shared" si="1"/>
        <v>D'Onta</v>
      </c>
      <c r="C933" s="13" t="str">
        <f t="shared" si="2"/>
        <v>Foreman</v>
      </c>
      <c r="D933" s="13" t="str">
        <f t="shared" si="3"/>
        <v>#N/A</v>
      </c>
      <c r="E933" s="1" t="s">
        <v>66</v>
      </c>
    </row>
    <row r="934" ht="15.75" customHeight="1">
      <c r="A934" s="1" t="s">
        <v>1218</v>
      </c>
      <c r="B934" s="13" t="str">
        <f t="shared" si="1"/>
        <v>Dontae</v>
      </c>
      <c r="C934" s="13" t="str">
        <f t="shared" si="2"/>
        <v>Strickland</v>
      </c>
      <c r="D934" s="13" t="str">
        <f t="shared" si="3"/>
        <v>#N/A</v>
      </c>
      <c r="E934" s="1" t="s">
        <v>66</v>
      </c>
    </row>
    <row r="935" ht="15.75" customHeight="1">
      <c r="A935" s="1" t="s">
        <v>1219</v>
      </c>
      <c r="B935" s="13" t="str">
        <f t="shared" si="1"/>
        <v>Dontario</v>
      </c>
      <c r="C935" s="13" t="str">
        <f t="shared" si="2"/>
        <v>Drummond</v>
      </c>
      <c r="D935" s="13" t="str">
        <f t="shared" si="3"/>
        <v>#N/A</v>
      </c>
      <c r="E935" s="1" t="s">
        <v>69</v>
      </c>
    </row>
    <row r="936" ht="15.75" customHeight="1">
      <c r="A936" s="1" t="s">
        <v>1220</v>
      </c>
      <c r="B936" s="13" t="str">
        <f t="shared" si="1"/>
        <v>Dontay</v>
      </c>
      <c r="C936" s="13" t="str">
        <f t="shared" si="2"/>
        <v>Demus</v>
      </c>
      <c r="D936" s="13" t="str">
        <f t="shared" si="3"/>
        <v>#N/A</v>
      </c>
      <c r="E936" s="1" t="s">
        <v>69</v>
      </c>
    </row>
    <row r="937" ht="15.75" customHeight="1">
      <c r="A937" s="1" t="s">
        <v>1221</v>
      </c>
      <c r="B937" s="13" t="str">
        <f t="shared" si="1"/>
        <v>Dontayvion</v>
      </c>
      <c r="C937" s="13" t="str">
        <f t="shared" si="2"/>
        <v>Wicks</v>
      </c>
      <c r="D937" s="13" t="str">
        <f t="shared" si="3"/>
        <v>#N/A</v>
      </c>
      <c r="E937" s="1" t="s">
        <v>69</v>
      </c>
    </row>
    <row r="938" ht="15.75" customHeight="1">
      <c r="A938" s="1" t="s">
        <v>1222</v>
      </c>
      <c r="B938" s="13" t="str">
        <f t="shared" si="1"/>
        <v>Donte</v>
      </c>
      <c r="C938" s="13" t="str">
        <f t="shared" si="2"/>
        <v>Foster</v>
      </c>
      <c r="D938" s="13" t="str">
        <f t="shared" si="3"/>
        <v>#N/A</v>
      </c>
      <c r="E938" s="1" t="s">
        <v>69</v>
      </c>
    </row>
    <row r="939" ht="15.75" customHeight="1">
      <c r="A939" s="1" t="s">
        <v>972</v>
      </c>
      <c r="B939" s="13" t="str">
        <f t="shared" si="1"/>
        <v>Donte</v>
      </c>
      <c r="C939" s="13" t="str">
        <f t="shared" si="2"/>
        <v>Moncrief</v>
      </c>
      <c r="D939" s="13" t="str">
        <f t="shared" si="3"/>
        <v>#N/A</v>
      </c>
      <c r="E939" s="1" t="s">
        <v>69</v>
      </c>
    </row>
    <row r="940" ht="15.75" customHeight="1">
      <c r="A940" s="1" t="s">
        <v>1223</v>
      </c>
      <c r="B940" s="13" t="str">
        <f t="shared" si="1"/>
        <v>Donte</v>
      </c>
      <c r="C940" s="13" t="str">
        <f t="shared" si="2"/>
        <v>Stallworth</v>
      </c>
      <c r="D940" s="13" t="str">
        <f t="shared" si="3"/>
        <v>#N/A</v>
      </c>
      <c r="E940" s="1" t="s">
        <v>69</v>
      </c>
    </row>
    <row r="941" ht="15.75" customHeight="1">
      <c r="A941" s="1" t="s">
        <v>1224</v>
      </c>
      <c r="B941" s="13" t="str">
        <f t="shared" si="1"/>
        <v>Dont'e</v>
      </c>
      <c r="C941" s="13" t="str">
        <f t="shared" si="2"/>
        <v>Thornton</v>
      </c>
      <c r="D941" s="13" t="str">
        <f t="shared" si="3"/>
        <v>#N/A</v>
      </c>
      <c r="E941" s="1" t="s">
        <v>69</v>
      </c>
    </row>
    <row r="942" ht="15.75" customHeight="1">
      <c r="A942" s="1" t="s">
        <v>1225</v>
      </c>
      <c r="B942" s="13" t="str">
        <f t="shared" si="1"/>
        <v>Donteea</v>
      </c>
      <c r="C942" s="13" t="str">
        <f t="shared" si="2"/>
        <v>Dye</v>
      </c>
      <c r="D942" s="13" t="str">
        <f t="shared" si="3"/>
        <v>#N/A</v>
      </c>
      <c r="E942" s="1" t="s">
        <v>69</v>
      </c>
    </row>
    <row r="943" ht="15.75" customHeight="1">
      <c r="A943" s="1" t="s">
        <v>1226</v>
      </c>
      <c r="B943" s="13" t="str">
        <f t="shared" si="1"/>
        <v>Dontez</v>
      </c>
      <c r="C943" s="13" t="str">
        <f t="shared" si="2"/>
        <v>Ford</v>
      </c>
      <c r="D943" s="13" t="str">
        <f t="shared" si="3"/>
        <v>#N/A</v>
      </c>
      <c r="E943" s="1" t="s">
        <v>69</v>
      </c>
    </row>
    <row r="944" ht="15.75" customHeight="1">
      <c r="A944" s="1" t="s">
        <v>1227</v>
      </c>
      <c r="B944" s="13" t="str">
        <f t="shared" si="1"/>
        <v>Dontre</v>
      </c>
      <c r="C944" s="13" t="str">
        <f t="shared" si="2"/>
        <v>Wilson</v>
      </c>
      <c r="D944" s="13" t="str">
        <f t="shared" si="3"/>
        <v>#N/A</v>
      </c>
      <c r="E944" s="1" t="s">
        <v>69</v>
      </c>
    </row>
    <row r="945" ht="15.75" customHeight="1">
      <c r="A945" s="1" t="s">
        <v>1228</v>
      </c>
      <c r="B945" s="13" t="str">
        <f t="shared" si="1"/>
        <v>Dontrell</v>
      </c>
      <c r="C945" s="13" t="str">
        <f t="shared" si="2"/>
        <v>Hilliard</v>
      </c>
      <c r="D945" s="13" t="str">
        <f t="shared" si="3"/>
        <v>#N/A</v>
      </c>
      <c r="E945" s="1" t="s">
        <v>66</v>
      </c>
    </row>
    <row r="946" ht="15.75" customHeight="1">
      <c r="A946" s="1" t="s">
        <v>1229</v>
      </c>
      <c r="B946" s="13" t="str">
        <f t="shared" si="1"/>
        <v>Dontrelle</v>
      </c>
      <c r="C946" s="13" t="str">
        <f t="shared" si="2"/>
        <v>Inman</v>
      </c>
      <c r="D946" s="13" t="str">
        <f t="shared" si="3"/>
        <v>#N/A</v>
      </c>
      <c r="E946" s="1" t="s">
        <v>69</v>
      </c>
    </row>
    <row r="947" ht="15.75" customHeight="1">
      <c r="A947" s="1" t="s">
        <v>1230</v>
      </c>
      <c r="B947" s="13" t="str">
        <f t="shared" si="1"/>
        <v>Dorial</v>
      </c>
      <c r="C947" s="13" t="str">
        <f t="shared" si="2"/>
        <v>Green-Beckham</v>
      </c>
      <c r="D947" s="13" t="str">
        <f t="shared" si="3"/>
        <v>#N/A</v>
      </c>
      <c r="E947" s="1" t="s">
        <v>69</v>
      </c>
    </row>
    <row r="948" ht="15.75" customHeight="1">
      <c r="A948" s="1" t="s">
        <v>1231</v>
      </c>
      <c r="B948" s="13" t="str">
        <f t="shared" si="1"/>
        <v>Dorian</v>
      </c>
      <c r="C948" s="13" t="str">
        <f t="shared" si="2"/>
        <v>Baker</v>
      </c>
      <c r="D948" s="13" t="str">
        <f t="shared" si="3"/>
        <v>#N/A</v>
      </c>
      <c r="E948" s="1" t="s">
        <v>69</v>
      </c>
    </row>
    <row r="949" ht="15.75" customHeight="1">
      <c r="A949" s="1" t="s">
        <v>1232</v>
      </c>
      <c r="B949" s="13" t="str">
        <f t="shared" si="1"/>
        <v>Dorian</v>
      </c>
      <c r="C949" s="13" t="str">
        <f t="shared" si="2"/>
        <v>Thompson-Robinson</v>
      </c>
      <c r="D949" s="13" t="str">
        <f t="shared" si="3"/>
        <v>#N/A</v>
      </c>
      <c r="E949" s="1" t="s">
        <v>65</v>
      </c>
    </row>
    <row r="950" ht="15.75" customHeight="1">
      <c r="A950" s="1" t="s">
        <v>1233</v>
      </c>
      <c r="B950" s="13" t="str">
        <f t="shared" si="1"/>
        <v>Dorren</v>
      </c>
      <c r="C950" s="13" t="str">
        <f t="shared" si="2"/>
        <v>Miller</v>
      </c>
      <c r="D950" s="13" t="str">
        <f t="shared" si="3"/>
        <v>#N/A</v>
      </c>
      <c r="E950" s="1" t="s">
        <v>69</v>
      </c>
    </row>
    <row r="951" ht="15.75" customHeight="1">
      <c r="A951" s="1" t="s">
        <v>1235</v>
      </c>
      <c r="B951" s="13" t="str">
        <f t="shared" si="1"/>
        <v>Doug</v>
      </c>
      <c r="C951" s="13" t="str">
        <f t="shared" si="2"/>
        <v>Baldwin</v>
      </c>
      <c r="D951" s="13" t="str">
        <f t="shared" si="3"/>
        <v>#N/A</v>
      </c>
      <c r="E951" s="1" t="s">
        <v>69</v>
      </c>
    </row>
    <row r="952" ht="15.75" customHeight="1">
      <c r="A952" s="1" t="s">
        <v>1236</v>
      </c>
      <c r="B952" s="13" t="str">
        <f t="shared" si="1"/>
        <v>Doug</v>
      </c>
      <c r="C952" s="13" t="str">
        <f t="shared" si="2"/>
        <v>Flutie</v>
      </c>
      <c r="D952" s="13" t="str">
        <f t="shared" si="3"/>
        <v>#N/A</v>
      </c>
      <c r="E952" s="1" t="s">
        <v>65</v>
      </c>
    </row>
    <row r="953" ht="15.75" customHeight="1">
      <c r="A953" s="1" t="s">
        <v>1237</v>
      </c>
      <c r="B953" s="13" t="str">
        <f t="shared" si="1"/>
        <v>Doug</v>
      </c>
      <c r="C953" s="13" t="str">
        <f t="shared" si="2"/>
        <v>Martin</v>
      </c>
      <c r="D953" s="13" t="str">
        <f t="shared" si="3"/>
        <v>#N/A</v>
      </c>
      <c r="E953" s="1" t="s">
        <v>66</v>
      </c>
    </row>
    <row r="954" ht="15.75" customHeight="1">
      <c r="A954" s="1" t="s">
        <v>1238</v>
      </c>
      <c r="B954" s="13" t="str">
        <f t="shared" si="1"/>
        <v>Douglas</v>
      </c>
      <c r="C954" s="13" t="str">
        <f t="shared" si="2"/>
        <v>McNeil</v>
      </c>
      <c r="D954" s="13" t="str">
        <f t="shared" si="3"/>
        <v>#N/A</v>
      </c>
      <c r="E954" s="1" t="s">
        <v>69</v>
      </c>
    </row>
    <row r="955" ht="15.75" customHeight="1">
      <c r="A955" s="1" t="s">
        <v>1239</v>
      </c>
      <c r="B955" s="13" t="str">
        <f t="shared" si="1"/>
        <v>Drake</v>
      </c>
      <c r="C955" s="13" t="str">
        <f t="shared" si="2"/>
        <v>London</v>
      </c>
      <c r="D955" s="13" t="str">
        <f t="shared" si="3"/>
        <v>#N/A</v>
      </c>
      <c r="E955" s="1" t="s">
        <v>69</v>
      </c>
    </row>
    <row r="956" ht="15.75" customHeight="1">
      <c r="A956" s="1" t="s">
        <v>1240</v>
      </c>
      <c r="B956" s="13" t="str">
        <f t="shared" si="1"/>
        <v>Drake</v>
      </c>
      <c r="C956" s="13" t="str">
        <f t="shared" si="2"/>
        <v>Maye</v>
      </c>
      <c r="D956" s="13" t="str">
        <f t="shared" si="3"/>
        <v>#N/A</v>
      </c>
      <c r="E956" s="1" t="s">
        <v>65</v>
      </c>
    </row>
    <row r="957" ht="15.75" customHeight="1">
      <c r="A957" s="1" t="s">
        <v>1241</v>
      </c>
      <c r="B957" s="13" t="str">
        <f t="shared" si="1"/>
        <v>Dreamius</v>
      </c>
      <c r="C957" s="13" t="str">
        <f t="shared" si="2"/>
        <v>Smith</v>
      </c>
      <c r="D957" s="13" t="str">
        <f t="shared" si="3"/>
        <v>#N/A</v>
      </c>
      <c r="E957" s="1" t="s">
        <v>66</v>
      </c>
    </row>
    <row r="958" ht="15.75" customHeight="1">
      <c r="A958" s="1" t="s">
        <v>1242</v>
      </c>
      <c r="B958" s="13" t="str">
        <f t="shared" si="1"/>
        <v>Dredrick</v>
      </c>
      <c r="C958" s="13" t="str">
        <f t="shared" si="2"/>
        <v>Snelson</v>
      </c>
      <c r="D958" s="13" t="str">
        <f t="shared" si="3"/>
        <v>#N/A</v>
      </c>
      <c r="E958" s="1" t="s">
        <v>69</v>
      </c>
    </row>
    <row r="959" ht="15.75" customHeight="1">
      <c r="A959" s="1" t="s">
        <v>1243</v>
      </c>
      <c r="B959" s="13" t="str">
        <f t="shared" si="1"/>
        <v>Dres</v>
      </c>
      <c r="C959" s="13" t="str">
        <f t="shared" si="2"/>
        <v>Anderson</v>
      </c>
      <c r="D959" s="13" t="str">
        <f t="shared" si="3"/>
        <v>#N/A</v>
      </c>
      <c r="E959" s="1" t="s">
        <v>69</v>
      </c>
    </row>
    <row r="960" ht="15.75" customHeight="1">
      <c r="A960" s="1" t="s">
        <v>1244</v>
      </c>
      <c r="B960" s="13" t="str">
        <f t="shared" si="1"/>
        <v>Drew</v>
      </c>
      <c r="C960" s="13" t="str">
        <f t="shared" si="2"/>
        <v>Allar</v>
      </c>
      <c r="D960" s="13" t="str">
        <f t="shared" si="3"/>
        <v>#N/A</v>
      </c>
      <c r="E960" s="1" t="s">
        <v>65</v>
      </c>
    </row>
    <row r="961" ht="15.75" customHeight="1">
      <c r="A961" s="1" t="s">
        <v>1245</v>
      </c>
      <c r="B961" s="13" t="str">
        <f t="shared" si="1"/>
        <v>Drew</v>
      </c>
      <c r="C961" s="13" t="str">
        <f t="shared" si="2"/>
        <v>Anderson</v>
      </c>
      <c r="D961" s="13" t="str">
        <f t="shared" si="3"/>
        <v>#N/A</v>
      </c>
      <c r="E961" s="1" t="s">
        <v>65</v>
      </c>
    </row>
    <row r="962" ht="15.75" customHeight="1">
      <c r="A962" s="1" t="s">
        <v>1246</v>
      </c>
      <c r="B962" s="13" t="str">
        <f t="shared" si="1"/>
        <v>Drew</v>
      </c>
      <c r="C962" s="13" t="str">
        <f t="shared" si="2"/>
        <v>Belcher</v>
      </c>
      <c r="D962" s="13" t="str">
        <f t="shared" si="3"/>
        <v>#N/A</v>
      </c>
      <c r="E962" s="1" t="s">
        <v>68</v>
      </c>
    </row>
    <row r="963" ht="15.75" customHeight="1">
      <c r="A963" s="1" t="s">
        <v>714</v>
      </c>
      <c r="B963" s="13" t="str">
        <f t="shared" si="1"/>
        <v>Drew</v>
      </c>
      <c r="C963" s="13" t="str">
        <f t="shared" si="2"/>
        <v>Brees</v>
      </c>
      <c r="D963" s="13" t="str">
        <f t="shared" si="3"/>
        <v>#N/A</v>
      </c>
      <c r="E963" s="1" t="s">
        <v>65</v>
      </c>
    </row>
    <row r="964" ht="15.75" customHeight="1">
      <c r="A964" s="1" t="s">
        <v>1247</v>
      </c>
      <c r="B964" s="13" t="str">
        <f t="shared" si="1"/>
        <v>Drew</v>
      </c>
      <c r="C964" s="13" t="str">
        <f t="shared" si="2"/>
        <v>Davis</v>
      </c>
      <c r="D964" s="13" t="str">
        <f t="shared" si="3"/>
        <v>#N/A</v>
      </c>
      <c r="E964" s="1" t="s">
        <v>69</v>
      </c>
    </row>
    <row r="965" ht="15.75" customHeight="1">
      <c r="A965" s="1" t="s">
        <v>1248</v>
      </c>
      <c r="B965" s="13" t="str">
        <f t="shared" si="1"/>
        <v>Drew</v>
      </c>
      <c r="C965" s="13" t="str">
        <f t="shared" si="2"/>
        <v>Lock</v>
      </c>
      <c r="D965" s="13" t="str">
        <f t="shared" si="3"/>
        <v>#N/A</v>
      </c>
      <c r="E965" s="1" t="s">
        <v>65</v>
      </c>
    </row>
    <row r="966" ht="15.75" customHeight="1">
      <c r="A966" s="1" t="s">
        <v>1249</v>
      </c>
      <c r="B966" s="13" t="str">
        <f t="shared" si="1"/>
        <v>Drew</v>
      </c>
      <c r="C966" s="13" t="str">
        <f t="shared" si="2"/>
        <v>Morgan</v>
      </c>
      <c r="D966" s="13" t="str">
        <f t="shared" si="3"/>
        <v>#N/A</v>
      </c>
      <c r="E966" s="1" t="s">
        <v>69</v>
      </c>
    </row>
    <row r="967" ht="15.75" customHeight="1">
      <c r="A967" s="1" t="s">
        <v>1250</v>
      </c>
      <c r="B967" s="13" t="str">
        <f t="shared" si="1"/>
        <v>Drew</v>
      </c>
      <c r="C967" s="13" t="str">
        <f t="shared" si="2"/>
        <v>Sample</v>
      </c>
      <c r="D967" s="13" t="str">
        <f t="shared" si="3"/>
        <v>#N/A</v>
      </c>
      <c r="E967" s="1" t="s">
        <v>68</v>
      </c>
    </row>
    <row r="968" ht="15.75" customHeight="1">
      <c r="A968" s="1" t="s">
        <v>1251</v>
      </c>
      <c r="B968" s="13" t="str">
        <f t="shared" si="1"/>
        <v>Drew</v>
      </c>
      <c r="C968" s="13" t="str">
        <f t="shared" si="2"/>
        <v>Stanton</v>
      </c>
      <c r="D968" s="13" t="str">
        <f t="shared" si="3"/>
        <v>#N/A</v>
      </c>
      <c r="E968" s="1" t="s">
        <v>65</v>
      </c>
    </row>
    <row r="969" ht="15.75" customHeight="1">
      <c r="A969" s="1" t="s">
        <v>1252</v>
      </c>
      <c r="B969" s="13" t="str">
        <f t="shared" si="1"/>
        <v>Dri</v>
      </c>
      <c r="C969" s="13" t="str">
        <f t="shared" si="2"/>
        <v>Archer</v>
      </c>
      <c r="D969" s="13" t="str">
        <f t="shared" si="3"/>
        <v>#N/A</v>
      </c>
      <c r="E969" s="1" t="s">
        <v>66</v>
      </c>
    </row>
    <row r="970" ht="15.75" customHeight="1">
      <c r="A970" s="1" t="s">
        <v>1253</v>
      </c>
      <c r="B970" s="13" t="str">
        <f t="shared" si="1"/>
        <v>DuJuan</v>
      </c>
      <c r="C970" s="13" t="str">
        <f t="shared" si="2"/>
        <v>Harris</v>
      </c>
      <c r="D970" s="13" t="str">
        <f t="shared" si="3"/>
        <v>#N/A</v>
      </c>
      <c r="E970" s="1" t="s">
        <v>66</v>
      </c>
    </row>
    <row r="971" ht="15.75" customHeight="1">
      <c r="A971" s="1" t="s">
        <v>498</v>
      </c>
      <c r="B971" s="13" t="str">
        <f t="shared" si="1"/>
        <v>Duke</v>
      </c>
      <c r="C971" s="13" t="str">
        <f t="shared" si="2"/>
        <v>Johnson</v>
      </c>
      <c r="D971" s="13" t="str">
        <f t="shared" si="3"/>
        <v>#N/A</v>
      </c>
      <c r="E971" s="1" t="s">
        <v>66</v>
      </c>
    </row>
    <row r="972" ht="15.75" customHeight="1">
      <c r="A972" s="1" t="s">
        <v>1254</v>
      </c>
      <c r="B972" s="13" t="str">
        <f t="shared" si="1"/>
        <v>Duke</v>
      </c>
      <c r="C972" s="13" t="str">
        <f t="shared" si="2"/>
        <v>Williams</v>
      </c>
      <c r="D972" s="13" t="str">
        <f t="shared" si="3"/>
        <v>#N/A</v>
      </c>
      <c r="E972" s="1" t="s">
        <v>69</v>
      </c>
    </row>
    <row r="973" ht="15.75" customHeight="1">
      <c r="A973" s="1" t="s">
        <v>1255</v>
      </c>
      <c r="B973" s="13" t="str">
        <f t="shared" si="1"/>
        <v>Durham</v>
      </c>
      <c r="C973" s="13" t="str">
        <f t="shared" si="2"/>
        <v>Smythe</v>
      </c>
      <c r="D973" s="13" t="str">
        <f t="shared" si="3"/>
        <v>#N/A</v>
      </c>
      <c r="E973" s="1" t="s">
        <v>68</v>
      </c>
    </row>
    <row r="974" ht="15.75" customHeight="1">
      <c r="A974" s="1" t="s">
        <v>1256</v>
      </c>
      <c r="B974" s="13" t="str">
        <f t="shared" si="1"/>
        <v>Duron</v>
      </c>
      <c r="C974" s="13" t="str">
        <f t="shared" si="2"/>
        <v>Carter</v>
      </c>
      <c r="D974" s="13" t="str">
        <f t="shared" si="3"/>
        <v>#N/A</v>
      </c>
      <c r="E974" s="1" t="s">
        <v>69</v>
      </c>
    </row>
    <row r="975" ht="15.75" customHeight="1">
      <c r="A975" s="1" t="s">
        <v>1257</v>
      </c>
      <c r="B975" s="13" t="str">
        <f t="shared" si="1"/>
        <v>Durron</v>
      </c>
      <c r="C975" s="13" t="str">
        <f t="shared" si="2"/>
        <v>Neal</v>
      </c>
      <c r="D975" s="13" t="str">
        <f t="shared" si="3"/>
        <v>#N/A</v>
      </c>
      <c r="E975" s="1" t="s">
        <v>69</v>
      </c>
    </row>
    <row r="976" ht="15.75" customHeight="1">
      <c r="A976" s="1" t="s">
        <v>1258</v>
      </c>
      <c r="B976" s="13" t="str">
        <f t="shared" si="1"/>
        <v>Dustin</v>
      </c>
      <c r="C976" s="13" t="str">
        <f t="shared" si="2"/>
        <v>Crum</v>
      </c>
      <c r="D976" s="13" t="str">
        <f t="shared" si="3"/>
        <v>#N/A</v>
      </c>
      <c r="E976" s="1" t="s">
        <v>65</v>
      </c>
    </row>
    <row r="977" ht="15.75" customHeight="1">
      <c r="A977" s="1" t="s">
        <v>1259</v>
      </c>
      <c r="B977" s="13" t="str">
        <f t="shared" si="1"/>
        <v>Dustin</v>
      </c>
      <c r="C977" s="13" t="str">
        <f t="shared" si="2"/>
        <v>Keller</v>
      </c>
      <c r="D977" s="13" t="str">
        <f t="shared" si="3"/>
        <v>#N/A</v>
      </c>
      <c r="E977" s="1" t="s">
        <v>68</v>
      </c>
    </row>
    <row r="978" ht="15.75" customHeight="1">
      <c r="A978" s="1" t="s">
        <v>1260</v>
      </c>
      <c r="B978" s="13" t="str">
        <f t="shared" si="1"/>
        <v>Dustin</v>
      </c>
      <c r="C978" s="13" t="str">
        <f t="shared" si="2"/>
        <v>Vaughan</v>
      </c>
      <c r="D978" s="13" t="str">
        <f t="shared" si="3"/>
        <v>#N/A</v>
      </c>
      <c r="E978" s="1" t="s">
        <v>65</v>
      </c>
    </row>
    <row r="979" ht="15.75" customHeight="1">
      <c r="A979" s="1" t="s">
        <v>1262</v>
      </c>
      <c r="B979" s="13" t="str">
        <f t="shared" si="1"/>
        <v>D'Vonte</v>
      </c>
      <c r="C979" s="13" t="str">
        <f t="shared" si="2"/>
        <v>Price</v>
      </c>
      <c r="D979" s="13" t="str">
        <f t="shared" si="3"/>
        <v>#N/A</v>
      </c>
      <c r="E979" s="1" t="s">
        <v>66</v>
      </c>
    </row>
    <row r="980" ht="15.75" customHeight="1">
      <c r="A980" s="1" t="s">
        <v>1263</v>
      </c>
      <c r="B980" s="13" t="str">
        <f t="shared" si="1"/>
        <v>Dwayne</v>
      </c>
      <c r="C980" s="13" t="str">
        <f t="shared" si="2"/>
        <v>Allen</v>
      </c>
      <c r="D980" s="13" t="str">
        <f t="shared" si="3"/>
        <v>#N/A</v>
      </c>
      <c r="E980" s="1" t="s">
        <v>68</v>
      </c>
    </row>
    <row r="981" ht="15.75" customHeight="1">
      <c r="A981" s="1" t="s">
        <v>1264</v>
      </c>
      <c r="B981" s="13" t="str">
        <f t="shared" si="1"/>
        <v>Dwayne</v>
      </c>
      <c r="C981" s="13" t="str">
        <f t="shared" si="2"/>
        <v>Bowe</v>
      </c>
      <c r="D981" s="13" t="str">
        <f t="shared" si="3"/>
        <v>#N/A</v>
      </c>
      <c r="E981" s="1" t="s">
        <v>69</v>
      </c>
    </row>
    <row r="982" ht="15.75" customHeight="1">
      <c r="A982" s="1" t="s">
        <v>1265</v>
      </c>
      <c r="B982" s="13" t="str">
        <f t="shared" si="1"/>
        <v>D'Wayne</v>
      </c>
      <c r="C982" s="13" t="str">
        <f t="shared" si="2"/>
        <v>Eskridge</v>
      </c>
      <c r="D982" s="13" t="str">
        <f t="shared" si="3"/>
        <v>#N/A</v>
      </c>
      <c r="E982" s="1" t="s">
        <v>69</v>
      </c>
    </row>
    <row r="983" ht="15.75" customHeight="1">
      <c r="A983" s="1" t="s">
        <v>1266</v>
      </c>
      <c r="B983" s="13" t="str">
        <f t="shared" si="1"/>
        <v>Dwayne</v>
      </c>
      <c r="C983" s="13" t="str">
        <f t="shared" si="2"/>
        <v>Harris</v>
      </c>
      <c r="D983" s="13" t="str">
        <f t="shared" si="3"/>
        <v>#N/A</v>
      </c>
      <c r="E983" s="1" t="s">
        <v>69</v>
      </c>
    </row>
    <row r="984" ht="15.75" customHeight="1">
      <c r="A984" s="1" t="s">
        <v>1267</v>
      </c>
      <c r="B984" s="13" t="str">
        <f t="shared" si="1"/>
        <v>Dwayne</v>
      </c>
      <c r="C984" s="13" t="str">
        <f t="shared" si="2"/>
        <v>Haskins</v>
      </c>
      <c r="D984" s="13" t="str">
        <f t="shared" si="3"/>
        <v>#N/A</v>
      </c>
      <c r="E984" s="1" t="s">
        <v>65</v>
      </c>
    </row>
    <row r="985" ht="15.75" customHeight="1">
      <c r="A985" s="1" t="s">
        <v>1268</v>
      </c>
      <c r="B985" s="13" t="str">
        <f t="shared" si="1"/>
        <v>Dwayne</v>
      </c>
      <c r="C985" s="13" t="str">
        <f t="shared" si="2"/>
        <v>Washington</v>
      </c>
      <c r="D985" s="13" t="str">
        <f t="shared" si="3"/>
        <v>#N/A</v>
      </c>
      <c r="E985" s="1" t="s">
        <v>66</v>
      </c>
    </row>
    <row r="986" ht="15.75" customHeight="1">
      <c r="A986" s="1" t="s">
        <v>1269</v>
      </c>
      <c r="B986" s="13" t="str">
        <f t="shared" si="1"/>
        <v>Dyami</v>
      </c>
      <c r="C986" s="13" t="str">
        <f t="shared" si="2"/>
        <v>Brown</v>
      </c>
      <c r="D986" s="13" t="str">
        <f t="shared" si="3"/>
        <v>#N/A</v>
      </c>
      <c r="E986" s="1" t="s">
        <v>69</v>
      </c>
    </row>
    <row r="987" ht="15.75" customHeight="1">
      <c r="A987" s="1" t="s">
        <v>1270</v>
      </c>
      <c r="B987" s="13" t="str">
        <f t="shared" si="1"/>
        <v>Dylan</v>
      </c>
      <c r="C987" s="13" t="str">
        <f t="shared" si="2"/>
        <v>Cantrell</v>
      </c>
      <c r="D987" s="13" t="str">
        <f t="shared" si="3"/>
        <v>#N/A</v>
      </c>
      <c r="E987" s="1" t="s">
        <v>69</v>
      </c>
    </row>
    <row r="988" ht="15.75" customHeight="1">
      <c r="A988" s="1" t="s">
        <v>1271</v>
      </c>
      <c r="B988" s="13" t="str">
        <f t="shared" si="1"/>
        <v>Dylan</v>
      </c>
      <c r="C988" s="13" t="str">
        <f t="shared" si="2"/>
        <v>Soehner</v>
      </c>
      <c r="D988" s="13" t="str">
        <f t="shared" si="3"/>
        <v>#N/A</v>
      </c>
      <c r="E988" s="1" t="s">
        <v>68</v>
      </c>
    </row>
    <row r="989" ht="15.75" customHeight="1">
      <c r="A989" s="1" t="s">
        <v>1272</v>
      </c>
      <c r="B989" s="13" t="str">
        <f t="shared" si="1"/>
        <v>Dylan</v>
      </c>
      <c r="C989" s="13" t="str">
        <f t="shared" si="2"/>
        <v>Thompson</v>
      </c>
      <c r="D989" s="13" t="str">
        <f t="shared" si="3"/>
        <v>#N/A</v>
      </c>
      <c r="E989" s="1" t="s">
        <v>65</v>
      </c>
    </row>
    <row r="990" ht="15.75" customHeight="1">
      <c r="A990" s="1" t="s">
        <v>1273</v>
      </c>
      <c r="B990" s="13" t="str">
        <f t="shared" si="1"/>
        <v>EJ</v>
      </c>
      <c r="C990" s="13" t="str">
        <f t="shared" si="2"/>
        <v>Bibbs</v>
      </c>
      <c r="D990" s="13" t="str">
        <f t="shared" si="3"/>
        <v>#N/A</v>
      </c>
      <c r="E990" s="1" t="s">
        <v>68</v>
      </c>
    </row>
    <row r="991" ht="15.75" customHeight="1">
      <c r="A991" s="1" t="s">
        <v>1274</v>
      </c>
      <c r="B991" s="13" t="str">
        <f t="shared" si="1"/>
        <v>EJ</v>
      </c>
      <c r="C991" s="13" t="str">
        <f t="shared" si="2"/>
        <v>Manuel</v>
      </c>
      <c r="D991" s="13" t="str">
        <f t="shared" si="3"/>
        <v>#N/A</v>
      </c>
      <c r="E991" s="1" t="s">
        <v>65</v>
      </c>
    </row>
    <row r="992" ht="15.75" customHeight="1">
      <c r="A992" s="1" t="s">
        <v>1275</v>
      </c>
      <c r="B992" s="13" t="str">
        <f t="shared" si="1"/>
        <v>EJ</v>
      </c>
      <c r="C992" s="13" t="str">
        <f t="shared" si="2"/>
        <v>Perry</v>
      </c>
      <c r="D992" s="13" t="str">
        <f t="shared" si="3"/>
        <v>#N/A</v>
      </c>
      <c r="E992" s="1" t="s">
        <v>65</v>
      </c>
    </row>
    <row r="993" ht="15.75" customHeight="1">
      <c r="A993" s="1" t="s">
        <v>1277</v>
      </c>
      <c r="B993" s="13" t="str">
        <f t="shared" si="1"/>
        <v>EJ</v>
      </c>
      <c r="C993" s="13" t="str">
        <f t="shared" si="2"/>
        <v>Smith</v>
      </c>
      <c r="D993" s="13" t="str">
        <f t="shared" si="3"/>
        <v>#N/A</v>
      </c>
      <c r="E993" s="1" t="s">
        <v>66</v>
      </c>
    </row>
    <row r="994" ht="15.75" customHeight="1">
      <c r="A994" s="1" t="s">
        <v>1278</v>
      </c>
      <c r="B994" s="13" t="str">
        <f t="shared" si="1"/>
        <v>EJ</v>
      </c>
      <c r="C994" s="13" t="str">
        <f t="shared" si="2"/>
        <v>Williams</v>
      </c>
      <c r="D994" s="13" t="str">
        <f t="shared" si="3"/>
        <v>#N/A</v>
      </c>
      <c r="E994" s="1" t="s">
        <v>69</v>
      </c>
    </row>
    <row r="995" ht="15.75" customHeight="1">
      <c r="A995" s="1" t="s">
        <v>1280</v>
      </c>
      <c r="B995" s="13" t="str">
        <f t="shared" si="1"/>
        <v>Earl</v>
      </c>
      <c r="C995" s="13" t="str">
        <f t="shared" si="2"/>
        <v>Bennett</v>
      </c>
      <c r="D995" s="13" t="str">
        <f t="shared" si="3"/>
        <v>#N/A</v>
      </c>
      <c r="E995" s="1" t="s">
        <v>69</v>
      </c>
    </row>
    <row r="996" ht="15.75" customHeight="1">
      <c r="A996" s="1" t="s">
        <v>1281</v>
      </c>
      <c r="B996" s="13" t="str">
        <f t="shared" si="1"/>
        <v>Earnest</v>
      </c>
      <c r="C996" s="13" t="str">
        <f t="shared" si="2"/>
        <v>Edwards</v>
      </c>
      <c r="D996" s="13" t="str">
        <f t="shared" si="3"/>
        <v>#N/A</v>
      </c>
      <c r="E996" s="1" t="s">
        <v>69</v>
      </c>
    </row>
    <row r="997" ht="15.75" customHeight="1">
      <c r="A997" s="1" t="s">
        <v>1282</v>
      </c>
      <c r="B997" s="13" t="str">
        <f t="shared" si="1"/>
        <v>Easop</v>
      </c>
      <c r="C997" s="13" t="str">
        <f t="shared" si="2"/>
        <v>Winston</v>
      </c>
      <c r="D997" s="13" t="str">
        <f t="shared" si="3"/>
        <v>#N/A</v>
      </c>
      <c r="E997" s="1" t="s">
        <v>69</v>
      </c>
    </row>
    <row r="998" ht="15.75" customHeight="1">
      <c r="A998" s="1" t="s">
        <v>1283</v>
      </c>
      <c r="B998" s="13" t="str">
        <f t="shared" si="1"/>
        <v>Easton</v>
      </c>
      <c r="C998" s="13" t="str">
        <f t="shared" si="2"/>
        <v>Stick</v>
      </c>
      <c r="D998" s="13" t="str">
        <f t="shared" si="3"/>
        <v>#N/A</v>
      </c>
      <c r="E998" s="1" t="s">
        <v>65</v>
      </c>
    </row>
    <row r="999" ht="15.75" customHeight="1">
      <c r="A999" s="1" t="s">
        <v>1284</v>
      </c>
      <c r="B999" s="13" t="str">
        <f t="shared" si="1"/>
        <v>Ed</v>
      </c>
      <c r="C999" s="13" t="str">
        <f t="shared" si="2"/>
        <v>Dickson</v>
      </c>
      <c r="D999" s="13" t="str">
        <f t="shared" si="3"/>
        <v>#N/A</v>
      </c>
      <c r="E999" s="1" t="s">
        <v>68</v>
      </c>
    </row>
    <row r="1000" ht="15.75" customHeight="1">
      <c r="A1000" s="1" t="s">
        <v>1285</v>
      </c>
      <c r="B1000" s="13" t="str">
        <f t="shared" si="1"/>
        <v>Ed</v>
      </c>
      <c r="C1000" s="13" t="str">
        <f t="shared" si="2"/>
        <v>Eagan</v>
      </c>
      <c r="D1000" s="13" t="str">
        <f t="shared" si="3"/>
        <v>#N/A</v>
      </c>
      <c r="E1000" s="1" t="s">
        <v>69</v>
      </c>
    </row>
    <row r="1001" ht="15.75" customHeight="1">
      <c r="A1001" s="1" t="s">
        <v>1286</v>
      </c>
      <c r="B1001" s="13" t="str">
        <f t="shared" si="1"/>
        <v>Ed</v>
      </c>
      <c r="C1001" s="13" t="str">
        <f t="shared" si="2"/>
        <v>Williams</v>
      </c>
      <c r="D1001" s="13" t="str">
        <f t="shared" si="3"/>
        <v>#N/A</v>
      </c>
      <c r="E1001" s="1" t="s">
        <v>69</v>
      </c>
    </row>
    <row r="1002" ht="15.75" customHeight="1">
      <c r="A1002" s="1" t="s">
        <v>1288</v>
      </c>
      <c r="B1002" s="13" t="str">
        <f t="shared" si="1"/>
        <v>Eddie</v>
      </c>
      <c r="C1002" s="13" t="str">
        <f t="shared" si="2"/>
        <v>Lacy</v>
      </c>
      <c r="D1002" s="13" t="str">
        <f t="shared" si="3"/>
        <v>#N/A</v>
      </c>
      <c r="E1002" s="1" t="s">
        <v>66</v>
      </c>
    </row>
    <row r="1003" ht="15.75" customHeight="1">
      <c r="A1003" s="1" t="s">
        <v>1289</v>
      </c>
      <c r="B1003" s="13" t="str">
        <f t="shared" si="1"/>
        <v>Eddie</v>
      </c>
      <c r="C1003" s="13" t="str">
        <f t="shared" si="2"/>
        <v>Royal</v>
      </c>
      <c r="D1003" s="13" t="str">
        <f t="shared" si="3"/>
        <v>#N/A</v>
      </c>
      <c r="E1003" s="1" t="s">
        <v>69</v>
      </c>
    </row>
    <row r="1004" ht="15.75" customHeight="1">
      <c r="A1004" s="1" t="s">
        <v>1290</v>
      </c>
      <c r="B1004" s="13" t="str">
        <f t="shared" si="1"/>
        <v>Edwin</v>
      </c>
      <c r="C1004" s="13" t="str">
        <f t="shared" si="2"/>
        <v>Baker</v>
      </c>
      <c r="D1004" s="13" t="str">
        <f t="shared" si="3"/>
        <v>#N/A</v>
      </c>
      <c r="E1004" s="1" t="s">
        <v>66</v>
      </c>
    </row>
    <row r="1005" ht="15.75" customHeight="1">
      <c r="A1005" s="1" t="s">
        <v>1291</v>
      </c>
      <c r="B1005" s="13" t="str">
        <f t="shared" si="1"/>
        <v>Eli</v>
      </c>
      <c r="C1005" s="13" t="str">
        <f t="shared" si="2"/>
        <v>Manning</v>
      </c>
      <c r="D1005" s="13" t="str">
        <f t="shared" si="3"/>
        <v>#N/A</v>
      </c>
      <c r="E1005" s="1" t="s">
        <v>65</v>
      </c>
    </row>
    <row r="1006" ht="15.75" customHeight="1">
      <c r="A1006" s="1" t="s">
        <v>1292</v>
      </c>
      <c r="B1006" s="13" t="str">
        <f t="shared" si="1"/>
        <v>Eli</v>
      </c>
      <c r="C1006" s="13" t="str">
        <f t="shared" si="2"/>
        <v>Rogers</v>
      </c>
      <c r="D1006" s="13" t="str">
        <f t="shared" si="3"/>
        <v>#N/A</v>
      </c>
      <c r="E1006" s="1" t="s">
        <v>69</v>
      </c>
    </row>
    <row r="1007" ht="15.75" customHeight="1">
      <c r="A1007" s="1" t="s">
        <v>1293</v>
      </c>
      <c r="B1007" s="13" t="str">
        <f t="shared" si="1"/>
        <v>Eli</v>
      </c>
      <c r="C1007" s="13" t="str">
        <f t="shared" si="2"/>
        <v>Stove</v>
      </c>
      <c r="D1007" s="13" t="str">
        <f t="shared" si="3"/>
        <v>#N/A</v>
      </c>
      <c r="E1007" s="1" t="s">
        <v>69</v>
      </c>
    </row>
    <row r="1008" ht="15.75" customHeight="1">
      <c r="A1008" s="1" t="s">
        <v>1294</v>
      </c>
      <c r="B1008" s="13" t="str">
        <f t="shared" si="1"/>
        <v>Elijah</v>
      </c>
      <c r="C1008" s="13" t="str">
        <f t="shared" si="2"/>
        <v>Arroyo</v>
      </c>
      <c r="D1008" s="13" t="str">
        <f t="shared" si="3"/>
        <v>#N/A</v>
      </c>
      <c r="E1008" s="1" t="s">
        <v>68</v>
      </c>
    </row>
    <row r="1009" ht="15.75" customHeight="1">
      <c r="A1009" s="1" t="s">
        <v>1295</v>
      </c>
      <c r="B1009" s="13" t="str">
        <f t="shared" si="1"/>
        <v>Elijah</v>
      </c>
      <c r="C1009" s="13" t="str">
        <f t="shared" si="2"/>
        <v>Higgins</v>
      </c>
      <c r="D1009" s="13" t="str">
        <f t="shared" si="3"/>
        <v>#N/A</v>
      </c>
      <c r="E1009" s="1" t="s">
        <v>69</v>
      </c>
    </row>
    <row r="1010" ht="15.75" customHeight="1">
      <c r="A1010" s="1" t="s">
        <v>1296</v>
      </c>
      <c r="B1010" s="13" t="str">
        <f t="shared" si="1"/>
        <v>Elijah</v>
      </c>
      <c r="C1010" s="13" t="str">
        <f t="shared" si="2"/>
        <v>Holyfield</v>
      </c>
      <c r="D1010" s="13" t="str">
        <f t="shared" si="3"/>
        <v>#N/A</v>
      </c>
      <c r="E1010" s="1" t="s">
        <v>66</v>
      </c>
    </row>
    <row r="1011" ht="15.75" customHeight="1">
      <c r="A1011" s="1" t="s">
        <v>1297</v>
      </c>
      <c r="B1011" s="13" t="str">
        <f t="shared" si="1"/>
        <v>Elijah</v>
      </c>
      <c r="C1011" s="13" t="str">
        <f t="shared" si="2"/>
        <v>Hood</v>
      </c>
      <c r="D1011" s="13" t="str">
        <f t="shared" si="3"/>
        <v>#N/A</v>
      </c>
      <c r="E1011" s="1" t="s">
        <v>66</v>
      </c>
    </row>
    <row r="1012" ht="15.75" customHeight="1">
      <c r="A1012" s="1" t="s">
        <v>1298</v>
      </c>
      <c r="B1012" s="13" t="str">
        <f t="shared" si="1"/>
        <v>Elijah</v>
      </c>
      <c r="C1012" s="13" t="str">
        <f t="shared" si="2"/>
        <v>McGuire</v>
      </c>
      <c r="D1012" s="13" t="str">
        <f t="shared" si="3"/>
        <v>#N/A</v>
      </c>
      <c r="E1012" s="1" t="s">
        <v>66</v>
      </c>
    </row>
    <row r="1013" ht="15.75" customHeight="1">
      <c r="A1013" s="1" t="s">
        <v>1299</v>
      </c>
      <c r="B1013" s="13" t="str">
        <f t="shared" si="1"/>
        <v>Elijah</v>
      </c>
      <c r="C1013" s="13" t="str">
        <f t="shared" si="2"/>
        <v>Mitchell</v>
      </c>
      <c r="D1013" s="13" t="str">
        <f t="shared" si="3"/>
        <v>#N/A</v>
      </c>
      <c r="E1013" s="1" t="s">
        <v>66</v>
      </c>
    </row>
    <row r="1014" ht="15.75" customHeight="1">
      <c r="A1014" s="1" t="s">
        <v>372</v>
      </c>
      <c r="B1014" s="13" t="str">
        <f t="shared" si="1"/>
        <v>Elijah</v>
      </c>
      <c r="C1014" s="13" t="str">
        <f t="shared" si="2"/>
        <v>Moore</v>
      </c>
      <c r="D1014" s="13" t="str">
        <f t="shared" si="3"/>
        <v>#N/A</v>
      </c>
      <c r="E1014" s="1" t="s">
        <v>69</v>
      </c>
    </row>
    <row r="1015" ht="15.75" customHeight="1">
      <c r="A1015" s="1" t="s">
        <v>1300</v>
      </c>
      <c r="B1015" s="13" t="str">
        <f t="shared" si="1"/>
        <v>Elijah</v>
      </c>
      <c r="C1015" s="13" t="str">
        <f t="shared" si="2"/>
        <v>Wellman</v>
      </c>
      <c r="D1015" s="13" t="str">
        <f t="shared" si="3"/>
        <v>#N/A</v>
      </c>
      <c r="E1015" s="1" t="s">
        <v>66</v>
      </c>
    </row>
    <row r="1016" ht="15.75" customHeight="1">
      <c r="A1016" s="1" t="s">
        <v>1301</v>
      </c>
      <c r="B1016" s="13" t="str">
        <f t="shared" si="1"/>
        <v>Elijhaa</v>
      </c>
      <c r="C1016" s="13" t="str">
        <f t="shared" si="2"/>
        <v>Penny</v>
      </c>
      <c r="D1016" s="13" t="str">
        <f t="shared" si="3"/>
        <v>#N/A</v>
      </c>
      <c r="E1016" s="1" t="s">
        <v>66</v>
      </c>
    </row>
    <row r="1017" ht="15.75" customHeight="1">
      <c r="A1017" s="1" t="s">
        <v>1302</v>
      </c>
      <c r="B1017" s="13" t="str">
        <f t="shared" si="1"/>
        <v>Ellis</v>
      </c>
      <c r="C1017" s="13" t="str">
        <f t="shared" si="2"/>
        <v>Richardson</v>
      </c>
      <c r="D1017" s="13" t="str">
        <f t="shared" si="3"/>
        <v>#N/A</v>
      </c>
      <c r="E1017" s="1" t="s">
        <v>68</v>
      </c>
    </row>
    <row r="1018" ht="15.75" customHeight="1">
      <c r="A1018" s="1" t="s">
        <v>1303</v>
      </c>
      <c r="B1018" s="13" t="str">
        <f t="shared" si="1"/>
        <v>Emanuel</v>
      </c>
      <c r="C1018" s="13" t="str">
        <f t="shared" si="2"/>
        <v>Byrd</v>
      </c>
      <c r="D1018" s="13" t="str">
        <f t="shared" si="3"/>
        <v>#N/A</v>
      </c>
      <c r="E1018" s="1" t="s">
        <v>68</v>
      </c>
    </row>
    <row r="1019" ht="15.75" customHeight="1">
      <c r="A1019" s="1" t="s">
        <v>1304</v>
      </c>
      <c r="B1019" s="13" t="str">
        <f t="shared" si="1"/>
        <v>Emanuel</v>
      </c>
      <c r="C1019" s="13" t="str">
        <f t="shared" si="2"/>
        <v>Hall</v>
      </c>
      <c r="D1019" s="13" t="str">
        <f t="shared" si="3"/>
        <v>#N/A</v>
      </c>
      <c r="E1019" s="1" t="s">
        <v>69</v>
      </c>
    </row>
    <row r="1020" ht="15.75" customHeight="1">
      <c r="A1020" s="1" t="s">
        <v>1305</v>
      </c>
      <c r="B1020" s="13" t="str">
        <f t="shared" si="1"/>
        <v>Emeka</v>
      </c>
      <c r="C1020" s="13" t="str">
        <f t="shared" si="2"/>
        <v>Egbuka</v>
      </c>
      <c r="D1020" s="13" t="str">
        <f t="shared" si="3"/>
        <v>#N/A</v>
      </c>
      <c r="E1020" s="1" t="s">
        <v>69</v>
      </c>
    </row>
    <row r="1021" ht="15.75" customHeight="1">
      <c r="A1021" s="1" t="s">
        <v>1306</v>
      </c>
      <c r="B1021" s="13" t="str">
        <f t="shared" si="1"/>
        <v>Emeka</v>
      </c>
      <c r="C1021" s="13" t="str">
        <f t="shared" si="2"/>
        <v>Emezie</v>
      </c>
      <c r="D1021" s="13" t="str">
        <f t="shared" si="3"/>
        <v>#N/A</v>
      </c>
      <c r="E1021" s="1" t="s">
        <v>69</v>
      </c>
    </row>
    <row r="1022" ht="15.75" customHeight="1">
      <c r="A1022" s="1" t="s">
        <v>1307</v>
      </c>
      <c r="B1022" s="13" t="str">
        <f t="shared" si="1"/>
        <v>Emmanuel</v>
      </c>
      <c r="C1022" s="13" t="str">
        <f t="shared" si="2"/>
        <v>Butler</v>
      </c>
      <c r="D1022" s="13" t="str">
        <f t="shared" si="3"/>
        <v>#N/A</v>
      </c>
      <c r="E1022" s="1" t="s">
        <v>69</v>
      </c>
    </row>
    <row r="1023" ht="15.75" customHeight="1">
      <c r="A1023" s="1" t="s">
        <v>741</v>
      </c>
      <c r="B1023" s="13" t="str">
        <f t="shared" si="1"/>
        <v>Emmanuel</v>
      </c>
      <c r="C1023" s="13" t="str">
        <f t="shared" si="2"/>
        <v>Sanders</v>
      </c>
      <c r="D1023" s="13" t="str">
        <f t="shared" si="3"/>
        <v>#N/A</v>
      </c>
      <c r="E1023" s="1" t="s">
        <v>69</v>
      </c>
    </row>
    <row r="1024" ht="15.75" customHeight="1">
      <c r="A1024" s="1" t="s">
        <v>1309</v>
      </c>
      <c r="B1024" s="13" t="str">
        <f t="shared" si="1"/>
        <v>Emory</v>
      </c>
      <c r="C1024" s="13" t="str">
        <f t="shared" si="2"/>
        <v>Blake</v>
      </c>
      <c r="D1024" s="13" t="str">
        <f t="shared" si="3"/>
        <v>#N/A</v>
      </c>
      <c r="E1024" s="1" t="s">
        <v>69</v>
      </c>
    </row>
    <row r="1025" ht="15.75" customHeight="1">
      <c r="A1025" s="1" t="s">
        <v>1310</v>
      </c>
      <c r="B1025" s="13" t="str">
        <f t="shared" si="1"/>
        <v>Emory</v>
      </c>
      <c r="C1025" s="13" t="str">
        <f t="shared" si="2"/>
        <v>Jones</v>
      </c>
      <c r="D1025" s="13" t="str">
        <f t="shared" si="3"/>
        <v>#N/A</v>
      </c>
      <c r="E1025" s="1" t="s">
        <v>65</v>
      </c>
    </row>
    <row r="1026" ht="15.75" customHeight="1">
      <c r="A1026" s="1" t="s">
        <v>1311</v>
      </c>
      <c r="B1026" s="13" t="str">
        <f t="shared" si="1"/>
        <v>Eno</v>
      </c>
      <c r="C1026" s="13" t="str">
        <f t="shared" si="2"/>
        <v>Benjamin</v>
      </c>
      <c r="D1026" s="13" t="str">
        <f t="shared" si="3"/>
        <v>#N/A</v>
      </c>
      <c r="E1026" s="1" t="s">
        <v>66</v>
      </c>
    </row>
    <row r="1027" ht="15.75" customHeight="1">
      <c r="A1027" s="1" t="s">
        <v>1313</v>
      </c>
      <c r="B1027" s="13" t="str">
        <f t="shared" si="1"/>
        <v>Equanimeous</v>
      </c>
      <c r="C1027" s="13" t="str">
        <f t="shared" si="2"/>
        <v>St Brown</v>
      </c>
      <c r="D1027" s="13" t="str">
        <f t="shared" si="3"/>
        <v>#N/A</v>
      </c>
      <c r="E1027" s="1" t="s">
        <v>69</v>
      </c>
    </row>
    <row r="1028" ht="15.75" customHeight="1">
      <c r="A1028" s="1" t="s">
        <v>1314</v>
      </c>
      <c r="B1028" s="13" t="str">
        <f t="shared" si="1"/>
        <v>Eric</v>
      </c>
      <c r="C1028" s="13" t="str">
        <f t="shared" si="2"/>
        <v>Decker</v>
      </c>
      <c r="D1028" s="13" t="str">
        <f t="shared" si="3"/>
        <v>#N/A</v>
      </c>
      <c r="E1028" s="1" t="s">
        <v>69</v>
      </c>
    </row>
    <row r="1029" ht="15.75" customHeight="1">
      <c r="A1029" s="1" t="s">
        <v>1316</v>
      </c>
      <c r="B1029" s="13" t="str">
        <f t="shared" si="1"/>
        <v>Eric</v>
      </c>
      <c r="C1029" s="13" t="str">
        <f t="shared" si="2"/>
        <v>Ebron</v>
      </c>
      <c r="D1029" s="13" t="str">
        <f t="shared" si="3"/>
        <v>#N/A</v>
      </c>
      <c r="E1029" s="1" t="s">
        <v>68</v>
      </c>
    </row>
    <row r="1030" ht="15.75" customHeight="1">
      <c r="A1030" s="1" t="s">
        <v>1317</v>
      </c>
      <c r="B1030" s="13" t="str">
        <f t="shared" si="1"/>
        <v>Eric</v>
      </c>
      <c r="C1030" s="13" t="str">
        <f t="shared" si="2"/>
        <v>Frohnapfel</v>
      </c>
      <c r="D1030" s="13" t="str">
        <f t="shared" si="3"/>
        <v>#N/A</v>
      </c>
      <c r="E1030" s="1" t="s">
        <v>68</v>
      </c>
    </row>
    <row r="1031" ht="15.75" customHeight="1">
      <c r="A1031" s="1" t="s">
        <v>1318</v>
      </c>
      <c r="B1031" s="13" t="str">
        <f t="shared" si="1"/>
        <v>Eric</v>
      </c>
      <c r="C1031" s="13" t="str">
        <f t="shared" si="2"/>
        <v>Gray</v>
      </c>
      <c r="D1031" s="13" t="str">
        <f t="shared" si="3"/>
        <v>#N/A</v>
      </c>
      <c r="E1031" s="1" t="s">
        <v>66</v>
      </c>
    </row>
    <row r="1032" ht="15.75" customHeight="1">
      <c r="A1032" s="1" t="s">
        <v>1319</v>
      </c>
      <c r="B1032" s="13" t="str">
        <f t="shared" si="1"/>
        <v>Eric</v>
      </c>
      <c r="C1032" s="13" t="str">
        <f t="shared" si="2"/>
        <v>Kumah</v>
      </c>
      <c r="D1032" s="13" t="str">
        <f t="shared" si="3"/>
        <v>#N/A</v>
      </c>
      <c r="E1032" s="1" t="s">
        <v>69</v>
      </c>
    </row>
    <row r="1033" ht="15.75" customHeight="1">
      <c r="A1033" s="1" t="s">
        <v>1320</v>
      </c>
      <c r="B1033" s="13" t="str">
        <f t="shared" si="1"/>
        <v>Eric</v>
      </c>
      <c r="C1033" s="13" t="str">
        <f t="shared" si="2"/>
        <v>Page</v>
      </c>
      <c r="D1033" s="13" t="str">
        <f t="shared" si="3"/>
        <v>#N/A</v>
      </c>
      <c r="E1033" s="1" t="s">
        <v>69</v>
      </c>
    </row>
    <row r="1034" ht="15.75" customHeight="1">
      <c r="A1034" s="1" t="s">
        <v>1321</v>
      </c>
      <c r="B1034" s="13" t="str">
        <f t="shared" si="1"/>
        <v>Eric</v>
      </c>
      <c r="C1034" s="13" t="str">
        <f t="shared" si="2"/>
        <v>Rogers</v>
      </c>
      <c r="D1034" s="13" t="str">
        <f t="shared" si="3"/>
        <v>#N/A</v>
      </c>
      <c r="E1034" s="1" t="s">
        <v>69</v>
      </c>
    </row>
    <row r="1035" ht="15.75" customHeight="1">
      <c r="A1035" s="1" t="s">
        <v>1322</v>
      </c>
      <c r="B1035" s="13" t="str">
        <f t="shared" si="1"/>
        <v>Eric</v>
      </c>
      <c r="C1035" s="13" t="str">
        <f t="shared" si="2"/>
        <v>Saubert</v>
      </c>
      <c r="D1035" s="13" t="str">
        <f t="shared" si="3"/>
        <v>#N/A</v>
      </c>
      <c r="E1035" s="1" t="s">
        <v>68</v>
      </c>
    </row>
    <row r="1036" ht="15.75" customHeight="1">
      <c r="A1036" s="1" t="s">
        <v>1324</v>
      </c>
      <c r="B1036" s="13" t="str">
        <f t="shared" si="1"/>
        <v>Eric</v>
      </c>
      <c r="C1036" s="13" t="str">
        <f t="shared" si="2"/>
        <v>Tomlinson</v>
      </c>
      <c r="D1036" s="13" t="str">
        <f t="shared" si="3"/>
        <v>#N/A</v>
      </c>
      <c r="E1036" s="1" t="s">
        <v>68</v>
      </c>
    </row>
    <row r="1037" ht="15.75" customHeight="1">
      <c r="A1037" s="1" t="s">
        <v>1325</v>
      </c>
      <c r="B1037" s="13" t="str">
        <f t="shared" si="1"/>
        <v>Eric</v>
      </c>
      <c r="C1037" s="13" t="str">
        <f t="shared" si="2"/>
        <v>Ward</v>
      </c>
      <c r="D1037" s="13" t="str">
        <f t="shared" si="3"/>
        <v>#N/A</v>
      </c>
      <c r="E1037" s="1" t="s">
        <v>69</v>
      </c>
    </row>
    <row r="1038" ht="15.75" customHeight="1">
      <c r="A1038" s="1" t="s">
        <v>1327</v>
      </c>
      <c r="B1038" s="13" t="str">
        <f t="shared" si="1"/>
        <v>Eric</v>
      </c>
      <c r="C1038" s="13" t="str">
        <f t="shared" si="2"/>
        <v>Waters</v>
      </c>
      <c r="D1038" s="13" t="str">
        <f t="shared" si="3"/>
        <v>#N/A</v>
      </c>
      <c r="E1038" s="1" t="s">
        <v>68</v>
      </c>
    </row>
    <row r="1039" ht="15.75" customHeight="1">
      <c r="A1039" s="1" t="s">
        <v>1328</v>
      </c>
      <c r="B1039" s="13" t="str">
        <f t="shared" si="1"/>
        <v>Eric</v>
      </c>
      <c r="C1039" s="13" t="str">
        <f t="shared" si="2"/>
        <v>Weems</v>
      </c>
      <c r="D1039" s="13" t="str">
        <f t="shared" si="3"/>
        <v>#N/A</v>
      </c>
      <c r="E1039" s="1" t="s">
        <v>69</v>
      </c>
    </row>
    <row r="1040" ht="15.75" customHeight="1">
      <c r="A1040" s="1" t="s">
        <v>1329</v>
      </c>
      <c r="B1040" s="13" t="str">
        <f t="shared" si="1"/>
        <v>Erik</v>
      </c>
      <c r="C1040" s="13" t="str">
        <f t="shared" si="2"/>
        <v>Ezukanma</v>
      </c>
      <c r="D1040" s="13" t="str">
        <f t="shared" si="3"/>
        <v>#N/A</v>
      </c>
      <c r="E1040" s="1" t="s">
        <v>69</v>
      </c>
    </row>
    <row r="1041" ht="15.75" customHeight="1">
      <c r="A1041" s="1" t="s">
        <v>1330</v>
      </c>
      <c r="B1041" s="13" t="str">
        <f t="shared" si="1"/>
        <v>Erik</v>
      </c>
      <c r="C1041" s="13" t="str">
        <f t="shared" si="2"/>
        <v>Swoope</v>
      </c>
      <c r="D1041" s="13" t="str">
        <f t="shared" si="3"/>
        <v>#N/A</v>
      </c>
      <c r="E1041" s="1" t="s">
        <v>68</v>
      </c>
    </row>
    <row r="1042" ht="15.75" customHeight="1">
      <c r="A1042" s="1" t="s">
        <v>1331</v>
      </c>
      <c r="B1042" s="13" t="str">
        <f t="shared" si="1"/>
        <v>Ethan</v>
      </c>
      <c r="C1042" s="13" t="str">
        <f t="shared" si="2"/>
        <v>Wolf</v>
      </c>
      <c r="D1042" s="13" t="str">
        <f t="shared" si="3"/>
        <v>#N/A</v>
      </c>
      <c r="E1042" s="1" t="s">
        <v>68</v>
      </c>
    </row>
    <row r="1043" ht="15.75" customHeight="1">
      <c r="A1043" s="1" t="s">
        <v>1332</v>
      </c>
      <c r="B1043" s="13" t="str">
        <f t="shared" si="1"/>
        <v>Evan</v>
      </c>
      <c r="C1043" s="13" t="str">
        <f t="shared" si="2"/>
        <v>Baylis</v>
      </c>
      <c r="D1043" s="13" t="str">
        <f t="shared" si="3"/>
        <v>#N/A</v>
      </c>
      <c r="E1043" s="1" t="s">
        <v>68</v>
      </c>
    </row>
    <row r="1044" ht="15.75" customHeight="1">
      <c r="A1044" s="1" t="s">
        <v>203</v>
      </c>
      <c r="B1044" s="13" t="str">
        <f t="shared" si="1"/>
        <v>Evan</v>
      </c>
      <c r="C1044" s="13" t="str">
        <f t="shared" si="2"/>
        <v>Engram</v>
      </c>
      <c r="D1044" s="13" t="str">
        <f t="shared" si="3"/>
        <v>#N/A</v>
      </c>
      <c r="E1044" s="1" t="s">
        <v>68</v>
      </c>
    </row>
    <row r="1045" ht="15.75" customHeight="1">
      <c r="A1045" s="1" t="s">
        <v>1333</v>
      </c>
      <c r="B1045" s="13" t="str">
        <f t="shared" si="1"/>
        <v>Evan</v>
      </c>
      <c r="C1045" s="13" t="str">
        <f t="shared" si="2"/>
        <v>Hull</v>
      </c>
      <c r="D1045" s="13" t="str">
        <f t="shared" si="3"/>
        <v>#N/A</v>
      </c>
      <c r="E1045" s="1" t="s">
        <v>66</v>
      </c>
    </row>
    <row r="1046" ht="15.75" customHeight="1">
      <c r="A1046" s="1" t="s">
        <v>1334</v>
      </c>
      <c r="B1046" s="13" t="str">
        <f t="shared" si="1"/>
        <v>Evan</v>
      </c>
      <c r="C1046" s="13" t="str">
        <f t="shared" si="2"/>
        <v>Royster</v>
      </c>
      <c r="D1046" s="13" t="str">
        <f t="shared" si="3"/>
        <v>#N/A</v>
      </c>
      <c r="E1046" s="1" t="s">
        <v>66</v>
      </c>
    </row>
    <row r="1047" ht="15.75" customHeight="1">
      <c r="A1047" s="1" t="s">
        <v>1335</v>
      </c>
      <c r="B1047" s="13" t="str">
        <f t="shared" si="1"/>
        <v>Evan</v>
      </c>
      <c r="C1047" s="13" t="str">
        <f t="shared" si="2"/>
        <v>Spencer</v>
      </c>
      <c r="D1047" s="13" t="str">
        <f t="shared" si="3"/>
        <v>#N/A</v>
      </c>
      <c r="E1047" s="1" t="s">
        <v>69</v>
      </c>
    </row>
    <row r="1048" ht="15.75" customHeight="1">
      <c r="A1048" s="1" t="s">
        <v>1337</v>
      </c>
      <c r="B1048" s="13" t="str">
        <f t="shared" si="1"/>
        <v>Evan</v>
      </c>
      <c r="C1048" s="13" t="str">
        <f t="shared" si="2"/>
        <v>Stewart</v>
      </c>
      <c r="D1048" s="13" t="str">
        <f t="shared" si="3"/>
        <v>#N/A</v>
      </c>
      <c r="E1048" s="1" t="s">
        <v>69</v>
      </c>
    </row>
    <row r="1049" ht="15.75" customHeight="1">
      <c r="A1049" s="1" t="s">
        <v>1338</v>
      </c>
      <c r="B1049" s="13" t="str">
        <f t="shared" si="1"/>
        <v>Evan</v>
      </c>
      <c r="C1049" s="13" t="str">
        <f t="shared" si="2"/>
        <v>Wilson</v>
      </c>
      <c r="D1049" s="13" t="str">
        <f t="shared" si="3"/>
        <v>#N/A</v>
      </c>
      <c r="E1049" s="1" t="s">
        <v>68</v>
      </c>
    </row>
    <row r="1050" ht="15.75" customHeight="1">
      <c r="A1050" s="1" t="s">
        <v>123</v>
      </c>
      <c r="B1050" s="13" t="str">
        <f t="shared" si="1"/>
        <v>Ezekiel</v>
      </c>
      <c r="C1050" s="13" t="str">
        <f t="shared" si="2"/>
        <v>Elliott</v>
      </c>
      <c r="D1050" s="13" t="str">
        <f t="shared" si="3"/>
        <v>#N/A</v>
      </c>
      <c r="E1050" s="1" t="s">
        <v>66</v>
      </c>
    </row>
    <row r="1051" ht="15.75" customHeight="1">
      <c r="A1051" s="1" t="s">
        <v>1339</v>
      </c>
      <c r="B1051" s="13" t="str">
        <f t="shared" si="1"/>
        <v>Ezell</v>
      </c>
      <c r="C1051" s="13" t="str">
        <f t="shared" si="2"/>
        <v>Ruffin</v>
      </c>
      <c r="D1051" s="13" t="str">
        <f t="shared" si="3"/>
        <v>#N/A</v>
      </c>
      <c r="E1051" s="1" t="s">
        <v>69</v>
      </c>
    </row>
    <row r="1052" ht="15.75" customHeight="1">
      <c r="A1052" s="1" t="s">
        <v>1340</v>
      </c>
      <c r="B1052" s="13" t="str">
        <f t="shared" si="1"/>
        <v>Feleipe</v>
      </c>
      <c r="C1052" s="13" t="str">
        <f t="shared" si="2"/>
        <v>Franks</v>
      </c>
      <c r="D1052" s="13" t="str">
        <f t="shared" si="3"/>
        <v>#N/A</v>
      </c>
      <c r="E1052" s="1" t="s">
        <v>65</v>
      </c>
    </row>
    <row r="1053" ht="15.75" customHeight="1">
      <c r="A1053" s="1" t="s">
        <v>1341</v>
      </c>
      <c r="B1053" s="13" t="str">
        <f t="shared" si="1"/>
        <v>Felix</v>
      </c>
      <c r="C1053" s="13" t="str">
        <f t="shared" si="2"/>
        <v>Jones</v>
      </c>
      <c r="D1053" s="13" t="str">
        <f t="shared" si="3"/>
        <v>#N/A</v>
      </c>
      <c r="E1053" s="1" t="s">
        <v>66</v>
      </c>
    </row>
    <row r="1054" ht="15.75" customHeight="1">
      <c r="A1054" s="1" t="s">
        <v>1343</v>
      </c>
      <c r="B1054" s="13" t="str">
        <f t="shared" si="1"/>
        <v>Felton</v>
      </c>
      <c r="C1054" s="13" t="str">
        <f t="shared" si="2"/>
        <v>Davis</v>
      </c>
      <c r="D1054" s="13" t="str">
        <f t="shared" si="3"/>
        <v>#N/A</v>
      </c>
      <c r="E1054" s="1" t="s">
        <v>69</v>
      </c>
    </row>
    <row r="1055" ht="15.75" customHeight="1">
      <c r="A1055" s="1" t="s">
        <v>1344</v>
      </c>
      <c r="B1055" s="13" t="str">
        <f t="shared" si="1"/>
        <v>Fitzgerald</v>
      </c>
      <c r="C1055" s="13" t="str">
        <f t="shared" si="2"/>
        <v>Toussaint</v>
      </c>
      <c r="D1055" s="13" t="str">
        <f t="shared" si="3"/>
        <v>#N/A</v>
      </c>
      <c r="E1055" s="1" t="s">
        <v>66</v>
      </c>
    </row>
    <row r="1056" ht="15.75" customHeight="1">
      <c r="A1056" s="1" t="s">
        <v>1345</v>
      </c>
      <c r="B1056" s="13" t="str">
        <f t="shared" si="1"/>
        <v>Floyd</v>
      </c>
      <c r="C1056" s="13" t="str">
        <f t="shared" si="2"/>
        <v>Allen</v>
      </c>
      <c r="D1056" s="13" t="str">
        <f t="shared" si="3"/>
        <v>#N/A</v>
      </c>
      <c r="E1056" s="1" t="s">
        <v>69</v>
      </c>
    </row>
    <row r="1057" ht="15.75" customHeight="1">
      <c r="A1057" s="1" t="s">
        <v>1346</v>
      </c>
      <c r="B1057" s="13" t="str">
        <f t="shared" si="1"/>
        <v>Foster</v>
      </c>
      <c r="C1057" s="13" t="str">
        <f t="shared" si="2"/>
        <v>Moreau</v>
      </c>
      <c r="D1057" s="13" t="str">
        <f t="shared" si="3"/>
        <v>#N/A</v>
      </c>
      <c r="E1057" s="1" t="s">
        <v>68</v>
      </c>
    </row>
    <row r="1058" ht="15.75" customHeight="1">
      <c r="A1058" s="1" t="s">
        <v>1347</v>
      </c>
      <c r="B1058" s="13" t="str">
        <f t="shared" si="1"/>
        <v>Fozzy</v>
      </c>
      <c r="C1058" s="13" t="str">
        <f t="shared" si="2"/>
        <v>Whittaker</v>
      </c>
      <c r="D1058" s="13" t="str">
        <f t="shared" si="3"/>
        <v>#N/A</v>
      </c>
      <c r="E1058" s="1" t="s">
        <v>66</v>
      </c>
    </row>
    <row r="1059" ht="15.75" customHeight="1">
      <c r="A1059" s="1" t="s">
        <v>1348</v>
      </c>
      <c r="B1059" s="13" t="str">
        <f t="shared" si="1"/>
        <v>Francis</v>
      </c>
      <c r="C1059" s="13" t="str">
        <f t="shared" si="2"/>
        <v>Owusu</v>
      </c>
      <c r="D1059" s="13" t="str">
        <f t="shared" si="3"/>
        <v>#N/A</v>
      </c>
      <c r="E1059" s="1" t="s">
        <v>69</v>
      </c>
    </row>
    <row r="1060" ht="15.75" customHeight="1">
      <c r="A1060" s="1" t="s">
        <v>1349</v>
      </c>
      <c r="B1060" s="13" t="str">
        <f t="shared" si="1"/>
        <v>Frank</v>
      </c>
      <c r="C1060" s="13" t="str">
        <f t="shared" si="2"/>
        <v>Darby</v>
      </c>
      <c r="D1060" s="13" t="str">
        <f t="shared" si="3"/>
        <v>#N/A</v>
      </c>
      <c r="E1060" s="1" t="s">
        <v>69</v>
      </c>
    </row>
    <row r="1061" ht="15.75" customHeight="1">
      <c r="A1061" s="1" t="s">
        <v>1350</v>
      </c>
      <c r="B1061" s="13" t="str">
        <f t="shared" si="1"/>
        <v>Frank</v>
      </c>
      <c r="C1061" s="13" t="str">
        <f t="shared" si="2"/>
        <v>Gore</v>
      </c>
      <c r="D1061" s="13" t="str">
        <f t="shared" si="3"/>
        <v>#N/A</v>
      </c>
      <c r="E1061" s="1" t="s">
        <v>66</v>
      </c>
    </row>
    <row r="1062" ht="15.75" customHeight="1">
      <c r="A1062" s="1" t="s">
        <v>1352</v>
      </c>
      <c r="B1062" s="13" t="str">
        <f t="shared" si="1"/>
        <v>Frank</v>
      </c>
      <c r="C1062" s="13" t="str">
        <f t="shared" si="2"/>
        <v>Ladson</v>
      </c>
      <c r="D1062" s="13" t="str">
        <f t="shared" si="3"/>
        <v>#N/A</v>
      </c>
      <c r="E1062" s="1" t="s">
        <v>69</v>
      </c>
    </row>
    <row r="1063" ht="15.75" customHeight="1">
      <c r="A1063" s="1" t="s">
        <v>1353</v>
      </c>
      <c r="B1063" s="13" t="str">
        <f t="shared" si="1"/>
        <v>Frankie</v>
      </c>
      <c r="C1063" s="13" t="str">
        <f t="shared" si="2"/>
        <v>Hammond</v>
      </c>
      <c r="D1063" s="13" t="str">
        <f t="shared" si="3"/>
        <v>#N/A</v>
      </c>
      <c r="E1063" s="1" t="s">
        <v>69</v>
      </c>
    </row>
    <row r="1064" ht="15.75" customHeight="1">
      <c r="A1064" s="1" t="s">
        <v>1355</v>
      </c>
      <c r="B1064" s="13" t="str">
        <f t="shared" si="1"/>
        <v>Frankie</v>
      </c>
      <c r="C1064" s="13" t="str">
        <f t="shared" si="2"/>
        <v>Hickson</v>
      </c>
      <c r="D1064" s="13" t="str">
        <f t="shared" si="3"/>
        <v>#N/A</v>
      </c>
      <c r="E1064" s="1" t="s">
        <v>66</v>
      </c>
    </row>
    <row r="1065" ht="15.75" customHeight="1">
      <c r="A1065" s="1" t="s">
        <v>1356</v>
      </c>
      <c r="B1065" s="13" t="str">
        <f t="shared" si="1"/>
        <v>Fred</v>
      </c>
      <c r="C1065" s="13" t="str">
        <f t="shared" si="2"/>
        <v>Brown</v>
      </c>
      <c r="D1065" s="13" t="str">
        <f t="shared" si="3"/>
        <v>#N/A</v>
      </c>
      <c r="E1065" s="1" t="s">
        <v>69</v>
      </c>
    </row>
    <row r="1066" ht="15.75" customHeight="1">
      <c r="A1066" s="1" t="s">
        <v>1357</v>
      </c>
      <c r="B1066" s="13" t="str">
        <f t="shared" si="1"/>
        <v>Fred</v>
      </c>
      <c r="C1066" s="13" t="str">
        <f t="shared" si="2"/>
        <v>Davis</v>
      </c>
      <c r="D1066" s="13" t="str">
        <f t="shared" si="3"/>
        <v>#N/A</v>
      </c>
      <c r="E1066" s="1" t="s">
        <v>68</v>
      </c>
    </row>
    <row r="1067" ht="15.75" customHeight="1">
      <c r="A1067" s="1" t="s">
        <v>1358</v>
      </c>
      <c r="B1067" s="13" t="str">
        <f t="shared" si="1"/>
        <v>Fred</v>
      </c>
      <c r="C1067" s="13" t="str">
        <f t="shared" si="2"/>
        <v>Jackson</v>
      </c>
      <c r="D1067" s="13" t="str">
        <f t="shared" si="3"/>
        <v>#N/A</v>
      </c>
      <c r="E1067" s="1" t="s">
        <v>66</v>
      </c>
    </row>
    <row r="1068" ht="15.75" customHeight="1">
      <c r="A1068" s="1" t="s">
        <v>1359</v>
      </c>
      <c r="B1068" s="13" t="str">
        <f t="shared" si="1"/>
        <v>Fred</v>
      </c>
      <c r="C1068" s="13" t="str">
        <f t="shared" si="2"/>
        <v>Ross</v>
      </c>
      <c r="D1068" s="13" t="str">
        <f t="shared" si="3"/>
        <v>#N/A</v>
      </c>
      <c r="E1068" s="1" t="s">
        <v>69</v>
      </c>
    </row>
    <row r="1069" ht="15.75" customHeight="1">
      <c r="A1069" s="1" t="s">
        <v>1360</v>
      </c>
      <c r="B1069" s="13" t="str">
        <f t="shared" si="1"/>
        <v>Freddie</v>
      </c>
      <c r="C1069" s="13" t="str">
        <f t="shared" si="2"/>
        <v>Martino</v>
      </c>
      <c r="D1069" s="13" t="str">
        <f t="shared" si="3"/>
        <v>#N/A</v>
      </c>
      <c r="E1069" s="1" t="s">
        <v>69</v>
      </c>
    </row>
    <row r="1070" ht="15.75" customHeight="1">
      <c r="A1070" s="1" t="s">
        <v>1361</v>
      </c>
      <c r="B1070" s="13" t="str">
        <f t="shared" si="1"/>
        <v>Freddie</v>
      </c>
      <c r="C1070" s="13" t="str">
        <f t="shared" si="2"/>
        <v>Swain</v>
      </c>
      <c r="D1070" s="13" t="str">
        <f t="shared" si="3"/>
        <v>#N/A</v>
      </c>
      <c r="E1070" s="1" t="s">
        <v>69</v>
      </c>
    </row>
    <row r="1071" ht="15.75" customHeight="1">
      <c r="A1071" s="1" t="s">
        <v>1362</v>
      </c>
      <c r="B1071" s="13" t="str">
        <f t="shared" si="1"/>
        <v>Gabe</v>
      </c>
      <c r="C1071" s="13" t="str">
        <f t="shared" si="2"/>
        <v>Holmes</v>
      </c>
      <c r="D1071" s="13" t="str">
        <f t="shared" si="3"/>
        <v>#N/A</v>
      </c>
      <c r="E1071" s="1" t="s">
        <v>68</v>
      </c>
    </row>
    <row r="1072" ht="15.75" customHeight="1">
      <c r="A1072" s="1" t="s">
        <v>1363</v>
      </c>
      <c r="B1072" s="13" t="str">
        <f t="shared" si="1"/>
        <v>Gabe</v>
      </c>
      <c r="C1072" s="13" t="str">
        <f t="shared" si="2"/>
        <v>Marks</v>
      </c>
      <c r="D1072" s="13" t="str">
        <f t="shared" si="3"/>
        <v>#N/A</v>
      </c>
      <c r="E1072" s="1" t="s">
        <v>69</v>
      </c>
    </row>
    <row r="1073" ht="15.75" customHeight="1">
      <c r="A1073" s="1" t="s">
        <v>1364</v>
      </c>
      <c r="B1073" s="13" t="str">
        <f t="shared" si="1"/>
        <v>Gabe</v>
      </c>
      <c r="C1073" s="13" t="str">
        <f t="shared" si="2"/>
        <v>Nabers</v>
      </c>
      <c r="D1073" s="13" t="str">
        <f t="shared" si="3"/>
        <v>#N/A</v>
      </c>
      <c r="E1073" s="1" t="s">
        <v>66</v>
      </c>
    </row>
    <row r="1074" ht="15.75" customHeight="1">
      <c r="A1074" s="1" t="s">
        <v>1365</v>
      </c>
      <c r="B1074" s="13" t="str">
        <f t="shared" si="1"/>
        <v>Gabriel</v>
      </c>
      <c r="C1074" s="13" t="str">
        <f t="shared" si="2"/>
        <v>Davis</v>
      </c>
      <c r="D1074" s="13" t="str">
        <f t="shared" si="3"/>
        <v>#N/A</v>
      </c>
      <c r="E1074" s="1" t="s">
        <v>69</v>
      </c>
    </row>
    <row r="1075" ht="15.75" customHeight="1">
      <c r="A1075" s="1" t="s">
        <v>1366</v>
      </c>
      <c r="B1075" s="13" t="str">
        <f t="shared" si="1"/>
        <v>Gardner</v>
      </c>
      <c r="C1075" s="13" t="str">
        <f t="shared" si="2"/>
        <v>Minshew</v>
      </c>
      <c r="D1075" s="13" t="str">
        <f t="shared" si="3"/>
        <v>#N/A</v>
      </c>
      <c r="E1075" s="1" t="s">
        <v>65</v>
      </c>
    </row>
    <row r="1076" ht="15.75" customHeight="1">
      <c r="A1076" s="1" t="s">
        <v>1367</v>
      </c>
      <c r="B1076" s="13" t="str">
        <f t="shared" si="1"/>
        <v>Garrett</v>
      </c>
      <c r="C1076" s="13" t="str">
        <f t="shared" si="2"/>
        <v>Celek</v>
      </c>
      <c r="D1076" s="13" t="str">
        <f t="shared" si="3"/>
        <v>#N/A</v>
      </c>
      <c r="E1076" s="1" t="s">
        <v>68</v>
      </c>
    </row>
    <row r="1077" ht="15.75" customHeight="1">
      <c r="A1077" s="1" t="s">
        <v>1368</v>
      </c>
      <c r="B1077" s="13" t="str">
        <f t="shared" si="1"/>
        <v>Garrett</v>
      </c>
      <c r="C1077" s="13" t="str">
        <f t="shared" si="2"/>
        <v>Dickerson</v>
      </c>
      <c r="D1077" s="13" t="str">
        <f t="shared" si="3"/>
        <v>#N/A</v>
      </c>
      <c r="E1077" s="1" t="s">
        <v>68</v>
      </c>
    </row>
    <row r="1078" ht="15.75" customHeight="1">
      <c r="A1078" s="1" t="s">
        <v>1369</v>
      </c>
      <c r="B1078" s="13" t="str">
        <f t="shared" si="1"/>
        <v>Garrett</v>
      </c>
      <c r="C1078" s="13" t="str">
        <f t="shared" si="2"/>
        <v>Gilbert</v>
      </c>
      <c r="D1078" s="13" t="str">
        <f t="shared" si="3"/>
        <v>#N/A</v>
      </c>
      <c r="E1078" s="1" t="s">
        <v>65</v>
      </c>
    </row>
    <row r="1079" ht="15.75" customHeight="1">
      <c r="A1079" s="1" t="s">
        <v>1370</v>
      </c>
      <c r="B1079" s="13" t="str">
        <f t="shared" si="1"/>
        <v>Garrett</v>
      </c>
      <c r="C1079" s="13" t="str">
        <f t="shared" si="2"/>
        <v>Graham</v>
      </c>
      <c r="D1079" s="13" t="str">
        <f t="shared" si="3"/>
        <v>#N/A</v>
      </c>
      <c r="E1079" s="1" t="s">
        <v>68</v>
      </c>
    </row>
    <row r="1080" ht="15.75" customHeight="1">
      <c r="A1080" s="1" t="s">
        <v>1371</v>
      </c>
      <c r="B1080" s="13" t="str">
        <f t="shared" si="1"/>
        <v>Garrett</v>
      </c>
      <c r="C1080" s="13" t="str">
        <f t="shared" si="2"/>
        <v>Grayson</v>
      </c>
      <c r="D1080" s="13" t="str">
        <f t="shared" si="3"/>
        <v>#N/A</v>
      </c>
      <c r="E1080" s="1" t="s">
        <v>65</v>
      </c>
    </row>
    <row r="1081" ht="15.75" customHeight="1">
      <c r="A1081" s="1" t="s">
        <v>1372</v>
      </c>
      <c r="B1081" s="13" t="str">
        <f t="shared" si="1"/>
        <v>Garrett</v>
      </c>
      <c r="C1081" s="13" t="str">
        <f t="shared" si="2"/>
        <v>Griffin</v>
      </c>
      <c r="D1081" s="13" t="str">
        <f t="shared" si="3"/>
        <v>#N/A</v>
      </c>
      <c r="E1081" s="1" t="s">
        <v>68</v>
      </c>
    </row>
    <row r="1082" ht="15.75" customHeight="1">
      <c r="A1082" s="1" t="s">
        <v>1373</v>
      </c>
      <c r="B1082" s="13" t="str">
        <f t="shared" si="1"/>
        <v>Garrett</v>
      </c>
      <c r="C1082" s="13" t="str">
        <f t="shared" si="2"/>
        <v>Groshek</v>
      </c>
      <c r="D1082" s="13" t="str">
        <f t="shared" si="3"/>
        <v>#N/A</v>
      </c>
      <c r="E1082" s="1" t="s">
        <v>66</v>
      </c>
    </row>
    <row r="1083" ht="15.75" customHeight="1">
      <c r="A1083" s="1" t="s">
        <v>1374</v>
      </c>
      <c r="B1083" s="13" t="str">
        <f t="shared" si="1"/>
        <v>Garrett</v>
      </c>
      <c r="C1083" s="13" t="str">
        <f t="shared" si="2"/>
        <v>Johnson</v>
      </c>
      <c r="D1083" s="13" t="str">
        <f t="shared" si="3"/>
        <v>#N/A</v>
      </c>
      <c r="E1083" s="1" t="s">
        <v>69</v>
      </c>
    </row>
    <row r="1084" ht="15.75" customHeight="1">
      <c r="A1084" s="1" t="s">
        <v>1375</v>
      </c>
      <c r="B1084" s="13" t="str">
        <f t="shared" si="1"/>
        <v>Garrett</v>
      </c>
      <c r="C1084" s="13" t="str">
        <f t="shared" si="2"/>
        <v>Wilson</v>
      </c>
      <c r="D1084" s="13" t="str">
        <f t="shared" si="3"/>
        <v>#N/A</v>
      </c>
      <c r="E1084" s="1" t="s">
        <v>69</v>
      </c>
    </row>
    <row r="1085" ht="15.75" customHeight="1">
      <c r="A1085" s="1" t="s">
        <v>1376</v>
      </c>
      <c r="B1085" s="13" t="str">
        <f t="shared" si="1"/>
        <v>Gary</v>
      </c>
      <c r="C1085" s="13" t="str">
        <f t="shared" si="2"/>
        <v>Barnidge</v>
      </c>
      <c r="D1085" s="13" t="str">
        <f t="shared" si="3"/>
        <v>#N/A</v>
      </c>
      <c r="E1085" s="1" t="s">
        <v>68</v>
      </c>
    </row>
    <row r="1086" ht="15.75" customHeight="1">
      <c r="A1086" s="1" t="s">
        <v>1377</v>
      </c>
      <c r="B1086" s="13" t="str">
        <f t="shared" si="1"/>
        <v>Gary</v>
      </c>
      <c r="C1086" s="13" t="str">
        <f t="shared" si="2"/>
        <v>Brightwell</v>
      </c>
      <c r="D1086" s="13" t="str">
        <f t="shared" si="3"/>
        <v>#N/A</v>
      </c>
      <c r="E1086" s="1" t="s">
        <v>66</v>
      </c>
    </row>
    <row r="1087" ht="15.75" customHeight="1">
      <c r="A1087" s="1" t="s">
        <v>1378</v>
      </c>
      <c r="B1087" s="13" t="str">
        <f t="shared" si="1"/>
        <v>Gary</v>
      </c>
      <c r="C1087" s="13" t="str">
        <f t="shared" si="2"/>
        <v>Bryant</v>
      </c>
      <c r="D1087" s="13" t="str">
        <f t="shared" si="3"/>
        <v>#N/A</v>
      </c>
      <c r="E1087" s="1" t="s">
        <v>69</v>
      </c>
    </row>
    <row r="1088" ht="15.75" customHeight="1">
      <c r="A1088" s="1" t="s">
        <v>1379</v>
      </c>
      <c r="B1088" s="13" t="str">
        <f t="shared" si="1"/>
        <v>Gary</v>
      </c>
      <c r="C1088" s="13" t="str">
        <f t="shared" si="2"/>
        <v>Jennings</v>
      </c>
      <c r="D1088" s="13" t="str">
        <f t="shared" si="3"/>
        <v>#N/A</v>
      </c>
      <c r="E1088" s="1" t="s">
        <v>69</v>
      </c>
    </row>
    <row r="1089" ht="15.75" customHeight="1">
      <c r="A1089" s="1" t="s">
        <v>1380</v>
      </c>
      <c r="B1089" s="13" t="str">
        <f t="shared" si="1"/>
        <v>Gator</v>
      </c>
      <c r="C1089" s="13" t="str">
        <f t="shared" si="2"/>
        <v>Hoskins</v>
      </c>
      <c r="D1089" s="13" t="str">
        <f t="shared" si="3"/>
        <v>#N/A</v>
      </c>
      <c r="E1089" s="1" t="s">
        <v>68</v>
      </c>
    </row>
    <row r="1090" ht="15.75" customHeight="1">
      <c r="A1090" s="1" t="s">
        <v>1381</v>
      </c>
      <c r="B1090" s="13" t="str">
        <f t="shared" si="1"/>
        <v>Gavin</v>
      </c>
      <c r="C1090" s="13" t="str">
        <f t="shared" si="2"/>
        <v>Bartholomew</v>
      </c>
      <c r="D1090" s="13" t="str">
        <f t="shared" si="3"/>
        <v>#N/A</v>
      </c>
      <c r="E1090" s="1" t="s">
        <v>68</v>
      </c>
    </row>
    <row r="1091" ht="15.75" customHeight="1">
      <c r="A1091" s="1" t="s">
        <v>1382</v>
      </c>
      <c r="B1091" s="13" t="str">
        <f t="shared" si="1"/>
        <v>Gavin</v>
      </c>
      <c r="C1091" s="13" t="str">
        <f t="shared" si="2"/>
        <v>Escobar</v>
      </c>
      <c r="D1091" s="13" t="str">
        <f t="shared" si="3"/>
        <v>#N/A</v>
      </c>
      <c r="E1091" s="1" t="s">
        <v>68</v>
      </c>
    </row>
    <row r="1092" ht="15.75" customHeight="1">
      <c r="A1092" s="1" t="s">
        <v>1383</v>
      </c>
      <c r="B1092" s="13" t="str">
        <f t="shared" si="1"/>
        <v>Gavin</v>
      </c>
      <c r="C1092" s="13" t="str">
        <f t="shared" si="2"/>
        <v>Lutman</v>
      </c>
      <c r="D1092" s="13" t="str">
        <f t="shared" si="3"/>
        <v>#N/A</v>
      </c>
      <c r="E1092" s="1" t="s">
        <v>69</v>
      </c>
    </row>
    <row r="1093" ht="15.75" customHeight="1">
      <c r="A1093" s="1" t="s">
        <v>1384</v>
      </c>
      <c r="B1093" s="13" t="str">
        <f t="shared" si="1"/>
        <v>Gavin</v>
      </c>
      <c r="C1093" s="13" t="str">
        <f t="shared" si="2"/>
        <v>Williams</v>
      </c>
      <c r="D1093" s="13" t="str">
        <f t="shared" si="3"/>
        <v>#N/A</v>
      </c>
      <c r="E1093" s="1" t="s">
        <v>66</v>
      </c>
    </row>
    <row r="1094" ht="15.75" customHeight="1">
      <c r="A1094" s="1" t="s">
        <v>1385</v>
      </c>
      <c r="B1094" s="13" t="str">
        <f t="shared" si="1"/>
        <v>Gee</v>
      </c>
      <c r="C1094" s="13" t="str">
        <f t="shared" si="2"/>
        <v>Scott</v>
      </c>
      <c r="D1094" s="13" t="str">
        <f t="shared" si="3"/>
        <v>#N/A</v>
      </c>
      <c r="E1094" s="1" t="s">
        <v>68</v>
      </c>
    </row>
    <row r="1095" ht="15.75" customHeight="1">
      <c r="A1095" s="1" t="s">
        <v>1386</v>
      </c>
      <c r="B1095" s="13" t="str">
        <f t="shared" si="1"/>
        <v>Gehrig</v>
      </c>
      <c r="C1095" s="13" t="str">
        <f t="shared" si="2"/>
        <v>Dieter</v>
      </c>
      <c r="D1095" s="13" t="str">
        <f t="shared" si="3"/>
        <v>#N/A</v>
      </c>
      <c r="E1095" s="1" t="s">
        <v>69</v>
      </c>
    </row>
    <row r="1096" ht="15.75" customHeight="1">
      <c r="A1096" s="1" t="s">
        <v>1388</v>
      </c>
      <c r="B1096" s="13" t="str">
        <f t="shared" si="1"/>
        <v>Geno</v>
      </c>
      <c r="C1096" s="13" t="str">
        <f t="shared" si="2"/>
        <v>Smith</v>
      </c>
      <c r="D1096" s="13" t="str">
        <f t="shared" si="3"/>
        <v>#N/A</v>
      </c>
      <c r="E1096" s="1" t="s">
        <v>65</v>
      </c>
    </row>
    <row r="1097" ht="15.75" customHeight="1">
      <c r="A1097" s="1" t="s">
        <v>1389</v>
      </c>
      <c r="B1097" s="13" t="str">
        <f t="shared" si="1"/>
        <v>Geoff</v>
      </c>
      <c r="C1097" s="13" t="str">
        <f t="shared" si="2"/>
        <v>Swaim</v>
      </c>
      <c r="D1097" s="13" t="str">
        <f t="shared" si="3"/>
        <v>#N/A</v>
      </c>
      <c r="E1097" s="1" t="s">
        <v>68</v>
      </c>
    </row>
    <row r="1098" ht="15.75" customHeight="1">
      <c r="A1098" s="1" t="s">
        <v>1391</v>
      </c>
      <c r="B1098" s="13" t="str">
        <f t="shared" si="1"/>
        <v>George</v>
      </c>
      <c r="C1098" s="13" t="str">
        <f t="shared" si="2"/>
        <v>Aston</v>
      </c>
      <c r="D1098" s="13" t="str">
        <f t="shared" si="3"/>
        <v>#N/A</v>
      </c>
      <c r="E1098" s="1" t="s">
        <v>66</v>
      </c>
    </row>
    <row r="1099" ht="15.75" customHeight="1">
      <c r="A1099" s="1" t="s">
        <v>1392</v>
      </c>
      <c r="B1099" s="13" t="str">
        <f t="shared" si="1"/>
        <v>George</v>
      </c>
      <c r="C1099" s="13" t="str">
        <f t="shared" si="2"/>
        <v>Atkinson III</v>
      </c>
      <c r="D1099" s="13" t="str">
        <f t="shared" si="3"/>
        <v>#N/A</v>
      </c>
      <c r="E1099" s="1" t="s">
        <v>66</v>
      </c>
    </row>
    <row r="1100" ht="15.75" customHeight="1">
      <c r="A1100" s="1" t="s">
        <v>1393</v>
      </c>
      <c r="B1100" s="13" t="str">
        <f t="shared" si="1"/>
        <v>George</v>
      </c>
      <c r="C1100" s="13" t="str">
        <f t="shared" si="2"/>
        <v>Farmer</v>
      </c>
      <c r="D1100" s="13" t="str">
        <f t="shared" si="3"/>
        <v>#N/A</v>
      </c>
      <c r="E1100" s="1" t="s">
        <v>66</v>
      </c>
    </row>
    <row r="1101" ht="15.75" customHeight="1">
      <c r="A1101" s="1" t="s">
        <v>1394</v>
      </c>
      <c r="B1101" s="13" t="str">
        <f t="shared" si="1"/>
        <v>George</v>
      </c>
      <c r="C1101" s="13" t="str">
        <f t="shared" si="2"/>
        <v>Holani</v>
      </c>
      <c r="D1101" s="13" t="str">
        <f t="shared" si="3"/>
        <v>#N/A</v>
      </c>
      <c r="E1101" s="1" t="s">
        <v>66</v>
      </c>
    </row>
    <row r="1102" ht="15.75" customHeight="1">
      <c r="A1102" s="1" t="s">
        <v>345</v>
      </c>
      <c r="B1102" s="13" t="str">
        <f t="shared" si="1"/>
        <v>George</v>
      </c>
      <c r="C1102" s="13" t="str">
        <f t="shared" si="2"/>
        <v>Kittle</v>
      </c>
      <c r="D1102" s="13" t="str">
        <f t="shared" si="3"/>
        <v>#N/A</v>
      </c>
      <c r="E1102" s="1" t="s">
        <v>68</v>
      </c>
    </row>
    <row r="1103" ht="15.75" customHeight="1">
      <c r="A1103" s="1" t="s">
        <v>1395</v>
      </c>
      <c r="B1103" s="13" t="str">
        <f t="shared" si="1"/>
        <v>George</v>
      </c>
      <c r="C1103" s="13" t="str">
        <f t="shared" si="2"/>
        <v>Pickens</v>
      </c>
      <c r="D1103" s="13" t="str">
        <f t="shared" si="3"/>
        <v>#N/A</v>
      </c>
      <c r="E1103" s="1" t="s">
        <v>69</v>
      </c>
    </row>
    <row r="1104" ht="15.75" customHeight="1">
      <c r="A1104" s="1" t="s">
        <v>1397</v>
      </c>
      <c r="B1104" s="13" t="str">
        <f t="shared" si="1"/>
        <v>George</v>
      </c>
      <c r="C1104" s="13" t="str">
        <f t="shared" si="2"/>
        <v>Winn</v>
      </c>
      <c r="D1104" s="13" t="str">
        <f t="shared" si="3"/>
        <v>#N/A</v>
      </c>
      <c r="E1104" s="1" t="s">
        <v>66</v>
      </c>
    </row>
    <row r="1105" ht="15.75" customHeight="1">
      <c r="A1105" s="1" t="s">
        <v>1398</v>
      </c>
      <c r="B1105" s="13" t="str">
        <f t="shared" si="1"/>
        <v>Gerald</v>
      </c>
      <c r="C1105" s="13" t="str">
        <f t="shared" si="2"/>
        <v>Christian</v>
      </c>
      <c r="D1105" s="13" t="str">
        <f t="shared" si="3"/>
        <v>#N/A</v>
      </c>
      <c r="E1105" s="1" t="s">
        <v>68</v>
      </c>
    </row>
    <row r="1106" ht="15.75" customHeight="1">
      <c r="A1106" s="1" t="s">
        <v>445</v>
      </c>
      <c r="B1106" s="13" t="str">
        <f t="shared" si="1"/>
        <v>Gerald</v>
      </c>
      <c r="C1106" s="13" t="str">
        <f t="shared" si="2"/>
        <v>Everett</v>
      </c>
      <c r="D1106" s="13" t="str">
        <f t="shared" si="3"/>
        <v>#N/A</v>
      </c>
      <c r="E1106" s="1" t="s">
        <v>68</v>
      </c>
    </row>
    <row r="1107" ht="15.75" customHeight="1">
      <c r="A1107" s="1" t="s">
        <v>1399</v>
      </c>
      <c r="B1107" s="13" t="str">
        <f t="shared" si="1"/>
        <v>Geraldo</v>
      </c>
      <c r="C1107" s="13" t="str">
        <f t="shared" si="2"/>
        <v>Boldewijn</v>
      </c>
      <c r="D1107" s="13" t="str">
        <f t="shared" si="3"/>
        <v>#N/A</v>
      </c>
      <c r="E1107" s="1" t="s">
        <v>69</v>
      </c>
    </row>
    <row r="1108" ht="15.75" customHeight="1">
      <c r="A1108" s="1" t="s">
        <v>1400</v>
      </c>
      <c r="B1108" s="13" t="str">
        <f t="shared" si="1"/>
        <v>Gerell</v>
      </c>
      <c r="C1108" s="13" t="str">
        <f t="shared" si="2"/>
        <v>Robinson</v>
      </c>
      <c r="D1108" s="13" t="str">
        <f t="shared" si="3"/>
        <v>#N/A</v>
      </c>
      <c r="E1108" s="1" t="s">
        <v>68</v>
      </c>
    </row>
    <row r="1109" ht="15.75" customHeight="1">
      <c r="A1109" s="1" t="s">
        <v>1401</v>
      </c>
      <c r="B1109" s="13" t="str">
        <f t="shared" si="1"/>
        <v>Geremy</v>
      </c>
      <c r="C1109" s="13" t="str">
        <f t="shared" si="2"/>
        <v>Davis</v>
      </c>
      <c r="D1109" s="13" t="str">
        <f t="shared" si="3"/>
        <v>#N/A</v>
      </c>
      <c r="E1109" s="1" t="s">
        <v>69</v>
      </c>
    </row>
    <row r="1110" ht="15.75" customHeight="1">
      <c r="A1110" s="1" t="s">
        <v>1402</v>
      </c>
      <c r="B1110" s="13" t="str">
        <f t="shared" si="1"/>
        <v>Gerold</v>
      </c>
      <c r="C1110" s="13" t="str">
        <f t="shared" si="2"/>
        <v>Bright</v>
      </c>
      <c r="D1110" s="13" t="str">
        <f t="shared" si="3"/>
        <v>#N/A</v>
      </c>
      <c r="E1110" s="1" t="s">
        <v>66</v>
      </c>
    </row>
    <row r="1111" ht="15.75" customHeight="1">
      <c r="A1111" s="1" t="s">
        <v>1103</v>
      </c>
      <c r="B1111" s="13" t="str">
        <f t="shared" si="1"/>
        <v>Geronimo</v>
      </c>
      <c r="C1111" s="13" t="str">
        <f t="shared" si="2"/>
        <v>Allison</v>
      </c>
      <c r="D1111" s="13" t="str">
        <f t="shared" si="3"/>
        <v>#N/A</v>
      </c>
      <c r="E1111" s="1" t="s">
        <v>69</v>
      </c>
    </row>
    <row r="1112" ht="15.75" customHeight="1">
      <c r="A1112" s="1" t="s">
        <v>1404</v>
      </c>
      <c r="B1112" s="13" t="str">
        <f t="shared" si="1"/>
        <v>Gerrard</v>
      </c>
      <c r="C1112" s="13" t="str">
        <f t="shared" si="2"/>
        <v>Sheppard</v>
      </c>
      <c r="D1112" s="13" t="str">
        <f t="shared" si="3"/>
        <v>#N/A</v>
      </c>
      <c r="E1112" s="1" t="s">
        <v>69</v>
      </c>
    </row>
    <row r="1113" ht="15.75" customHeight="1">
      <c r="A1113" s="1" t="s">
        <v>1405</v>
      </c>
      <c r="B1113" s="13" t="str">
        <f t="shared" si="1"/>
        <v>Gerrid</v>
      </c>
      <c r="C1113" s="13" t="str">
        <f t="shared" si="2"/>
        <v>Doaks</v>
      </c>
      <c r="D1113" s="13" t="str">
        <f t="shared" si="3"/>
        <v>#N/A</v>
      </c>
      <c r="E1113" s="1" t="s">
        <v>66</v>
      </c>
    </row>
    <row r="1114" ht="15.75" customHeight="1">
      <c r="A1114" s="1" t="s">
        <v>1406</v>
      </c>
      <c r="B1114" s="13" t="str">
        <f t="shared" si="1"/>
        <v>Gerrit</v>
      </c>
      <c r="C1114" s="13" t="str">
        <f t="shared" si="2"/>
        <v>Prince</v>
      </c>
      <c r="D1114" s="13" t="str">
        <f t="shared" si="3"/>
        <v>#N/A</v>
      </c>
      <c r="E1114" s="1" t="s">
        <v>68</v>
      </c>
    </row>
    <row r="1115" ht="15.75" customHeight="1">
      <c r="A1115" s="1" t="s">
        <v>1137</v>
      </c>
      <c r="B1115" s="13" t="str">
        <f t="shared" si="1"/>
        <v>Giovani</v>
      </c>
      <c r="C1115" s="13" t="str">
        <f t="shared" si="2"/>
        <v>Bernard</v>
      </c>
      <c r="D1115" s="13" t="str">
        <f t="shared" si="3"/>
        <v>#N/A</v>
      </c>
      <c r="E1115" s="1" t="s">
        <v>66</v>
      </c>
    </row>
    <row r="1116" ht="15.75" customHeight="1">
      <c r="A1116" s="1" t="s">
        <v>1407</v>
      </c>
      <c r="B1116" s="13" t="str">
        <f t="shared" si="1"/>
        <v>Giovanni</v>
      </c>
      <c r="C1116" s="13" t="str">
        <f t="shared" si="2"/>
        <v>Ricci</v>
      </c>
      <c r="D1116" s="13" t="str">
        <f t="shared" si="3"/>
        <v>#N/A</v>
      </c>
      <c r="E1116" s="1" t="s">
        <v>68</v>
      </c>
    </row>
    <row r="1117" ht="15.75" customHeight="1">
      <c r="A1117" s="1" t="s">
        <v>1408</v>
      </c>
      <c r="B1117" s="13" t="str">
        <f t="shared" si="1"/>
        <v>Glasco</v>
      </c>
      <c r="C1117" s="13" t="str">
        <f t="shared" si="2"/>
        <v>Martin</v>
      </c>
      <c r="D1117" s="13" t="str">
        <f t="shared" si="3"/>
        <v>#N/A</v>
      </c>
      <c r="E1117" s="1" t="s">
        <v>66</v>
      </c>
    </row>
    <row r="1118" ht="15.75" customHeight="1">
      <c r="A1118" s="1" t="s">
        <v>1409</v>
      </c>
      <c r="B1118" s="13" t="str">
        <f t="shared" si="1"/>
        <v>Glenn</v>
      </c>
      <c r="C1118" s="13" t="str">
        <f t="shared" si="2"/>
        <v>Winston</v>
      </c>
      <c r="D1118" s="13" t="str">
        <f t="shared" si="3"/>
        <v>#N/A</v>
      </c>
      <c r="E1118" s="1" t="s">
        <v>66</v>
      </c>
    </row>
    <row r="1119" ht="15.75" customHeight="1">
      <c r="A1119" s="1" t="s">
        <v>1410</v>
      </c>
      <c r="B1119" s="13" t="str">
        <f t="shared" si="1"/>
        <v>Godwin</v>
      </c>
      <c r="C1119" s="13" t="str">
        <f t="shared" si="2"/>
        <v>Igwebuike</v>
      </c>
      <c r="D1119" s="13" t="str">
        <f t="shared" si="3"/>
        <v>#N/A</v>
      </c>
      <c r="E1119" s="1" t="s">
        <v>66</v>
      </c>
    </row>
    <row r="1120" ht="15.75" customHeight="1">
      <c r="A1120" s="1" t="s">
        <v>944</v>
      </c>
      <c r="B1120" s="13" t="str">
        <f t="shared" si="1"/>
        <v>Golden</v>
      </c>
      <c r="C1120" s="13" t="str">
        <f t="shared" si="2"/>
        <v>Tate</v>
      </c>
      <c r="D1120" s="13" t="str">
        <f t="shared" si="3"/>
        <v>#N/A</v>
      </c>
      <c r="E1120" s="1" t="s">
        <v>69</v>
      </c>
    </row>
    <row r="1121" ht="15.75" customHeight="1">
      <c r="A1121" s="1" t="s">
        <v>1411</v>
      </c>
      <c r="B1121" s="13" t="str">
        <f t="shared" si="1"/>
        <v>Graham</v>
      </c>
      <c r="C1121" s="13" t="str">
        <f t="shared" si="2"/>
        <v>Gano</v>
      </c>
      <c r="D1121" s="13" t="str">
        <f t="shared" si="3"/>
        <v>#N/A</v>
      </c>
      <c r="E1121" s="1" t="s">
        <v>64</v>
      </c>
    </row>
    <row r="1122" ht="15.75" customHeight="1">
      <c r="A1122" s="1" t="s">
        <v>1412</v>
      </c>
      <c r="B1122" s="13" t="str">
        <f t="shared" si="1"/>
        <v>Graham</v>
      </c>
      <c r="C1122" s="13" t="str">
        <f t="shared" si="2"/>
        <v>Mertz</v>
      </c>
      <c r="D1122" s="13" t="str">
        <f t="shared" si="3"/>
        <v>#N/A</v>
      </c>
      <c r="E1122" s="1" t="s">
        <v>65</v>
      </c>
    </row>
    <row r="1123" ht="15.75" customHeight="1">
      <c r="A1123" s="1" t="s">
        <v>1413</v>
      </c>
      <c r="B1123" s="13" t="str">
        <f t="shared" si="1"/>
        <v>Grant</v>
      </c>
      <c r="C1123" s="13" t="str">
        <f t="shared" si="2"/>
        <v>Calcaterra</v>
      </c>
      <c r="D1123" s="13" t="str">
        <f t="shared" si="3"/>
        <v>#N/A</v>
      </c>
      <c r="E1123" s="1" t="s">
        <v>68</v>
      </c>
    </row>
    <row r="1124" ht="15.75" customHeight="1">
      <c r="A1124" s="1" t="s">
        <v>1414</v>
      </c>
      <c r="B1124" s="13" t="str">
        <f t="shared" si="1"/>
        <v>Grant</v>
      </c>
      <c r="C1124" s="13" t="str">
        <f t="shared" si="2"/>
        <v>Gunnell</v>
      </c>
      <c r="D1124" s="13" t="str">
        <f t="shared" si="3"/>
        <v>#N/A</v>
      </c>
      <c r="E1124" s="1" t="s">
        <v>65</v>
      </c>
    </row>
    <row r="1125" ht="15.75" customHeight="1">
      <c r="A1125" s="1" t="s">
        <v>1415</v>
      </c>
      <c r="B1125" s="13" t="str">
        <f t="shared" si="1"/>
        <v>Grant</v>
      </c>
      <c r="C1125" s="13" t="str">
        <f t="shared" si="2"/>
        <v>Perry</v>
      </c>
      <c r="D1125" s="13" t="str">
        <f t="shared" si="3"/>
        <v>#N/A</v>
      </c>
      <c r="E1125" s="1" t="s">
        <v>69</v>
      </c>
    </row>
    <row r="1126" ht="15.75" customHeight="1">
      <c r="A1126" s="1" t="s">
        <v>1417</v>
      </c>
      <c r="B1126" s="13" t="str">
        <f t="shared" si="1"/>
        <v>Grant</v>
      </c>
      <c r="C1126" s="13" t="str">
        <f t="shared" si="2"/>
        <v>Wells</v>
      </c>
      <c r="D1126" s="13" t="str">
        <f t="shared" si="3"/>
        <v>#N/A</v>
      </c>
      <c r="E1126" s="1" t="s">
        <v>65</v>
      </c>
    </row>
    <row r="1127" ht="15.75" customHeight="1">
      <c r="A1127" s="1" t="s">
        <v>1418</v>
      </c>
      <c r="B1127" s="13" t="str">
        <f t="shared" si="1"/>
        <v>Grayson</v>
      </c>
      <c r="C1127" s="13" t="str">
        <f t="shared" si="2"/>
        <v>McCall</v>
      </c>
      <c r="D1127" s="13" t="str">
        <f t="shared" si="3"/>
        <v>#N/A</v>
      </c>
      <c r="E1127" s="1" t="s">
        <v>65</v>
      </c>
    </row>
    <row r="1128" ht="15.75" customHeight="1">
      <c r="A1128" s="1" t="s">
        <v>162</v>
      </c>
      <c r="B1128" s="13" t="str">
        <f t="shared" si="1"/>
        <v>Green</v>
      </c>
      <c r="C1128" s="13" t="str">
        <f t="shared" si="2"/>
        <v>Bay</v>
      </c>
      <c r="D1128" s="13" t="str">
        <f t="shared" si="3"/>
        <v>#N/A</v>
      </c>
      <c r="E1128" s="1" t="s">
        <v>63</v>
      </c>
    </row>
    <row r="1129" ht="15.75" customHeight="1">
      <c r="A1129" s="1" t="s">
        <v>1419</v>
      </c>
      <c r="B1129" s="13" t="str">
        <f t="shared" si="1"/>
        <v>Greg</v>
      </c>
      <c r="C1129" s="13" t="str">
        <f t="shared" si="2"/>
        <v>Bell</v>
      </c>
      <c r="D1129" s="13" t="str">
        <f t="shared" si="3"/>
        <v>#N/A</v>
      </c>
      <c r="E1129" s="1" t="s">
        <v>66</v>
      </c>
    </row>
    <row r="1130" ht="15.75" customHeight="1">
      <c r="A1130" s="1" t="s">
        <v>1420</v>
      </c>
      <c r="B1130" s="13" t="str">
        <f t="shared" si="1"/>
        <v>Greg</v>
      </c>
      <c r="C1130" s="13" t="str">
        <f t="shared" si="2"/>
        <v>Dortch</v>
      </c>
      <c r="D1130" s="13" t="str">
        <f t="shared" si="3"/>
        <v>#N/A</v>
      </c>
      <c r="E1130" s="1" t="s">
        <v>69</v>
      </c>
    </row>
    <row r="1131" ht="15.75" customHeight="1">
      <c r="A1131" s="1" t="s">
        <v>1421</v>
      </c>
      <c r="B1131" s="13" t="str">
        <f t="shared" si="1"/>
        <v>Greg</v>
      </c>
      <c r="C1131" s="13" t="str">
        <f t="shared" si="2"/>
        <v>Dulcich</v>
      </c>
      <c r="D1131" s="13" t="str">
        <f t="shared" si="3"/>
        <v>#N/A</v>
      </c>
      <c r="E1131" s="1" t="s">
        <v>68</v>
      </c>
    </row>
    <row r="1132" ht="15.75" customHeight="1">
      <c r="A1132" s="1" t="s">
        <v>1422</v>
      </c>
      <c r="B1132" s="13" t="str">
        <f t="shared" si="1"/>
        <v>Greg</v>
      </c>
      <c r="C1132" s="13" t="str">
        <f t="shared" si="2"/>
        <v>Hardin</v>
      </c>
      <c r="D1132" s="13" t="str">
        <f t="shared" si="3"/>
        <v>#N/A</v>
      </c>
      <c r="E1132" s="1" t="s">
        <v>69</v>
      </c>
    </row>
    <row r="1133" ht="15.75" customHeight="1">
      <c r="A1133" s="1" t="s">
        <v>1423</v>
      </c>
      <c r="B1133" s="13" t="str">
        <f t="shared" si="1"/>
        <v>Greg</v>
      </c>
      <c r="C1133" s="13" t="str">
        <f t="shared" si="2"/>
        <v>Jenkins</v>
      </c>
      <c r="D1133" s="13" t="str">
        <f t="shared" si="3"/>
        <v>#N/A</v>
      </c>
      <c r="E1133" s="1" t="s">
        <v>69</v>
      </c>
    </row>
    <row r="1134" ht="15.75" customHeight="1">
      <c r="A1134" s="1" t="s">
        <v>1424</v>
      </c>
      <c r="B1134" s="13" t="str">
        <f t="shared" si="1"/>
        <v>Greg</v>
      </c>
      <c r="C1134" s="13" t="str">
        <f t="shared" si="2"/>
        <v>Jennings</v>
      </c>
      <c r="D1134" s="13" t="str">
        <f t="shared" si="3"/>
        <v>#N/A</v>
      </c>
      <c r="E1134" s="1" t="s">
        <v>69</v>
      </c>
    </row>
    <row r="1135" ht="15.75" customHeight="1">
      <c r="A1135" s="1" t="s">
        <v>1425</v>
      </c>
      <c r="B1135" s="13" t="str">
        <f t="shared" si="1"/>
        <v>Greg</v>
      </c>
      <c r="C1135" s="13" t="str">
        <f t="shared" si="2"/>
        <v>Little</v>
      </c>
      <c r="D1135" s="13" t="str">
        <f t="shared" si="3"/>
        <v>#N/A</v>
      </c>
      <c r="E1135" s="1" t="s">
        <v>69</v>
      </c>
    </row>
    <row r="1136" ht="15.75" customHeight="1">
      <c r="A1136" s="1" t="s">
        <v>1426</v>
      </c>
      <c r="B1136" s="13" t="str">
        <f t="shared" si="1"/>
        <v>Greg</v>
      </c>
      <c r="C1136" s="13" t="str">
        <f t="shared" si="2"/>
        <v>McCrae</v>
      </c>
      <c r="D1136" s="13" t="str">
        <f t="shared" si="3"/>
        <v>#N/A</v>
      </c>
      <c r="E1136" s="1" t="s">
        <v>66</v>
      </c>
    </row>
    <row r="1137" ht="15.75" customHeight="1">
      <c r="A1137" s="1" t="s">
        <v>1428</v>
      </c>
      <c r="B1137" s="13" t="str">
        <f t="shared" si="1"/>
        <v>Greg</v>
      </c>
      <c r="C1137" s="13" t="str">
        <f t="shared" si="2"/>
        <v>McElroy</v>
      </c>
      <c r="D1137" s="13" t="str">
        <f t="shared" si="3"/>
        <v>#N/A</v>
      </c>
      <c r="E1137" s="1" t="s">
        <v>65</v>
      </c>
    </row>
    <row r="1138" ht="15.75" customHeight="1">
      <c r="A1138" s="1" t="s">
        <v>1028</v>
      </c>
      <c r="B1138" s="13" t="str">
        <f t="shared" si="1"/>
        <v>Greg</v>
      </c>
      <c r="C1138" s="13" t="str">
        <f t="shared" si="2"/>
        <v>Olsen</v>
      </c>
      <c r="D1138" s="13" t="str">
        <f t="shared" si="3"/>
        <v>#N/A</v>
      </c>
      <c r="E1138" s="1" t="s">
        <v>68</v>
      </c>
    </row>
    <row r="1139" ht="15.75" customHeight="1">
      <c r="A1139" s="1" t="s">
        <v>1429</v>
      </c>
      <c r="B1139" s="13" t="str">
        <f t="shared" si="1"/>
        <v>Greg</v>
      </c>
      <c r="C1139" s="13" t="str">
        <f t="shared" si="2"/>
        <v>Salas</v>
      </c>
      <c r="D1139" s="13" t="str">
        <f t="shared" si="3"/>
        <v>#N/A</v>
      </c>
      <c r="E1139" s="1" t="s">
        <v>69</v>
      </c>
    </row>
    <row r="1140" ht="15.75" customHeight="1">
      <c r="A1140" s="1" t="s">
        <v>1430</v>
      </c>
      <c r="B1140" s="13" t="str">
        <f t="shared" si="1"/>
        <v>Greg</v>
      </c>
      <c r="C1140" s="13" t="str">
        <f t="shared" si="2"/>
        <v>Ward</v>
      </c>
      <c r="D1140" s="13" t="str">
        <f t="shared" si="3"/>
        <v>#N/A</v>
      </c>
      <c r="E1140" s="1" t="s">
        <v>69</v>
      </c>
    </row>
    <row r="1141" ht="15.75" customHeight="1">
      <c r="A1141" s="1" t="s">
        <v>288</v>
      </c>
      <c r="B1141" s="13" t="str">
        <f t="shared" si="1"/>
        <v>Greg</v>
      </c>
      <c r="C1141" s="13" t="str">
        <f t="shared" si="2"/>
        <v>Zuerlein</v>
      </c>
      <c r="D1141" s="13" t="str">
        <f t="shared" si="3"/>
        <v>#N/A</v>
      </c>
      <c r="E1141" s="1" t="s">
        <v>64</v>
      </c>
    </row>
    <row r="1142" ht="15.75" customHeight="1">
      <c r="A1142" s="1" t="s">
        <v>1431</v>
      </c>
      <c r="B1142" s="13" t="str">
        <f t="shared" si="1"/>
        <v>Griff</v>
      </c>
      <c r="C1142" s="13" t="str">
        <f t="shared" si="2"/>
        <v>Whalen</v>
      </c>
      <c r="D1142" s="13" t="str">
        <f t="shared" si="3"/>
        <v>#N/A</v>
      </c>
      <c r="E1142" s="1" t="s">
        <v>69</v>
      </c>
    </row>
    <row r="1143" ht="15.75" customHeight="1">
      <c r="A1143" s="1" t="s">
        <v>1432</v>
      </c>
      <c r="B1143" s="13" t="str">
        <f t="shared" si="1"/>
        <v>Gunner</v>
      </c>
      <c r="C1143" s="13" t="str">
        <f t="shared" si="2"/>
        <v>Olszewski</v>
      </c>
      <c r="D1143" s="13" t="str">
        <f t="shared" si="3"/>
        <v>#N/A</v>
      </c>
      <c r="E1143" s="1" t="s">
        <v>69</v>
      </c>
    </row>
    <row r="1144" ht="15.75" customHeight="1">
      <c r="A1144" s="1" t="s">
        <v>304</v>
      </c>
      <c r="B1144" s="13" t="str">
        <f t="shared" si="1"/>
        <v>Gus</v>
      </c>
      <c r="C1144" s="13" t="str">
        <f t="shared" si="2"/>
        <v>Edwards</v>
      </c>
      <c r="D1144" s="13" t="str">
        <f t="shared" si="3"/>
        <v>#N/A</v>
      </c>
      <c r="E1144" s="1" t="s">
        <v>66</v>
      </c>
    </row>
    <row r="1145" ht="15.75" customHeight="1">
      <c r="A1145" s="1" t="s">
        <v>1433</v>
      </c>
      <c r="B1145" s="13" t="str">
        <f t="shared" si="1"/>
        <v>Gus</v>
      </c>
      <c r="C1145" s="13" t="str">
        <f t="shared" si="2"/>
        <v>Johnson</v>
      </c>
      <c r="D1145" s="13" t="str">
        <f t="shared" si="3"/>
        <v>#N/A</v>
      </c>
      <c r="E1145" s="1" t="s">
        <v>66</v>
      </c>
    </row>
    <row r="1146" ht="15.75" customHeight="1">
      <c r="A1146" s="1" t="s">
        <v>1434</v>
      </c>
      <c r="B1146" s="13" t="str">
        <f t="shared" si="1"/>
        <v>Hakeem</v>
      </c>
      <c r="C1146" s="13" t="str">
        <f t="shared" si="2"/>
        <v>Butler</v>
      </c>
      <c r="D1146" s="13" t="str">
        <f t="shared" si="3"/>
        <v>#N/A</v>
      </c>
      <c r="E1146" s="1" t="s">
        <v>68</v>
      </c>
    </row>
    <row r="1147" ht="15.75" customHeight="1">
      <c r="A1147" s="1" t="s">
        <v>1435</v>
      </c>
      <c r="B1147" s="13" t="str">
        <f t="shared" si="1"/>
        <v>Hakeem</v>
      </c>
      <c r="C1147" s="13" t="str">
        <f t="shared" si="2"/>
        <v>Nicks</v>
      </c>
      <c r="D1147" s="13" t="str">
        <f t="shared" si="3"/>
        <v>#N/A</v>
      </c>
      <c r="E1147" s="1" t="s">
        <v>69</v>
      </c>
    </row>
    <row r="1148" ht="15.75" customHeight="1">
      <c r="A1148" s="1" t="s">
        <v>1436</v>
      </c>
      <c r="B1148" s="13" t="str">
        <f t="shared" si="1"/>
        <v>Hakeem</v>
      </c>
      <c r="C1148" s="13" t="str">
        <f t="shared" si="2"/>
        <v>Valles</v>
      </c>
      <c r="D1148" s="13" t="str">
        <f t="shared" si="3"/>
        <v>#N/A</v>
      </c>
      <c r="E1148" s="1" t="s">
        <v>68</v>
      </c>
    </row>
    <row r="1149" ht="15.75" customHeight="1">
      <c r="A1149" s="1" t="s">
        <v>1437</v>
      </c>
      <c r="B1149" s="13" t="str">
        <f t="shared" si="1"/>
        <v>Hale</v>
      </c>
      <c r="C1149" s="13" t="str">
        <f t="shared" si="2"/>
        <v>Hentges</v>
      </c>
      <c r="D1149" s="13" t="str">
        <f t="shared" si="3"/>
        <v>#N/A</v>
      </c>
      <c r="E1149" s="1" t="s">
        <v>68</v>
      </c>
    </row>
    <row r="1150" ht="15.75" customHeight="1">
      <c r="A1150" s="1" t="s">
        <v>1438</v>
      </c>
      <c r="B1150" s="13" t="str">
        <f t="shared" si="1"/>
        <v>Harold</v>
      </c>
      <c r="C1150" s="13" t="str">
        <f t="shared" si="2"/>
        <v>Spears</v>
      </c>
      <c r="D1150" s="13" t="str">
        <f t="shared" si="3"/>
        <v>#N/A</v>
      </c>
      <c r="E1150" s="1" t="s">
        <v>68</v>
      </c>
    </row>
    <row r="1151" ht="15.75" customHeight="1">
      <c r="A1151" s="1" t="s">
        <v>1439</v>
      </c>
      <c r="B1151" s="13" t="str">
        <f t="shared" si="1"/>
        <v>Harrison</v>
      </c>
      <c r="C1151" s="13" t="str">
        <f t="shared" si="2"/>
        <v>Bryant</v>
      </c>
      <c r="D1151" s="13" t="str">
        <f t="shared" si="3"/>
        <v>#N/A</v>
      </c>
      <c r="E1151" s="1" t="s">
        <v>68</v>
      </c>
    </row>
    <row r="1152" ht="15.75" customHeight="1">
      <c r="A1152" s="1" t="s">
        <v>323</v>
      </c>
      <c r="B1152" s="13" t="str">
        <f t="shared" si="1"/>
        <v>Harrison</v>
      </c>
      <c r="C1152" s="13" t="str">
        <f t="shared" si="2"/>
        <v>Butker</v>
      </c>
      <c r="D1152" s="13" t="str">
        <f t="shared" si="3"/>
        <v>#N/A</v>
      </c>
      <c r="E1152" s="1" t="s">
        <v>64</v>
      </c>
    </row>
    <row r="1153" ht="15.75" customHeight="1">
      <c r="A1153" s="1" t="s">
        <v>1440</v>
      </c>
      <c r="B1153" s="13" t="str">
        <f t="shared" si="1"/>
        <v>Harry</v>
      </c>
      <c r="C1153" s="13" t="str">
        <f t="shared" si="2"/>
        <v>Douglas</v>
      </c>
      <c r="D1153" s="13" t="str">
        <f t="shared" si="3"/>
        <v>#N/A</v>
      </c>
      <c r="E1153" s="1" t="s">
        <v>69</v>
      </c>
    </row>
    <row r="1154" ht="15.75" customHeight="1">
      <c r="A1154" s="1" t="s">
        <v>1441</v>
      </c>
      <c r="B1154" s="13" t="str">
        <f t="shared" si="1"/>
        <v>Harry</v>
      </c>
      <c r="C1154" s="13" t="str">
        <f t="shared" si="2"/>
        <v>Trotter</v>
      </c>
      <c r="D1154" s="13" t="str">
        <f t="shared" si="3"/>
        <v>#N/A</v>
      </c>
      <c r="E1154" s="1" t="s">
        <v>66</v>
      </c>
    </row>
    <row r="1155" ht="15.75" customHeight="1">
      <c r="A1155" s="1" t="s">
        <v>1442</v>
      </c>
      <c r="B1155" s="13" t="str">
        <f t="shared" si="1"/>
        <v>Hassan</v>
      </c>
      <c r="C1155" s="13" t="str">
        <f t="shared" si="2"/>
        <v>Haskins</v>
      </c>
      <c r="D1155" s="13" t="str">
        <f t="shared" si="3"/>
        <v>#N/A</v>
      </c>
      <c r="E1155" s="1" t="s">
        <v>66</v>
      </c>
    </row>
    <row r="1156" ht="15.75" customHeight="1">
      <c r="A1156" s="1" t="s">
        <v>830</v>
      </c>
      <c r="B1156" s="13" t="str">
        <f t="shared" si="1"/>
        <v>Hayden</v>
      </c>
      <c r="C1156" s="13" t="str">
        <f t="shared" si="2"/>
        <v>Hurst</v>
      </c>
      <c r="D1156" s="13" t="str">
        <f t="shared" si="3"/>
        <v>#N/A</v>
      </c>
      <c r="E1156" s="1" t="s">
        <v>68</v>
      </c>
    </row>
    <row r="1157" ht="15.75" customHeight="1">
      <c r="A1157" s="1" t="s">
        <v>1444</v>
      </c>
      <c r="B1157" s="13" t="str">
        <f t="shared" si="1"/>
        <v>Haynes</v>
      </c>
      <c r="C1157" s="13" t="str">
        <f t="shared" si="2"/>
        <v>King</v>
      </c>
      <c r="D1157" s="13" t="str">
        <f t="shared" si="3"/>
        <v>#N/A</v>
      </c>
      <c r="E1157" s="1" t="s">
        <v>65</v>
      </c>
    </row>
    <row r="1158" ht="15.75" customHeight="1">
      <c r="A1158" s="1" t="s">
        <v>1445</v>
      </c>
      <c r="B1158" s="13" t="str">
        <f t="shared" si="1"/>
        <v>Heath</v>
      </c>
      <c r="C1158" s="13" t="str">
        <f t="shared" si="2"/>
        <v>Miller</v>
      </c>
      <c r="D1158" s="13" t="str">
        <f t="shared" si="3"/>
        <v>#N/A</v>
      </c>
      <c r="E1158" s="1" t="s">
        <v>68</v>
      </c>
    </row>
    <row r="1159" ht="15.75" customHeight="1">
      <c r="A1159" s="1" t="s">
        <v>1446</v>
      </c>
      <c r="B1159" s="13" t="str">
        <f t="shared" si="1"/>
        <v>Hendon</v>
      </c>
      <c r="C1159" s="13" t="str">
        <f t="shared" si="2"/>
        <v>Hooker</v>
      </c>
      <c r="D1159" s="13" t="str">
        <f t="shared" si="3"/>
        <v>#N/A</v>
      </c>
      <c r="E1159" s="1" t="s">
        <v>65</v>
      </c>
    </row>
    <row r="1160" ht="15.75" customHeight="1">
      <c r="A1160" s="1" t="s">
        <v>1447</v>
      </c>
      <c r="B1160" s="13" t="str">
        <f t="shared" si="1"/>
        <v>Henry</v>
      </c>
      <c r="C1160" s="13" t="str">
        <f t="shared" si="2"/>
        <v>Josey</v>
      </c>
      <c r="D1160" s="13" t="str">
        <f t="shared" si="3"/>
        <v>#N/A</v>
      </c>
      <c r="E1160" s="1" t="s">
        <v>66</v>
      </c>
    </row>
    <row r="1161" ht="15.75" customHeight="1">
      <c r="A1161" s="1" t="s">
        <v>1448</v>
      </c>
      <c r="B1161" s="13" t="str">
        <f t="shared" si="1"/>
        <v>Henry</v>
      </c>
      <c r="C1161" s="13" t="str">
        <f t="shared" si="2"/>
        <v>Krieger-Coble</v>
      </c>
      <c r="D1161" s="13" t="str">
        <f t="shared" si="3"/>
        <v>#N/A</v>
      </c>
      <c r="E1161" s="1" t="s">
        <v>68</v>
      </c>
    </row>
    <row r="1162" ht="15.75" customHeight="1">
      <c r="A1162" s="1" t="s">
        <v>1449</v>
      </c>
      <c r="B1162" s="13" t="str">
        <f t="shared" si="1"/>
        <v>Henry</v>
      </c>
      <c r="C1162" s="13" t="str">
        <f t="shared" si="2"/>
        <v>Parrish</v>
      </c>
      <c r="D1162" s="13" t="str">
        <f t="shared" si="3"/>
        <v>#N/A</v>
      </c>
      <c r="E1162" s="1" t="s">
        <v>66</v>
      </c>
    </row>
    <row r="1163" ht="15.75" customHeight="1">
      <c r="A1163" s="1" t="s">
        <v>1450</v>
      </c>
      <c r="B1163" s="13" t="str">
        <f t="shared" si="1"/>
        <v>Henry</v>
      </c>
      <c r="C1163" s="13" t="str">
        <f t="shared" si="2"/>
        <v>Ruggs</v>
      </c>
      <c r="D1163" s="13" t="str">
        <f t="shared" si="3"/>
        <v>#N/A</v>
      </c>
      <c r="E1163" s="1" t="s">
        <v>69</v>
      </c>
    </row>
    <row r="1164" ht="15.75" customHeight="1">
      <c r="A1164" s="1" t="s">
        <v>1451</v>
      </c>
      <c r="B1164" s="13" t="str">
        <f t="shared" si="1"/>
        <v>Herschel</v>
      </c>
      <c r="C1164" s="13" t="str">
        <f t="shared" si="2"/>
        <v>Walker</v>
      </c>
      <c r="D1164" s="13" t="str">
        <f t="shared" si="3"/>
        <v>#N/A</v>
      </c>
      <c r="E1164" s="1" t="s">
        <v>66</v>
      </c>
    </row>
    <row r="1165" ht="15.75" customHeight="1">
      <c r="A1165" s="1" t="s">
        <v>1416</v>
      </c>
      <c r="B1165" s="13" t="str">
        <f t="shared" si="1"/>
        <v>#VALUE!</v>
      </c>
      <c r="C1165" s="13" t="str">
        <f t="shared" si="2"/>
        <v>#VALUE!</v>
      </c>
      <c r="D1165" s="13" t="str">
        <f t="shared" si="3"/>
        <v>#N/A</v>
      </c>
      <c r="E1165" s="1" t="s">
        <v>63</v>
      </c>
    </row>
    <row r="1166" ht="15.75" customHeight="1">
      <c r="A1166" s="1" t="s">
        <v>1452</v>
      </c>
      <c r="B1166" s="13" t="str">
        <f t="shared" si="1"/>
        <v>Hudson</v>
      </c>
      <c r="C1166" s="13" t="str">
        <f t="shared" si="2"/>
        <v>Card</v>
      </c>
      <c r="D1166" s="13" t="str">
        <f t="shared" si="3"/>
        <v>#N/A</v>
      </c>
      <c r="E1166" s="1" t="s">
        <v>65</v>
      </c>
    </row>
    <row r="1167" ht="15.75" customHeight="1">
      <c r="A1167" s="1" t="s">
        <v>1453</v>
      </c>
      <c r="B1167" s="13" t="str">
        <f t="shared" si="1"/>
        <v>Hudson</v>
      </c>
      <c r="C1167" s="13" t="str">
        <f t="shared" si="2"/>
        <v>Henry</v>
      </c>
      <c r="D1167" s="13" t="str">
        <f t="shared" si="3"/>
        <v>#N/A</v>
      </c>
      <c r="E1167" s="1" t="s">
        <v>68</v>
      </c>
    </row>
    <row r="1168" ht="15.75" customHeight="1">
      <c r="A1168" s="1" t="s">
        <v>1454</v>
      </c>
      <c r="B1168" s="13" t="str">
        <f t="shared" si="1"/>
        <v>Hunter</v>
      </c>
      <c r="C1168" s="13" t="str">
        <f t="shared" si="2"/>
        <v>Bryant</v>
      </c>
      <c r="D1168" s="13" t="str">
        <f t="shared" si="3"/>
        <v>#N/A</v>
      </c>
      <c r="E1168" s="1" t="s">
        <v>68</v>
      </c>
    </row>
    <row r="1169" ht="15.75" customHeight="1">
      <c r="A1169" s="1" t="s">
        <v>527</v>
      </c>
      <c r="B1169" s="13" t="str">
        <f t="shared" si="1"/>
        <v>Hunter</v>
      </c>
      <c r="C1169" s="13" t="str">
        <f t="shared" si="2"/>
        <v>Henry</v>
      </c>
      <c r="D1169" s="13" t="str">
        <f t="shared" si="3"/>
        <v>#N/A</v>
      </c>
      <c r="E1169" s="1" t="s">
        <v>68</v>
      </c>
    </row>
    <row r="1170" ht="15.75" customHeight="1">
      <c r="A1170" s="1" t="s">
        <v>1455</v>
      </c>
      <c r="B1170" s="13" t="str">
        <f t="shared" si="1"/>
        <v>Hunter</v>
      </c>
      <c r="C1170" s="13" t="str">
        <f t="shared" si="2"/>
        <v>Kampmoyer</v>
      </c>
      <c r="D1170" s="13" t="str">
        <f t="shared" si="3"/>
        <v>#N/A</v>
      </c>
      <c r="E1170" s="1" t="s">
        <v>68</v>
      </c>
    </row>
    <row r="1171" ht="15.75" customHeight="1">
      <c r="A1171" s="1" t="s">
        <v>1456</v>
      </c>
      <c r="B1171" s="13" t="str">
        <f t="shared" si="1"/>
        <v>Hunter</v>
      </c>
      <c r="C1171" s="13" t="str">
        <f t="shared" si="2"/>
        <v>Long</v>
      </c>
      <c r="D1171" s="13" t="str">
        <f t="shared" si="3"/>
        <v>#N/A</v>
      </c>
      <c r="E1171" s="1" t="s">
        <v>68</v>
      </c>
    </row>
    <row r="1172" ht="15.75" customHeight="1">
      <c r="A1172" s="1" t="s">
        <v>1457</v>
      </c>
      <c r="B1172" s="13" t="str">
        <f t="shared" si="1"/>
        <v>Hunter</v>
      </c>
      <c r="C1172" s="13" t="str">
        <f t="shared" si="2"/>
        <v>Renfrow</v>
      </c>
      <c r="D1172" s="13" t="str">
        <f t="shared" si="3"/>
        <v>#N/A</v>
      </c>
      <c r="E1172" s="1" t="s">
        <v>69</v>
      </c>
    </row>
    <row r="1173" ht="15.75" customHeight="1">
      <c r="A1173" s="1" t="s">
        <v>1459</v>
      </c>
      <c r="B1173" s="13" t="str">
        <f t="shared" si="1"/>
        <v>Hunter</v>
      </c>
      <c r="C1173" s="13" t="str">
        <f t="shared" si="2"/>
        <v>Sharp</v>
      </c>
      <c r="D1173" s="13" t="str">
        <f t="shared" si="3"/>
        <v>#N/A</v>
      </c>
      <c r="E1173" s="1" t="s">
        <v>69</v>
      </c>
    </row>
    <row r="1174" ht="15.75" customHeight="1">
      <c r="A1174" s="1" t="s">
        <v>1460</v>
      </c>
      <c r="B1174" s="13" t="str">
        <f t="shared" si="1"/>
        <v>Ian</v>
      </c>
      <c r="C1174" s="13" t="str">
        <f t="shared" si="2"/>
        <v>Book</v>
      </c>
      <c r="D1174" s="13" t="str">
        <f t="shared" si="3"/>
        <v>#N/A</v>
      </c>
      <c r="E1174" s="1" t="s">
        <v>65</v>
      </c>
    </row>
    <row r="1175" ht="15.75" customHeight="1">
      <c r="A1175" s="1" t="s">
        <v>1461</v>
      </c>
      <c r="B1175" s="13" t="str">
        <f t="shared" si="1"/>
        <v>Ian</v>
      </c>
      <c r="C1175" s="13" t="str">
        <f t="shared" si="2"/>
        <v>Bunting</v>
      </c>
      <c r="D1175" s="13" t="str">
        <f t="shared" si="3"/>
        <v>#N/A</v>
      </c>
      <c r="E1175" s="1" t="s">
        <v>68</v>
      </c>
    </row>
    <row r="1176" ht="15.75" customHeight="1">
      <c r="A1176" s="1" t="s">
        <v>1462</v>
      </c>
      <c r="B1176" s="13" t="str">
        <f t="shared" si="1"/>
        <v>Ian</v>
      </c>
      <c r="C1176" s="13" t="str">
        <f t="shared" si="2"/>
        <v>Thomas</v>
      </c>
      <c r="D1176" s="13" t="str">
        <f t="shared" si="3"/>
        <v>#N/A</v>
      </c>
      <c r="E1176" s="1" t="s">
        <v>68</v>
      </c>
    </row>
    <row r="1177" ht="15.75" customHeight="1">
      <c r="A1177" s="1" t="s">
        <v>1463</v>
      </c>
      <c r="B1177" s="13" t="str">
        <f t="shared" si="1"/>
        <v>Ifeanyi</v>
      </c>
      <c r="C1177" s="13" t="str">
        <f t="shared" si="2"/>
        <v>Momah</v>
      </c>
      <c r="D1177" s="13" t="str">
        <f t="shared" si="3"/>
        <v>#N/A</v>
      </c>
      <c r="E1177" s="1" t="s">
        <v>68</v>
      </c>
    </row>
    <row r="1178" ht="15.75" customHeight="1">
      <c r="A1178" s="1" t="s">
        <v>1464</v>
      </c>
      <c r="B1178" s="13" t="str">
        <f t="shared" si="1"/>
        <v>Ihmir</v>
      </c>
      <c r="C1178" s="13" t="str">
        <f t="shared" si="2"/>
        <v>Smith-Marsette</v>
      </c>
      <c r="D1178" s="13" t="str">
        <f t="shared" si="3"/>
        <v>#N/A</v>
      </c>
      <c r="E1178" s="1" t="s">
        <v>69</v>
      </c>
    </row>
    <row r="1179" ht="15.75" customHeight="1">
      <c r="A1179" s="1" t="s">
        <v>456</v>
      </c>
      <c r="B1179" s="13" t="str">
        <f t="shared" si="1"/>
        <v>#VALUE!</v>
      </c>
      <c r="C1179" s="13" t="str">
        <f t="shared" si="2"/>
        <v>#VALUE!</v>
      </c>
      <c r="D1179" s="13" t="str">
        <f t="shared" si="3"/>
        <v>#N/A</v>
      </c>
      <c r="E1179" s="1" t="s">
        <v>63</v>
      </c>
    </row>
    <row r="1180" ht="15.75" customHeight="1">
      <c r="A1180" s="1" t="s">
        <v>1466</v>
      </c>
      <c r="B1180" s="13" t="str">
        <f t="shared" si="1"/>
        <v>Irv</v>
      </c>
      <c r="C1180" s="13" t="str">
        <f t="shared" si="2"/>
        <v>Smith</v>
      </c>
      <c r="D1180" s="13" t="str">
        <f t="shared" si="3"/>
        <v>#N/A</v>
      </c>
      <c r="E1180" s="1" t="s">
        <v>68</v>
      </c>
    </row>
    <row r="1181" ht="15.75" customHeight="1">
      <c r="A1181" s="1" t="s">
        <v>1468</v>
      </c>
      <c r="B1181" s="13" t="str">
        <f t="shared" si="1"/>
        <v>Irvin</v>
      </c>
      <c r="C1181" s="13" t="str">
        <f t="shared" si="2"/>
        <v>Charles</v>
      </c>
      <c r="D1181" s="13" t="str">
        <f t="shared" si="3"/>
        <v>#N/A</v>
      </c>
      <c r="E1181" s="1" t="s">
        <v>69</v>
      </c>
    </row>
    <row r="1182" ht="15.75" customHeight="1">
      <c r="A1182" s="1" t="s">
        <v>1469</v>
      </c>
      <c r="B1182" s="13" t="str">
        <f t="shared" si="1"/>
        <v>Isaac</v>
      </c>
      <c r="C1182" s="13" t="str">
        <f t="shared" si="2"/>
        <v>Nauta</v>
      </c>
      <c r="D1182" s="13" t="str">
        <f t="shared" si="3"/>
        <v>#N/A</v>
      </c>
      <c r="E1182" s="1" t="s">
        <v>68</v>
      </c>
    </row>
    <row r="1183" ht="15.75" customHeight="1">
      <c r="A1183" s="1" t="s">
        <v>1470</v>
      </c>
      <c r="B1183" s="13" t="str">
        <f t="shared" si="1"/>
        <v>Isaac</v>
      </c>
      <c r="C1183" s="13" t="str">
        <f t="shared" si="2"/>
        <v>Whitney</v>
      </c>
      <c r="D1183" s="13" t="str">
        <f t="shared" si="3"/>
        <v>#N/A</v>
      </c>
      <c r="E1183" s="1" t="s">
        <v>69</v>
      </c>
    </row>
    <row r="1184" ht="15.75" customHeight="1">
      <c r="A1184" s="1" t="s">
        <v>1471</v>
      </c>
      <c r="B1184" s="13" t="str">
        <f t="shared" si="1"/>
        <v>Isaac</v>
      </c>
      <c r="C1184" s="13" t="str">
        <f t="shared" si="2"/>
        <v>Zico</v>
      </c>
      <c r="D1184" s="13" t="str">
        <f t="shared" si="3"/>
        <v>#N/A</v>
      </c>
      <c r="E1184" s="1" t="s">
        <v>69</v>
      </c>
    </row>
    <row r="1185" ht="15.75" customHeight="1">
      <c r="A1185" s="1" t="s">
        <v>1472</v>
      </c>
      <c r="B1185" s="13" t="str">
        <f t="shared" si="1"/>
        <v>Isaiah</v>
      </c>
      <c r="C1185" s="13" t="str">
        <f t="shared" si="2"/>
        <v>Bond</v>
      </c>
      <c r="D1185" s="13" t="str">
        <f t="shared" si="3"/>
        <v>#N/A</v>
      </c>
      <c r="E1185" s="1" t="s">
        <v>69</v>
      </c>
    </row>
    <row r="1186" ht="15.75" customHeight="1">
      <c r="A1186" s="1" t="s">
        <v>1474</v>
      </c>
      <c r="B1186" s="13" t="str">
        <f t="shared" si="1"/>
        <v>Isaiah</v>
      </c>
      <c r="C1186" s="13" t="str">
        <f t="shared" si="2"/>
        <v>Burse</v>
      </c>
      <c r="D1186" s="13" t="str">
        <f t="shared" si="3"/>
        <v>#N/A</v>
      </c>
      <c r="E1186" s="1" t="s">
        <v>69</v>
      </c>
    </row>
    <row r="1187" ht="15.75" customHeight="1">
      <c r="A1187" s="1" t="s">
        <v>1475</v>
      </c>
      <c r="B1187" s="13" t="str">
        <f t="shared" si="1"/>
        <v>Isaiah</v>
      </c>
      <c r="C1187" s="13" t="str">
        <f t="shared" si="2"/>
        <v>Coulter</v>
      </c>
      <c r="D1187" s="13" t="str">
        <f t="shared" si="3"/>
        <v>#N/A</v>
      </c>
      <c r="E1187" s="1" t="s">
        <v>69</v>
      </c>
    </row>
    <row r="1188" ht="15.75" customHeight="1">
      <c r="A1188" s="1" t="s">
        <v>1473</v>
      </c>
      <c r="B1188" s="13" t="str">
        <f t="shared" si="1"/>
        <v>Isaiah</v>
      </c>
      <c r="C1188" s="13" t="str">
        <f t="shared" si="2"/>
        <v>Crowell</v>
      </c>
      <c r="D1188" s="13" t="str">
        <f t="shared" si="3"/>
        <v>#N/A</v>
      </c>
      <c r="E1188" s="1" t="s">
        <v>66</v>
      </c>
    </row>
    <row r="1189" ht="15.75" customHeight="1">
      <c r="A1189" s="1" t="s">
        <v>1476</v>
      </c>
      <c r="B1189" s="13" t="str">
        <f t="shared" si="1"/>
        <v>Isaiah</v>
      </c>
      <c r="C1189" s="13" t="str">
        <f t="shared" si="2"/>
        <v>Ford</v>
      </c>
      <c r="D1189" s="13" t="str">
        <f t="shared" si="3"/>
        <v>#N/A</v>
      </c>
      <c r="E1189" s="1" t="s">
        <v>69</v>
      </c>
    </row>
    <row r="1190" ht="15.75" customHeight="1">
      <c r="A1190" s="1" t="s">
        <v>1477</v>
      </c>
      <c r="B1190" s="13" t="str">
        <f t="shared" si="1"/>
        <v>Isaiah</v>
      </c>
      <c r="C1190" s="13" t="str">
        <f t="shared" si="2"/>
        <v>Hodgins</v>
      </c>
      <c r="D1190" s="13" t="str">
        <f t="shared" si="3"/>
        <v>#N/A</v>
      </c>
      <c r="E1190" s="1" t="s">
        <v>69</v>
      </c>
    </row>
    <row r="1191" ht="15.75" customHeight="1">
      <c r="A1191" s="1" t="s">
        <v>1479</v>
      </c>
      <c r="B1191" s="13" t="str">
        <f t="shared" si="1"/>
        <v>Isaiah</v>
      </c>
      <c r="C1191" s="13" t="str">
        <f t="shared" si="2"/>
        <v>Likely</v>
      </c>
      <c r="D1191" s="13" t="str">
        <f t="shared" si="3"/>
        <v>#N/A</v>
      </c>
      <c r="E1191" s="1" t="s">
        <v>68</v>
      </c>
    </row>
    <row r="1192" ht="15.75" customHeight="1">
      <c r="A1192" s="1" t="s">
        <v>1480</v>
      </c>
      <c r="B1192" s="13" t="str">
        <f t="shared" si="1"/>
        <v>Isaiah</v>
      </c>
      <c r="C1192" s="13" t="str">
        <f t="shared" si="2"/>
        <v>McKenzie</v>
      </c>
      <c r="D1192" s="13" t="str">
        <f t="shared" si="3"/>
        <v>#N/A</v>
      </c>
      <c r="E1192" s="1" t="s">
        <v>69</v>
      </c>
    </row>
    <row r="1193" ht="15.75" customHeight="1">
      <c r="A1193" s="1" t="s">
        <v>1481</v>
      </c>
      <c r="B1193" s="13" t="str">
        <f t="shared" si="1"/>
        <v>Isaiah</v>
      </c>
      <c r="C1193" s="13" t="str">
        <f t="shared" si="2"/>
        <v>McKoy</v>
      </c>
      <c r="D1193" s="13" t="str">
        <f t="shared" si="3"/>
        <v>#N/A</v>
      </c>
      <c r="E1193" s="1" t="s">
        <v>69</v>
      </c>
    </row>
    <row r="1194" ht="15.75" customHeight="1">
      <c r="A1194" s="1" t="s">
        <v>1482</v>
      </c>
      <c r="B1194" s="13" t="str">
        <f t="shared" si="1"/>
        <v>Isaiah</v>
      </c>
      <c r="C1194" s="13" t="str">
        <f t="shared" si="2"/>
        <v>Neyor</v>
      </c>
      <c r="D1194" s="13" t="str">
        <f t="shared" si="3"/>
        <v>#N/A</v>
      </c>
      <c r="E1194" s="1" t="s">
        <v>69</v>
      </c>
    </row>
    <row r="1195" ht="15.75" customHeight="1">
      <c r="A1195" s="1" t="s">
        <v>1483</v>
      </c>
      <c r="B1195" s="13" t="str">
        <f t="shared" si="1"/>
        <v>Isaiah</v>
      </c>
      <c r="C1195" s="13" t="str">
        <f t="shared" si="2"/>
        <v>Pead</v>
      </c>
      <c r="D1195" s="13" t="str">
        <f t="shared" si="3"/>
        <v>#N/A</v>
      </c>
      <c r="E1195" s="1" t="s">
        <v>66</v>
      </c>
    </row>
    <row r="1196" ht="15.75" customHeight="1">
      <c r="A1196" s="1" t="s">
        <v>1484</v>
      </c>
      <c r="B1196" s="13" t="str">
        <f t="shared" si="1"/>
        <v>Isaiah</v>
      </c>
      <c r="C1196" s="13" t="str">
        <f t="shared" si="2"/>
        <v>Saunders</v>
      </c>
      <c r="D1196" s="13" t="str">
        <f t="shared" si="3"/>
        <v>#N/A</v>
      </c>
      <c r="E1196" s="1" t="s">
        <v>66</v>
      </c>
    </row>
    <row r="1197" ht="15.75" customHeight="1">
      <c r="A1197" s="1" t="s">
        <v>1485</v>
      </c>
      <c r="B1197" s="13" t="str">
        <f t="shared" si="1"/>
        <v>Isaiah</v>
      </c>
      <c r="C1197" s="13" t="str">
        <f t="shared" si="2"/>
        <v>Searight</v>
      </c>
      <c r="D1197" s="13" t="str">
        <f t="shared" si="3"/>
        <v>#N/A</v>
      </c>
      <c r="E1197" s="1" t="s">
        <v>68</v>
      </c>
    </row>
    <row r="1198" ht="15.75" customHeight="1">
      <c r="A1198" s="1" t="s">
        <v>1486</v>
      </c>
      <c r="B1198" s="13" t="str">
        <f t="shared" si="1"/>
        <v>Isaiah</v>
      </c>
      <c r="C1198" s="13" t="str">
        <f t="shared" si="2"/>
        <v>Spiller</v>
      </c>
      <c r="D1198" s="13" t="str">
        <f t="shared" si="3"/>
        <v>#N/A</v>
      </c>
      <c r="E1198" s="1" t="s">
        <v>66</v>
      </c>
    </row>
    <row r="1199" ht="15.75" customHeight="1">
      <c r="A1199" s="1" t="s">
        <v>1488</v>
      </c>
      <c r="B1199" s="13" t="str">
        <f t="shared" si="1"/>
        <v>Isaiah</v>
      </c>
      <c r="C1199" s="13" t="str">
        <f t="shared" si="2"/>
        <v>Weston</v>
      </c>
      <c r="D1199" s="13" t="str">
        <f t="shared" si="3"/>
        <v>#N/A</v>
      </c>
      <c r="E1199" s="1" t="s">
        <v>69</v>
      </c>
    </row>
    <row r="1200" ht="15.75" customHeight="1">
      <c r="A1200" s="1" t="s">
        <v>1489</v>
      </c>
      <c r="B1200" s="13" t="str">
        <f t="shared" si="1"/>
        <v>Isaiah</v>
      </c>
      <c r="C1200" s="13" t="str">
        <f t="shared" si="2"/>
        <v>Wright</v>
      </c>
      <c r="D1200" s="13" t="str">
        <f t="shared" si="3"/>
        <v>#N/A</v>
      </c>
      <c r="E1200" s="1" t="s">
        <v>69</v>
      </c>
    </row>
    <row r="1201" ht="15.75" customHeight="1">
      <c r="A1201" s="1" t="s">
        <v>1490</v>
      </c>
      <c r="B1201" s="13" t="str">
        <f t="shared" si="1"/>
        <v>Isaiah</v>
      </c>
      <c r="C1201" s="13" t="str">
        <f t="shared" si="2"/>
        <v>Zuber</v>
      </c>
      <c r="D1201" s="13" t="str">
        <f t="shared" si="3"/>
        <v>#N/A</v>
      </c>
      <c r="E1201" s="1" t="s">
        <v>69</v>
      </c>
    </row>
    <row r="1202" ht="15.75" customHeight="1">
      <c r="A1202" s="1" t="s">
        <v>1491</v>
      </c>
      <c r="B1202" s="13" t="str">
        <f t="shared" si="1"/>
        <v>Ishmael</v>
      </c>
      <c r="C1202" s="13" t="str">
        <f t="shared" si="2"/>
        <v>Hyman</v>
      </c>
      <c r="D1202" s="13" t="str">
        <f t="shared" si="3"/>
        <v>#N/A</v>
      </c>
      <c r="E1202" s="1" t="s">
        <v>69</v>
      </c>
    </row>
    <row r="1203" ht="15.75" customHeight="1">
      <c r="A1203" s="1" t="s">
        <v>1492</v>
      </c>
      <c r="B1203" s="13" t="str">
        <f t="shared" si="1"/>
        <v>Ishmael</v>
      </c>
      <c r="C1203" s="13" t="str">
        <f t="shared" si="2"/>
        <v>Zamora</v>
      </c>
      <c r="D1203" s="13" t="str">
        <f t="shared" si="3"/>
        <v>#N/A</v>
      </c>
      <c r="E1203" s="1" t="s">
        <v>69</v>
      </c>
    </row>
    <row r="1204" ht="15.75" customHeight="1">
      <c r="A1204" s="1" t="s">
        <v>1493</v>
      </c>
      <c r="B1204" s="13" t="str">
        <f t="shared" si="1"/>
        <v>Isiah</v>
      </c>
      <c r="C1204" s="13" t="str">
        <f t="shared" si="2"/>
        <v>Pacheco</v>
      </c>
      <c r="D1204" s="13" t="str">
        <f t="shared" si="3"/>
        <v>#N/A</v>
      </c>
      <c r="E1204" s="1" t="s">
        <v>66</v>
      </c>
    </row>
    <row r="1205" ht="15.75" customHeight="1">
      <c r="A1205" s="1" t="s">
        <v>1494</v>
      </c>
      <c r="B1205" s="13" t="str">
        <f t="shared" si="1"/>
        <v>Israel</v>
      </c>
      <c r="C1205" s="13" t="str">
        <f t="shared" si="2"/>
        <v>Abanikanda</v>
      </c>
      <c r="D1205" s="13" t="str">
        <f t="shared" si="3"/>
        <v>#N/A</v>
      </c>
      <c r="E1205" s="1" t="s">
        <v>66</v>
      </c>
    </row>
    <row r="1206" ht="15.75" customHeight="1">
      <c r="A1206" s="1" t="s">
        <v>1495</v>
      </c>
      <c r="B1206" s="13" t="str">
        <f t="shared" si="1"/>
        <v>Israel</v>
      </c>
      <c r="C1206" s="13" t="str">
        <f t="shared" si="2"/>
        <v>Tucker</v>
      </c>
      <c r="D1206" s="13" t="str">
        <f t="shared" si="3"/>
        <v>#N/A</v>
      </c>
      <c r="E1206" s="1" t="s">
        <v>66</v>
      </c>
    </row>
    <row r="1207" ht="15.75" customHeight="1">
      <c r="A1207" s="1" t="s">
        <v>1496</v>
      </c>
      <c r="B1207" s="13" t="str">
        <f t="shared" si="1"/>
        <v>Issac</v>
      </c>
      <c r="C1207" s="13" t="str">
        <f t="shared" si="2"/>
        <v>Blakeney</v>
      </c>
      <c r="D1207" s="13" t="str">
        <f t="shared" si="3"/>
        <v>#N/A</v>
      </c>
      <c r="E1207" s="1" t="s">
        <v>69</v>
      </c>
    </row>
    <row r="1208" ht="15.75" customHeight="1">
      <c r="A1208" s="1" t="s">
        <v>1497</v>
      </c>
      <c r="B1208" s="13" t="str">
        <f t="shared" si="1"/>
        <v>I'Tavius</v>
      </c>
      <c r="C1208" s="13" t="str">
        <f t="shared" si="2"/>
        <v>Mathers</v>
      </c>
      <c r="D1208" s="13" t="str">
        <f t="shared" si="3"/>
        <v>#N/A</v>
      </c>
      <c r="E1208" s="1" t="s">
        <v>66</v>
      </c>
    </row>
    <row r="1209" ht="15.75" customHeight="1">
      <c r="A1209" s="1" t="s">
        <v>857</v>
      </c>
      <c r="B1209" s="13" t="str">
        <f t="shared" si="1"/>
        <v>Ito</v>
      </c>
      <c r="C1209" s="13" t="str">
        <f t="shared" si="2"/>
        <v>Smith</v>
      </c>
      <c r="D1209" s="13" t="str">
        <f t="shared" si="3"/>
        <v>#N/A</v>
      </c>
      <c r="E1209" s="1" t="s">
        <v>66</v>
      </c>
    </row>
    <row r="1210" ht="15.75" customHeight="1">
      <c r="A1210" s="1" t="s">
        <v>1498</v>
      </c>
      <c r="B1210" s="13" t="str">
        <f t="shared" si="1"/>
        <v>Izzy</v>
      </c>
      <c r="C1210" s="13" t="str">
        <f t="shared" si="2"/>
        <v>Matthews</v>
      </c>
      <c r="D1210" s="13" t="str">
        <f t="shared" si="3"/>
        <v>#N/A</v>
      </c>
      <c r="E1210" s="1" t="s">
        <v>66</v>
      </c>
    </row>
    <row r="1211" ht="15.75" customHeight="1">
      <c r="A1211" s="1" t="s">
        <v>1499</v>
      </c>
      <c r="B1211" s="13" t="str">
        <f t="shared" si="1"/>
        <v>J</v>
      </c>
      <c r="C1211" s="13" t="str">
        <f t="shared" si="2"/>
        <v>Michael Sturdivant</v>
      </c>
      <c r="D1211" s="13" t="str">
        <f t="shared" si="3"/>
        <v>#N/A</v>
      </c>
      <c r="E1211" s="1" t="s">
        <v>69</v>
      </c>
    </row>
    <row r="1212" ht="15.75" customHeight="1">
      <c r="A1212" s="1" t="s">
        <v>120</v>
      </c>
      <c r="B1212" s="13" t="str">
        <f t="shared" si="1"/>
        <v>JD</v>
      </c>
      <c r="C1212" s="13" t="str">
        <f t="shared" si="2"/>
        <v>McKissic</v>
      </c>
      <c r="D1212" s="13" t="str">
        <f t="shared" si="3"/>
        <v>#N/A</v>
      </c>
      <c r="E1212" s="1" t="s">
        <v>66</v>
      </c>
    </row>
    <row r="1213" ht="15.75" customHeight="1">
      <c r="A1213" s="1" t="s">
        <v>1500</v>
      </c>
      <c r="B1213" s="13" t="str">
        <f t="shared" si="1"/>
        <v>JD</v>
      </c>
      <c r="C1213" s="13" t="str">
        <f t="shared" si="2"/>
        <v>Spielman</v>
      </c>
      <c r="D1213" s="13" t="str">
        <f t="shared" si="3"/>
        <v>#N/A</v>
      </c>
      <c r="E1213" s="1" t="s">
        <v>69</v>
      </c>
    </row>
    <row r="1214" ht="15.75" customHeight="1">
      <c r="A1214" s="1" t="s">
        <v>1501</v>
      </c>
      <c r="B1214" s="13" t="str">
        <f t="shared" si="1"/>
        <v>JJ</v>
      </c>
      <c r="C1214" s="13" t="str">
        <f t="shared" si="2"/>
        <v>Arcega-Whiteside</v>
      </c>
      <c r="D1214" s="13" t="str">
        <f t="shared" si="3"/>
        <v>#N/A</v>
      </c>
      <c r="E1214" s="1" t="s">
        <v>68</v>
      </c>
    </row>
    <row r="1215" ht="15.75" customHeight="1">
      <c r="A1215" s="1" t="s">
        <v>1502</v>
      </c>
      <c r="B1215" s="13" t="str">
        <f t="shared" si="1"/>
        <v>JJ</v>
      </c>
      <c r="C1215" s="13" t="str">
        <f t="shared" si="2"/>
        <v>Jones</v>
      </c>
      <c r="D1215" s="13" t="str">
        <f t="shared" si="3"/>
        <v>#N/A</v>
      </c>
      <c r="E1215" s="1" t="s">
        <v>69</v>
      </c>
    </row>
    <row r="1216" ht="15.75" customHeight="1">
      <c r="A1216" s="1" t="s">
        <v>1503</v>
      </c>
      <c r="B1216" s="13" t="str">
        <f t="shared" si="1"/>
        <v>JJ</v>
      </c>
      <c r="C1216" s="13" t="str">
        <f t="shared" si="2"/>
        <v>Nelson</v>
      </c>
      <c r="D1216" s="13" t="str">
        <f t="shared" si="3"/>
        <v>#N/A</v>
      </c>
      <c r="E1216" s="1" t="s">
        <v>69</v>
      </c>
    </row>
    <row r="1217" ht="15.75" customHeight="1">
      <c r="A1217" s="1" t="s">
        <v>1505</v>
      </c>
      <c r="B1217" s="13" t="str">
        <f t="shared" si="1"/>
        <v>JJ</v>
      </c>
      <c r="C1217" s="13" t="str">
        <f t="shared" si="2"/>
        <v>Taylor</v>
      </c>
      <c r="D1217" s="13" t="str">
        <f t="shared" si="3"/>
        <v>#N/A</v>
      </c>
      <c r="E1217" s="1" t="s">
        <v>66</v>
      </c>
    </row>
    <row r="1218" ht="15.75" customHeight="1">
      <c r="A1218" s="1" t="s">
        <v>798</v>
      </c>
      <c r="B1218" s="13" t="str">
        <f t="shared" si="1"/>
        <v>JK</v>
      </c>
      <c r="C1218" s="13" t="str">
        <f t="shared" si="2"/>
        <v>Dobbins</v>
      </c>
      <c r="D1218" s="13" t="str">
        <f t="shared" si="3"/>
        <v>#N/A</v>
      </c>
      <c r="E1218" s="1" t="s">
        <v>66</v>
      </c>
    </row>
    <row r="1219" ht="15.75" customHeight="1">
      <c r="A1219" s="1" t="s">
        <v>1506</v>
      </c>
      <c r="B1219" s="13" t="str">
        <f t="shared" si="1"/>
        <v>JP</v>
      </c>
      <c r="C1219" s="13" t="str">
        <f t="shared" si="2"/>
        <v>Holtz</v>
      </c>
      <c r="D1219" s="13" t="str">
        <f t="shared" si="3"/>
        <v>#N/A</v>
      </c>
      <c r="E1219" s="1" t="s">
        <v>68</v>
      </c>
    </row>
    <row r="1220" ht="15.75" customHeight="1">
      <c r="A1220" s="1" t="s">
        <v>1507</v>
      </c>
      <c r="B1220" s="13" t="str">
        <f t="shared" si="1"/>
        <v>JT</v>
      </c>
      <c r="C1220" s="13" t="str">
        <f t="shared" si="2"/>
        <v>Barrett</v>
      </c>
      <c r="D1220" s="13" t="str">
        <f t="shared" si="3"/>
        <v>#N/A</v>
      </c>
      <c r="E1220" s="1" t="s">
        <v>65</v>
      </c>
    </row>
    <row r="1221" ht="15.75" customHeight="1">
      <c r="A1221" s="1" t="s">
        <v>1508</v>
      </c>
      <c r="B1221" s="13" t="str">
        <f t="shared" si="1"/>
        <v>Jabar</v>
      </c>
      <c r="C1221" s="13" t="str">
        <f t="shared" si="2"/>
        <v>Gaffney</v>
      </c>
      <c r="D1221" s="13" t="str">
        <f t="shared" si="3"/>
        <v>#N/A</v>
      </c>
      <c r="E1221" s="1" t="s">
        <v>69</v>
      </c>
    </row>
    <row r="1222" ht="15.75" customHeight="1">
      <c r="A1222" s="1" t="s">
        <v>1509</v>
      </c>
      <c r="B1222" s="13" t="str">
        <f t="shared" si="1"/>
        <v>Jabari</v>
      </c>
      <c r="C1222" s="13" t="str">
        <f t="shared" si="2"/>
        <v>Small</v>
      </c>
      <c r="D1222" s="13" t="str">
        <f t="shared" si="3"/>
        <v>#N/A</v>
      </c>
      <c r="E1222" s="1" t="s">
        <v>66</v>
      </c>
    </row>
    <row r="1223" ht="15.75" customHeight="1">
      <c r="A1223" s="1" t="s">
        <v>1510</v>
      </c>
      <c r="B1223" s="13" t="str">
        <f t="shared" si="1"/>
        <v>Jace</v>
      </c>
      <c r="C1223" s="13" t="str">
        <f t="shared" si="2"/>
        <v>Amaro</v>
      </c>
      <c r="D1223" s="13" t="str">
        <f t="shared" si="3"/>
        <v>#N/A</v>
      </c>
      <c r="E1223" s="1" t="s">
        <v>68</v>
      </c>
    </row>
    <row r="1224" ht="15.75" customHeight="1">
      <c r="A1224" s="1" t="s">
        <v>1511</v>
      </c>
      <c r="B1224" s="13" t="str">
        <f t="shared" si="1"/>
        <v>Jace</v>
      </c>
      <c r="C1224" s="13" t="str">
        <f t="shared" si="2"/>
        <v>Billingsley</v>
      </c>
      <c r="D1224" s="13" t="str">
        <f t="shared" si="3"/>
        <v>#N/A</v>
      </c>
      <c r="E1224" s="1" t="s">
        <v>69</v>
      </c>
    </row>
    <row r="1225" ht="15.75" customHeight="1">
      <c r="A1225" s="1" t="s">
        <v>1512</v>
      </c>
      <c r="B1225" s="13" t="str">
        <f t="shared" si="1"/>
        <v>Jace</v>
      </c>
      <c r="C1225" s="13" t="str">
        <f t="shared" si="2"/>
        <v>Davis</v>
      </c>
      <c r="D1225" s="13" t="str">
        <f t="shared" si="3"/>
        <v>#N/A</v>
      </c>
      <c r="E1225" s="1" t="s">
        <v>69</v>
      </c>
    </row>
    <row r="1226" ht="15.75" customHeight="1">
      <c r="A1226" s="1" t="s">
        <v>1514</v>
      </c>
      <c r="B1226" s="13" t="str">
        <f t="shared" si="1"/>
        <v>Jace</v>
      </c>
      <c r="C1226" s="13" t="str">
        <f t="shared" si="2"/>
        <v>Sternberger</v>
      </c>
      <c r="D1226" s="13" t="str">
        <f t="shared" si="3"/>
        <v>#N/A</v>
      </c>
      <c r="E1226" s="1" t="s">
        <v>68</v>
      </c>
    </row>
    <row r="1227" ht="15.75" customHeight="1">
      <c r="A1227" s="1" t="s">
        <v>1515</v>
      </c>
      <c r="B1227" s="13" t="str">
        <f t="shared" si="1"/>
        <v>Jack</v>
      </c>
      <c r="C1227" s="13" t="str">
        <f t="shared" si="2"/>
        <v>Coan</v>
      </c>
      <c r="D1227" s="13" t="str">
        <f t="shared" si="3"/>
        <v>#N/A</v>
      </c>
      <c r="E1227" s="1" t="s">
        <v>65</v>
      </c>
    </row>
    <row r="1228" ht="15.75" customHeight="1">
      <c r="A1228" s="1" t="s">
        <v>1342</v>
      </c>
      <c r="B1228" s="13" t="str">
        <f t="shared" si="1"/>
        <v>Jack</v>
      </c>
      <c r="C1228" s="13" t="str">
        <f t="shared" si="2"/>
        <v>Doyle</v>
      </c>
      <c r="D1228" s="13" t="str">
        <f t="shared" si="3"/>
        <v>#N/A</v>
      </c>
      <c r="E1228" s="1" t="s">
        <v>68</v>
      </c>
    </row>
    <row r="1229" ht="15.75" customHeight="1">
      <c r="A1229" s="1" t="s">
        <v>1517</v>
      </c>
      <c r="B1229" s="13" t="str">
        <f t="shared" si="1"/>
        <v>Jack</v>
      </c>
      <c r="C1229" s="13" t="str">
        <f t="shared" si="2"/>
        <v>Freudenthal</v>
      </c>
      <c r="D1229" s="13" t="str">
        <f t="shared" si="3"/>
        <v>#N/A</v>
      </c>
      <c r="E1229" s="1" t="s">
        <v>68</v>
      </c>
    </row>
    <row r="1230" ht="15.75" customHeight="1">
      <c r="A1230" s="1" t="s">
        <v>1518</v>
      </c>
      <c r="B1230" s="13" t="str">
        <f t="shared" si="1"/>
        <v>Jack</v>
      </c>
      <c r="C1230" s="13" t="str">
        <f t="shared" si="2"/>
        <v>Plummer</v>
      </c>
      <c r="D1230" s="13" t="str">
        <f t="shared" si="3"/>
        <v>#N/A</v>
      </c>
      <c r="E1230" s="1" t="s">
        <v>65</v>
      </c>
    </row>
    <row r="1231" ht="15.75" customHeight="1">
      <c r="A1231" s="1" t="s">
        <v>1519</v>
      </c>
      <c r="B1231" s="13" t="str">
        <f t="shared" si="1"/>
        <v>Jack</v>
      </c>
      <c r="C1231" s="13" t="str">
        <f t="shared" si="2"/>
        <v>Stoll</v>
      </c>
      <c r="D1231" s="13" t="str">
        <f t="shared" si="3"/>
        <v>#N/A</v>
      </c>
      <c r="E1231" s="1" t="s">
        <v>68</v>
      </c>
    </row>
    <row r="1232" ht="15.75" customHeight="1">
      <c r="A1232" s="1" t="s">
        <v>1520</v>
      </c>
      <c r="B1232" s="13" t="str">
        <f t="shared" si="1"/>
        <v>Jackie</v>
      </c>
      <c r="C1232" s="13" t="str">
        <f t="shared" si="2"/>
        <v>Battle</v>
      </c>
      <c r="D1232" s="13" t="str">
        <f t="shared" si="3"/>
        <v>#N/A</v>
      </c>
      <c r="E1232" s="1" t="s">
        <v>66</v>
      </c>
    </row>
    <row r="1233" ht="15.75" customHeight="1">
      <c r="A1233" s="1" t="s">
        <v>1076</v>
      </c>
      <c r="B1233" s="13" t="str">
        <f t="shared" si="1"/>
        <v>#VALUE!</v>
      </c>
      <c r="C1233" s="13" t="str">
        <f t="shared" si="2"/>
        <v>#VALUE!</v>
      </c>
      <c r="D1233" s="13" t="str">
        <f t="shared" si="3"/>
        <v>#N/A</v>
      </c>
      <c r="E1233" s="1" t="s">
        <v>63</v>
      </c>
    </row>
    <row r="1234" ht="15.75" customHeight="1">
      <c r="A1234" s="1" t="s">
        <v>1521</v>
      </c>
      <c r="B1234" s="13" t="str">
        <f t="shared" si="1"/>
        <v>Jacksonville</v>
      </c>
      <c r="C1234" s="13" t="str">
        <f t="shared" si="2"/>
        <v/>
      </c>
      <c r="D1234" s="13" t="str">
        <f t="shared" si="3"/>
        <v>#N/A</v>
      </c>
      <c r="E1234" s="1" t="s">
        <v>63</v>
      </c>
    </row>
    <row r="1235" ht="15.75" customHeight="1">
      <c r="A1235" s="1" t="s">
        <v>1522</v>
      </c>
      <c r="B1235" s="13" t="str">
        <f t="shared" si="1"/>
        <v>Jacob</v>
      </c>
      <c r="C1235" s="13" t="str">
        <f t="shared" si="2"/>
        <v>Breeland</v>
      </c>
      <c r="D1235" s="13" t="str">
        <f t="shared" si="3"/>
        <v>#N/A</v>
      </c>
      <c r="E1235" s="1" t="s">
        <v>68</v>
      </c>
    </row>
    <row r="1236" ht="15.75" customHeight="1">
      <c r="A1236" s="1" t="s">
        <v>1523</v>
      </c>
      <c r="B1236" s="13" t="str">
        <f t="shared" si="1"/>
        <v>Jacob</v>
      </c>
      <c r="C1236" s="13" t="str">
        <f t="shared" si="2"/>
        <v>Cowing</v>
      </c>
      <c r="D1236" s="13" t="str">
        <f t="shared" si="3"/>
        <v>#N/A</v>
      </c>
      <c r="E1236" s="1" t="s">
        <v>69</v>
      </c>
    </row>
    <row r="1237" ht="15.75" customHeight="1">
      <c r="A1237" s="1" t="s">
        <v>1524</v>
      </c>
      <c r="B1237" s="13" t="str">
        <f t="shared" si="1"/>
        <v>Jacob</v>
      </c>
      <c r="C1237" s="13" t="str">
        <f t="shared" si="2"/>
        <v>Dolegala</v>
      </c>
      <c r="D1237" s="13" t="str">
        <f t="shared" si="3"/>
        <v>#N/A</v>
      </c>
      <c r="E1237" s="1" t="s">
        <v>65</v>
      </c>
    </row>
    <row r="1238" ht="15.75" customHeight="1">
      <c r="A1238" s="1" t="s">
        <v>1525</v>
      </c>
      <c r="B1238" s="13" t="str">
        <f t="shared" si="1"/>
        <v>Jacob</v>
      </c>
      <c r="C1238" s="13" t="str">
        <f t="shared" si="2"/>
        <v>Eason</v>
      </c>
      <c r="D1238" s="13" t="str">
        <f t="shared" si="3"/>
        <v>#N/A</v>
      </c>
      <c r="E1238" s="1" t="s">
        <v>65</v>
      </c>
    </row>
    <row r="1239" ht="15.75" customHeight="1">
      <c r="A1239" s="1" t="s">
        <v>1526</v>
      </c>
      <c r="B1239" s="13" t="str">
        <f t="shared" si="1"/>
        <v>Jacob</v>
      </c>
      <c r="C1239" s="13" t="str">
        <f t="shared" si="2"/>
        <v>Harris</v>
      </c>
      <c r="D1239" s="13" t="str">
        <f t="shared" si="3"/>
        <v>#N/A</v>
      </c>
      <c r="E1239" s="1" t="s">
        <v>68</v>
      </c>
    </row>
    <row r="1240" ht="15.75" customHeight="1">
      <c r="A1240" s="1" t="s">
        <v>1527</v>
      </c>
      <c r="B1240" s="13" t="str">
        <f t="shared" si="1"/>
        <v>Jacob</v>
      </c>
      <c r="C1240" s="13" t="str">
        <f t="shared" si="2"/>
        <v>Hollister</v>
      </c>
      <c r="D1240" s="13" t="str">
        <f t="shared" si="3"/>
        <v>#N/A</v>
      </c>
      <c r="E1240" s="1" t="s">
        <v>68</v>
      </c>
    </row>
    <row r="1241" ht="15.75" customHeight="1">
      <c r="A1241" s="1" t="s">
        <v>1528</v>
      </c>
      <c r="B1241" s="13" t="str">
        <f t="shared" si="1"/>
        <v>Jacob</v>
      </c>
      <c r="C1241" s="13" t="str">
        <f t="shared" si="2"/>
        <v>Maxwell</v>
      </c>
      <c r="D1241" s="13" t="str">
        <f t="shared" si="3"/>
        <v>#N/A</v>
      </c>
      <c r="E1241" s="1" t="s">
        <v>68</v>
      </c>
    </row>
    <row r="1242" ht="15.75" customHeight="1">
      <c r="A1242" s="1" t="s">
        <v>1529</v>
      </c>
      <c r="B1242" s="13" t="str">
        <f t="shared" si="1"/>
        <v>Jacob</v>
      </c>
      <c r="C1242" s="13" t="str">
        <f t="shared" si="2"/>
        <v>Pedersen</v>
      </c>
      <c r="D1242" s="13" t="str">
        <f t="shared" si="3"/>
        <v>#N/A</v>
      </c>
      <c r="E1242" s="1" t="s">
        <v>68</v>
      </c>
    </row>
    <row r="1243" ht="15.75" customHeight="1">
      <c r="A1243" s="1" t="s">
        <v>1530</v>
      </c>
      <c r="B1243" s="13" t="str">
        <f t="shared" si="1"/>
        <v>Jacob</v>
      </c>
      <c r="C1243" s="13" t="str">
        <f t="shared" si="2"/>
        <v>Tamme</v>
      </c>
      <c r="D1243" s="13" t="str">
        <f t="shared" si="3"/>
        <v>#N/A</v>
      </c>
      <c r="E1243" s="1" t="s">
        <v>68</v>
      </c>
    </row>
    <row r="1244" ht="15.75" customHeight="1">
      <c r="A1244" s="1" t="s">
        <v>1531</v>
      </c>
      <c r="B1244" s="13" t="str">
        <f t="shared" si="1"/>
        <v>Jacoby</v>
      </c>
      <c r="C1244" s="13" t="str">
        <f t="shared" si="2"/>
        <v>Brissett</v>
      </c>
      <c r="D1244" s="13" t="str">
        <f t="shared" si="3"/>
        <v>#N/A</v>
      </c>
      <c r="E1244" s="1" t="s">
        <v>65</v>
      </c>
    </row>
    <row r="1245" ht="15.75" customHeight="1">
      <c r="A1245" s="1" t="s">
        <v>1532</v>
      </c>
      <c r="B1245" s="13" t="str">
        <f t="shared" si="1"/>
        <v>Jacoby</v>
      </c>
      <c r="C1245" s="13" t="str">
        <f t="shared" si="2"/>
        <v>Ford</v>
      </c>
      <c r="D1245" s="13" t="str">
        <f t="shared" si="3"/>
        <v>#N/A</v>
      </c>
      <c r="E1245" s="1" t="s">
        <v>69</v>
      </c>
    </row>
    <row r="1246" ht="15.75" customHeight="1">
      <c r="A1246" s="1" t="s">
        <v>1534</v>
      </c>
      <c r="B1246" s="13" t="str">
        <f t="shared" si="1"/>
        <v>Jacoby</v>
      </c>
      <c r="C1246" s="13" t="str">
        <f t="shared" si="2"/>
        <v>Jones</v>
      </c>
      <c r="D1246" s="13" t="str">
        <f t="shared" si="3"/>
        <v>#N/A</v>
      </c>
      <c r="E1246" s="1" t="s">
        <v>69</v>
      </c>
    </row>
    <row r="1247" ht="15.75" customHeight="1">
      <c r="A1247" s="1" t="s">
        <v>1535</v>
      </c>
      <c r="B1247" s="13" t="str">
        <f t="shared" si="1"/>
        <v>Ja'Corey</v>
      </c>
      <c r="C1247" s="13" t="str">
        <f t="shared" si="2"/>
        <v>Brooks</v>
      </c>
      <c r="D1247" s="13" t="str">
        <f t="shared" si="3"/>
        <v>#N/A</v>
      </c>
      <c r="E1247" s="1" t="s">
        <v>69</v>
      </c>
    </row>
    <row r="1248" ht="15.75" customHeight="1">
      <c r="A1248" s="1" t="s">
        <v>1536</v>
      </c>
      <c r="B1248" s="13" t="str">
        <f t="shared" si="1"/>
        <v>Jacques</v>
      </c>
      <c r="C1248" s="13" t="str">
        <f t="shared" si="2"/>
        <v>Patrick</v>
      </c>
      <c r="D1248" s="13" t="str">
        <f t="shared" si="3"/>
        <v>#N/A</v>
      </c>
      <c r="E1248" s="1" t="s">
        <v>66</v>
      </c>
    </row>
    <row r="1249" ht="15.75" customHeight="1">
      <c r="A1249" s="1" t="s">
        <v>1537</v>
      </c>
      <c r="B1249" s="13" t="str">
        <f t="shared" si="1"/>
        <v>Jacquizz</v>
      </c>
      <c r="C1249" s="13" t="str">
        <f t="shared" si="2"/>
        <v>Rodgers</v>
      </c>
      <c r="D1249" s="13" t="str">
        <f t="shared" si="3"/>
        <v>#N/A</v>
      </c>
      <c r="E1249" s="1" t="s">
        <v>66</v>
      </c>
    </row>
    <row r="1250" ht="15.75" customHeight="1">
      <c r="A1250" s="1" t="s">
        <v>1538</v>
      </c>
      <c r="B1250" s="13" t="str">
        <f t="shared" si="1"/>
        <v>Jaden</v>
      </c>
      <c r="C1250" s="13" t="str">
        <f t="shared" si="2"/>
        <v>Walley</v>
      </c>
      <c r="D1250" s="13" t="str">
        <f t="shared" si="3"/>
        <v>#N/A</v>
      </c>
      <c r="E1250" s="1" t="s">
        <v>69</v>
      </c>
    </row>
    <row r="1251" ht="15.75" customHeight="1">
      <c r="A1251" s="1" t="s">
        <v>1539</v>
      </c>
      <c r="B1251" s="13" t="str">
        <f t="shared" si="1"/>
        <v>Jaden</v>
      </c>
      <c r="C1251" s="13" t="str">
        <f t="shared" si="2"/>
        <v>Williams</v>
      </c>
      <c r="D1251" s="13" t="str">
        <f t="shared" si="3"/>
        <v>#N/A</v>
      </c>
      <c r="E1251" s="1" t="s">
        <v>69</v>
      </c>
    </row>
    <row r="1252" ht="15.75" customHeight="1">
      <c r="A1252" s="1" t="s">
        <v>1540</v>
      </c>
      <c r="B1252" s="13" t="str">
        <f t="shared" si="1"/>
        <v>Jadon</v>
      </c>
      <c r="C1252" s="13" t="str">
        <f t="shared" si="2"/>
        <v>Haselwood</v>
      </c>
      <c r="D1252" s="13" t="str">
        <f t="shared" si="3"/>
        <v>#N/A</v>
      </c>
      <c r="E1252" s="1" t="s">
        <v>69</v>
      </c>
    </row>
    <row r="1253" ht="15.75" customHeight="1">
      <c r="A1253" s="1" t="s">
        <v>1542</v>
      </c>
      <c r="B1253" s="13" t="str">
        <f t="shared" si="1"/>
        <v>Jadyn</v>
      </c>
      <c r="C1253" s="13" t="str">
        <f t="shared" si="2"/>
        <v>Marshall</v>
      </c>
      <c r="D1253" s="13" t="str">
        <f t="shared" si="3"/>
        <v>#N/A</v>
      </c>
      <c r="E1253" s="1" t="s">
        <v>69</v>
      </c>
    </row>
    <row r="1254" ht="15.75" customHeight="1">
      <c r="A1254" s="1" t="s">
        <v>1543</v>
      </c>
      <c r="B1254" s="13" t="str">
        <f t="shared" si="1"/>
        <v>Jaeden</v>
      </c>
      <c r="C1254" s="13" t="str">
        <f t="shared" si="2"/>
        <v>Graham</v>
      </c>
      <c r="D1254" s="13" t="str">
        <f t="shared" si="3"/>
        <v>#N/A</v>
      </c>
      <c r="E1254" s="1" t="s">
        <v>68</v>
      </c>
    </row>
    <row r="1255" ht="15.75" customHeight="1">
      <c r="A1255" s="1" t="s">
        <v>1544</v>
      </c>
      <c r="B1255" s="13" t="str">
        <f t="shared" si="1"/>
        <v>Jaelen</v>
      </c>
      <c r="C1255" s="13" t="str">
        <f t="shared" si="2"/>
        <v>Strong</v>
      </c>
      <c r="D1255" s="13" t="str">
        <f t="shared" si="3"/>
        <v>#N/A</v>
      </c>
      <c r="E1255" s="1" t="s">
        <v>69</v>
      </c>
    </row>
    <row r="1256" ht="15.75" customHeight="1">
      <c r="A1256" s="1" t="s">
        <v>1545</v>
      </c>
      <c r="B1256" s="13" t="str">
        <f t="shared" si="1"/>
        <v>Jaelon</v>
      </c>
      <c r="C1256" s="13" t="str">
        <f t="shared" si="2"/>
        <v>Darden</v>
      </c>
      <c r="D1256" s="13" t="str">
        <f t="shared" si="3"/>
        <v>#N/A</v>
      </c>
      <c r="E1256" s="1" t="s">
        <v>69</v>
      </c>
    </row>
    <row r="1257" ht="15.75" customHeight="1">
      <c r="A1257" s="1" t="s">
        <v>1548</v>
      </c>
      <c r="B1257" s="13" t="str">
        <f t="shared" si="1"/>
        <v>Jahad</v>
      </c>
      <c r="C1257" s="13" t="str">
        <f t="shared" si="2"/>
        <v>Thomas</v>
      </c>
      <c r="D1257" s="13" t="str">
        <f t="shared" si="3"/>
        <v>#N/A</v>
      </c>
      <c r="E1257" s="1" t="s">
        <v>66</v>
      </c>
    </row>
    <row r="1258" ht="15.75" customHeight="1">
      <c r="A1258" s="1" t="s">
        <v>1549</v>
      </c>
      <c r="B1258" s="13" t="str">
        <f t="shared" si="1"/>
        <v>Jahan</v>
      </c>
      <c r="C1258" s="13" t="str">
        <f t="shared" si="2"/>
        <v>Dotson</v>
      </c>
      <c r="D1258" s="13" t="str">
        <f t="shared" si="3"/>
        <v>#N/A</v>
      </c>
      <c r="E1258" s="1" t="s">
        <v>69</v>
      </c>
    </row>
    <row r="1259" ht="15.75" customHeight="1">
      <c r="A1259" s="1" t="s">
        <v>1550</v>
      </c>
      <c r="B1259" s="13" t="str">
        <f t="shared" si="1"/>
        <v>Jaheim</v>
      </c>
      <c r="C1259" s="13" t="str">
        <f t="shared" si="2"/>
        <v>Bell</v>
      </c>
      <c r="D1259" s="13" t="str">
        <f t="shared" si="3"/>
        <v>#N/A</v>
      </c>
      <c r="E1259" s="1" t="s">
        <v>68</v>
      </c>
    </row>
    <row r="1260" ht="15.75" customHeight="1">
      <c r="A1260" s="1" t="s">
        <v>1551</v>
      </c>
      <c r="B1260" s="13" t="str">
        <f t="shared" si="1"/>
        <v>Jahleel</v>
      </c>
      <c r="C1260" s="13" t="str">
        <f t="shared" si="2"/>
        <v>Billingsley</v>
      </c>
      <c r="D1260" s="13" t="str">
        <f t="shared" si="3"/>
        <v>#N/A</v>
      </c>
      <c r="E1260" s="1" t="s">
        <v>68</v>
      </c>
    </row>
    <row r="1261" ht="15.75" customHeight="1">
      <c r="A1261" s="1" t="s">
        <v>1552</v>
      </c>
      <c r="B1261" s="13" t="str">
        <f t="shared" si="1"/>
        <v>Jah-Maine</v>
      </c>
      <c r="C1261" s="13" t="str">
        <f t="shared" si="2"/>
        <v>Martin</v>
      </c>
      <c r="D1261" s="13" t="str">
        <f t="shared" si="3"/>
        <v>#N/A</v>
      </c>
      <c r="E1261" s="1" t="s">
        <v>66</v>
      </c>
    </row>
    <row r="1262" ht="15.75" customHeight="1">
      <c r="A1262" s="1" t="s">
        <v>1554</v>
      </c>
      <c r="B1262" s="13" t="str">
        <f t="shared" si="1"/>
        <v>Jahmyr</v>
      </c>
      <c r="C1262" s="13" t="str">
        <f t="shared" si="2"/>
        <v>Gibbs</v>
      </c>
      <c r="D1262" s="13" t="str">
        <f t="shared" si="3"/>
        <v>#N/A</v>
      </c>
      <c r="E1262" s="1" t="s">
        <v>66</v>
      </c>
    </row>
    <row r="1263" ht="15.75" customHeight="1">
      <c r="A1263" s="1" t="s">
        <v>1557</v>
      </c>
      <c r="B1263" s="13" t="str">
        <f t="shared" si="1"/>
        <v>Jahwan</v>
      </c>
      <c r="C1263" s="13" t="str">
        <f t="shared" si="2"/>
        <v>Edwards</v>
      </c>
      <c r="D1263" s="13" t="str">
        <f t="shared" si="3"/>
        <v>#N/A</v>
      </c>
      <c r="E1263" s="1" t="s">
        <v>66</v>
      </c>
    </row>
    <row r="1264" ht="15.75" customHeight="1">
      <c r="A1264" s="1" t="s">
        <v>1559</v>
      </c>
      <c r="B1264" s="13" t="str">
        <f t="shared" si="1"/>
        <v>Jaivon</v>
      </c>
      <c r="C1264" s="13" t="str">
        <f t="shared" si="2"/>
        <v>Heiligh</v>
      </c>
      <c r="D1264" s="13" t="str">
        <f t="shared" si="3"/>
        <v>#N/A</v>
      </c>
      <c r="E1264" s="1" t="s">
        <v>69</v>
      </c>
    </row>
    <row r="1265" ht="15.75" customHeight="1">
      <c r="A1265" s="1" t="s">
        <v>1560</v>
      </c>
      <c r="B1265" s="13" t="str">
        <f t="shared" si="1"/>
        <v>Jake</v>
      </c>
      <c r="C1265" s="13" t="str">
        <f t="shared" si="2"/>
        <v>Ballard</v>
      </c>
      <c r="D1265" s="13" t="str">
        <f t="shared" si="3"/>
        <v>#N/A</v>
      </c>
      <c r="E1265" s="1" t="s">
        <v>68</v>
      </c>
    </row>
    <row r="1266" ht="15.75" customHeight="1">
      <c r="A1266" s="1" t="s">
        <v>1561</v>
      </c>
      <c r="B1266" s="13" t="str">
        <f t="shared" si="1"/>
        <v>Jake</v>
      </c>
      <c r="C1266" s="13" t="str">
        <f t="shared" si="2"/>
        <v>Browning</v>
      </c>
      <c r="D1266" s="13" t="str">
        <f t="shared" si="3"/>
        <v>#N/A</v>
      </c>
      <c r="E1266" s="1" t="s">
        <v>65</v>
      </c>
    </row>
    <row r="1267" ht="15.75" customHeight="1">
      <c r="A1267" s="1" t="s">
        <v>1562</v>
      </c>
      <c r="B1267" s="13" t="str">
        <f t="shared" si="1"/>
        <v>Jake</v>
      </c>
      <c r="C1267" s="13" t="str">
        <f t="shared" si="2"/>
        <v>Butt</v>
      </c>
      <c r="D1267" s="13" t="str">
        <f t="shared" si="3"/>
        <v>#N/A</v>
      </c>
      <c r="E1267" s="1" t="s">
        <v>68</v>
      </c>
    </row>
    <row r="1268" ht="15.75" customHeight="1">
      <c r="A1268" s="1" t="s">
        <v>1563</v>
      </c>
      <c r="B1268" s="13" t="str">
        <f t="shared" si="1"/>
        <v>Jake</v>
      </c>
      <c r="C1268" s="13" t="str">
        <f t="shared" si="2"/>
        <v>Coker</v>
      </c>
      <c r="D1268" s="13" t="str">
        <f t="shared" si="3"/>
        <v>#N/A</v>
      </c>
      <c r="E1268" s="1" t="s">
        <v>65</v>
      </c>
    </row>
    <row r="1269" ht="15.75" customHeight="1">
      <c r="A1269" s="1" t="s">
        <v>948</v>
      </c>
      <c r="B1269" s="13" t="str">
        <f t="shared" si="1"/>
        <v>Jake</v>
      </c>
      <c r="C1269" s="13" t="str">
        <f t="shared" si="2"/>
        <v>Elliott</v>
      </c>
      <c r="D1269" s="13" t="str">
        <f t="shared" si="3"/>
        <v>#N/A</v>
      </c>
      <c r="E1269" s="1" t="s">
        <v>64</v>
      </c>
    </row>
    <row r="1270" ht="15.75" customHeight="1">
      <c r="A1270" s="1" t="s">
        <v>707</v>
      </c>
      <c r="B1270" s="13" t="str">
        <f t="shared" si="1"/>
        <v>Jake</v>
      </c>
      <c r="C1270" s="13" t="str">
        <f t="shared" si="2"/>
        <v>Elliott</v>
      </c>
      <c r="D1270" s="13" t="str">
        <f t="shared" si="3"/>
        <v>#N/A</v>
      </c>
      <c r="E1270" s="1" t="s">
        <v>64</v>
      </c>
    </row>
    <row r="1271" ht="15.75" customHeight="1">
      <c r="A1271" s="1" t="s">
        <v>1565</v>
      </c>
      <c r="B1271" s="13" t="str">
        <f t="shared" si="1"/>
        <v>Jake</v>
      </c>
      <c r="C1271" s="13" t="str">
        <f t="shared" si="2"/>
        <v>Ferguson</v>
      </c>
      <c r="D1271" s="13" t="str">
        <f t="shared" si="3"/>
        <v>#N/A</v>
      </c>
      <c r="E1271" s="1" t="s">
        <v>68</v>
      </c>
    </row>
    <row r="1272" ht="15.75" customHeight="1">
      <c r="A1272" s="1" t="s">
        <v>1567</v>
      </c>
      <c r="B1272" s="13" t="str">
        <f t="shared" si="1"/>
        <v>Jake</v>
      </c>
      <c r="C1272" s="13" t="str">
        <f t="shared" si="2"/>
        <v>Fisher</v>
      </c>
      <c r="D1272" s="13" t="str">
        <f t="shared" si="3"/>
        <v>#N/A</v>
      </c>
      <c r="E1272" s="1" t="s">
        <v>68</v>
      </c>
    </row>
    <row r="1273" ht="15.75" customHeight="1">
      <c r="A1273" s="1" t="s">
        <v>1569</v>
      </c>
      <c r="B1273" s="13" t="str">
        <f t="shared" si="1"/>
        <v>Jake</v>
      </c>
      <c r="C1273" s="13" t="str">
        <f t="shared" si="2"/>
        <v>Fromm</v>
      </c>
      <c r="D1273" s="13" t="str">
        <f t="shared" si="3"/>
        <v>#N/A</v>
      </c>
      <c r="E1273" s="1" t="s">
        <v>65</v>
      </c>
    </row>
    <row r="1274" ht="15.75" customHeight="1">
      <c r="A1274" s="1" t="s">
        <v>1570</v>
      </c>
      <c r="B1274" s="13" t="str">
        <f t="shared" si="1"/>
        <v>Jake</v>
      </c>
      <c r="C1274" s="13" t="str">
        <f t="shared" si="2"/>
        <v>Funk</v>
      </c>
      <c r="D1274" s="13" t="str">
        <f t="shared" si="3"/>
        <v>#N/A</v>
      </c>
      <c r="E1274" s="1" t="s">
        <v>66</v>
      </c>
    </row>
    <row r="1275" ht="15.75" customHeight="1">
      <c r="A1275" s="1" t="s">
        <v>1572</v>
      </c>
      <c r="B1275" s="13" t="str">
        <f t="shared" si="1"/>
        <v>Jake</v>
      </c>
      <c r="C1275" s="13" t="str">
        <f t="shared" si="2"/>
        <v>Haener</v>
      </c>
      <c r="D1275" s="13" t="str">
        <f t="shared" si="3"/>
        <v>#N/A</v>
      </c>
      <c r="E1275" s="1" t="s">
        <v>65</v>
      </c>
    </row>
    <row r="1276" ht="15.75" customHeight="1">
      <c r="A1276" s="1" t="s">
        <v>1574</v>
      </c>
      <c r="B1276" s="13" t="str">
        <f t="shared" si="1"/>
        <v>Jake</v>
      </c>
      <c r="C1276" s="13" t="str">
        <f t="shared" si="2"/>
        <v>Kumerow</v>
      </c>
      <c r="D1276" s="13" t="str">
        <f t="shared" si="3"/>
        <v>#N/A</v>
      </c>
      <c r="E1276" s="1" t="s">
        <v>69</v>
      </c>
    </row>
    <row r="1277" ht="15.75" customHeight="1">
      <c r="A1277" s="1" t="s">
        <v>1575</v>
      </c>
      <c r="B1277" s="13" t="str">
        <f t="shared" si="1"/>
        <v>Jake</v>
      </c>
      <c r="C1277" s="13" t="str">
        <f t="shared" si="2"/>
        <v>Lampman</v>
      </c>
      <c r="D1277" s="13" t="str">
        <f t="shared" si="3"/>
        <v>#N/A</v>
      </c>
      <c r="E1277" s="1" t="s">
        <v>69</v>
      </c>
    </row>
    <row r="1278" ht="15.75" customHeight="1">
      <c r="A1278" s="1" t="s">
        <v>1576</v>
      </c>
      <c r="B1278" s="13" t="str">
        <f t="shared" si="1"/>
        <v>Jake</v>
      </c>
      <c r="C1278" s="13" t="str">
        <f t="shared" si="2"/>
        <v>Locker</v>
      </c>
      <c r="D1278" s="13" t="str">
        <f t="shared" si="3"/>
        <v>#N/A</v>
      </c>
      <c r="E1278" s="1" t="s">
        <v>65</v>
      </c>
    </row>
    <row r="1279" ht="15.75" customHeight="1">
      <c r="A1279" s="1" t="s">
        <v>1577</v>
      </c>
      <c r="B1279" s="13" t="str">
        <f t="shared" si="1"/>
        <v>Jake</v>
      </c>
      <c r="C1279" s="13" t="str">
        <f t="shared" si="2"/>
        <v>Luton</v>
      </c>
      <c r="D1279" s="13" t="str">
        <f t="shared" si="3"/>
        <v>#N/A</v>
      </c>
      <c r="E1279" s="1" t="s">
        <v>65</v>
      </c>
    </row>
    <row r="1280" ht="15.75" customHeight="1">
      <c r="A1280" s="1" t="s">
        <v>1579</v>
      </c>
      <c r="B1280" s="13" t="str">
        <f t="shared" si="1"/>
        <v>Jake</v>
      </c>
      <c r="C1280" s="13" t="str">
        <f t="shared" si="2"/>
        <v>McGee</v>
      </c>
      <c r="D1280" s="13" t="str">
        <f t="shared" si="3"/>
        <v>#N/A</v>
      </c>
      <c r="E1280" s="1" t="s">
        <v>68</v>
      </c>
    </row>
    <row r="1281" ht="15.75" customHeight="1">
      <c r="A1281" s="1" t="s">
        <v>1580</v>
      </c>
      <c r="B1281" s="13" t="str">
        <f t="shared" si="1"/>
        <v>Jake</v>
      </c>
      <c r="C1281" s="13" t="str">
        <f t="shared" si="2"/>
        <v>Murphy</v>
      </c>
      <c r="D1281" s="13" t="str">
        <f t="shared" si="3"/>
        <v>#N/A</v>
      </c>
      <c r="E1281" s="1" t="s">
        <v>68</v>
      </c>
    </row>
    <row r="1282" ht="15.75" customHeight="1">
      <c r="A1282" s="1" t="s">
        <v>1581</v>
      </c>
      <c r="B1282" s="13" t="str">
        <f t="shared" si="1"/>
        <v>Jake</v>
      </c>
      <c r="C1282" s="13" t="str">
        <f t="shared" si="2"/>
        <v>Powell</v>
      </c>
      <c r="D1282" s="13" t="str">
        <f t="shared" si="3"/>
        <v>#N/A</v>
      </c>
      <c r="E1282" s="1" t="s">
        <v>68</v>
      </c>
    </row>
    <row r="1283" ht="15.75" customHeight="1">
      <c r="A1283" s="1" t="s">
        <v>1582</v>
      </c>
      <c r="B1283" s="13" t="str">
        <f t="shared" si="1"/>
        <v>Jake</v>
      </c>
      <c r="C1283" s="13" t="str">
        <f t="shared" si="2"/>
        <v>Rudock</v>
      </c>
      <c r="D1283" s="13" t="str">
        <f t="shared" si="3"/>
        <v>#N/A</v>
      </c>
      <c r="E1283" s="1" t="s">
        <v>65</v>
      </c>
    </row>
    <row r="1284" ht="15.75" customHeight="1">
      <c r="A1284" s="1" t="s">
        <v>1583</v>
      </c>
      <c r="B1284" s="13" t="str">
        <f t="shared" si="1"/>
        <v>Jake</v>
      </c>
      <c r="C1284" s="13" t="str">
        <f t="shared" si="2"/>
        <v>Sinkovec</v>
      </c>
      <c r="D1284" s="13" t="str">
        <f t="shared" si="3"/>
        <v>#N/A</v>
      </c>
      <c r="E1284" s="1" t="s">
        <v>68</v>
      </c>
    </row>
    <row r="1285" ht="15.75" customHeight="1">
      <c r="A1285" s="1" t="s">
        <v>1584</v>
      </c>
      <c r="B1285" s="13" t="str">
        <f t="shared" si="1"/>
        <v>Jake</v>
      </c>
      <c r="C1285" s="13" t="str">
        <f t="shared" si="2"/>
        <v>Stoneburner</v>
      </c>
      <c r="D1285" s="13" t="str">
        <f t="shared" si="3"/>
        <v>#N/A</v>
      </c>
      <c r="E1285" s="1" t="s">
        <v>68</v>
      </c>
    </row>
    <row r="1286" ht="15.75" customHeight="1">
      <c r="A1286" s="1" t="s">
        <v>1585</v>
      </c>
      <c r="B1286" s="13" t="str">
        <f t="shared" si="1"/>
        <v>Jake</v>
      </c>
      <c r="C1286" s="13" t="str">
        <f t="shared" si="2"/>
        <v>Wieneke</v>
      </c>
      <c r="D1286" s="13" t="str">
        <f t="shared" si="3"/>
        <v>#N/A</v>
      </c>
      <c r="E1286" s="1" t="s">
        <v>69</v>
      </c>
    </row>
    <row r="1287" ht="15.75" customHeight="1">
      <c r="A1287" s="1" t="s">
        <v>1587</v>
      </c>
      <c r="B1287" s="13" t="str">
        <f t="shared" si="1"/>
        <v>Jakeem</v>
      </c>
      <c r="C1287" s="13" t="str">
        <f t="shared" si="2"/>
        <v>Grant</v>
      </c>
      <c r="D1287" s="13" t="str">
        <f t="shared" si="3"/>
        <v>#N/A</v>
      </c>
      <c r="E1287" s="1" t="s">
        <v>69</v>
      </c>
    </row>
    <row r="1288" ht="15.75" customHeight="1">
      <c r="A1288" s="1" t="s">
        <v>1588</v>
      </c>
      <c r="B1288" s="13" t="str">
        <f t="shared" si="1"/>
        <v>Jakob</v>
      </c>
      <c r="C1288" s="13" t="str">
        <f t="shared" si="2"/>
        <v>Johnson</v>
      </c>
      <c r="D1288" s="13" t="str">
        <f t="shared" si="3"/>
        <v>#N/A</v>
      </c>
      <c r="E1288" s="1" t="s">
        <v>66</v>
      </c>
    </row>
    <row r="1289" ht="15.75" customHeight="1">
      <c r="A1289" s="1" t="s">
        <v>154</v>
      </c>
      <c r="B1289" s="13" t="str">
        <f t="shared" si="1"/>
        <v>Jakobi</v>
      </c>
      <c r="C1289" s="13" t="str">
        <f t="shared" si="2"/>
        <v>Meyers</v>
      </c>
      <c r="D1289" s="13" t="str">
        <f t="shared" si="3"/>
        <v>#N/A</v>
      </c>
      <c r="E1289" s="1" t="s">
        <v>69</v>
      </c>
    </row>
    <row r="1290" ht="15.75" customHeight="1">
      <c r="A1290" s="1" t="s">
        <v>1589</v>
      </c>
      <c r="B1290" s="13" t="str">
        <f t="shared" si="1"/>
        <v>Jaleel</v>
      </c>
      <c r="C1290" s="13" t="str">
        <f t="shared" si="2"/>
        <v>Scott</v>
      </c>
      <c r="D1290" s="13" t="str">
        <f t="shared" si="3"/>
        <v>#N/A</v>
      </c>
      <c r="E1290" s="1" t="s">
        <v>69</v>
      </c>
    </row>
    <row r="1291" ht="15.75" customHeight="1">
      <c r="A1291" s="1" t="s">
        <v>1590</v>
      </c>
      <c r="B1291" s="13" t="str">
        <f t="shared" si="1"/>
        <v>Jaleel</v>
      </c>
      <c r="C1291" s="13" t="str">
        <f t="shared" si="2"/>
        <v>Skinner</v>
      </c>
      <c r="D1291" s="13" t="str">
        <f t="shared" si="3"/>
        <v>#N/A</v>
      </c>
      <c r="E1291" s="1" t="s">
        <v>68</v>
      </c>
    </row>
    <row r="1292" ht="15.75" customHeight="1">
      <c r="A1292" s="1" t="s">
        <v>1591</v>
      </c>
      <c r="B1292" s="13" t="str">
        <f t="shared" si="1"/>
        <v>Jalen</v>
      </c>
      <c r="C1292" s="13" t="str">
        <f t="shared" si="2"/>
        <v>Berger</v>
      </c>
      <c r="D1292" s="13" t="str">
        <f t="shared" si="3"/>
        <v>#N/A</v>
      </c>
      <c r="E1292" s="1" t="s">
        <v>66</v>
      </c>
    </row>
    <row r="1293" ht="15.75" customHeight="1">
      <c r="A1293" s="1" t="s">
        <v>1593</v>
      </c>
      <c r="B1293" s="13" t="str">
        <f t="shared" si="1"/>
        <v>Jalen</v>
      </c>
      <c r="C1293" s="13" t="str">
        <f t="shared" si="2"/>
        <v>Camp</v>
      </c>
      <c r="D1293" s="13" t="str">
        <f t="shared" si="3"/>
        <v>#N/A</v>
      </c>
      <c r="E1293" s="1" t="s">
        <v>69</v>
      </c>
    </row>
    <row r="1294" ht="15.75" customHeight="1">
      <c r="A1294" s="1" t="s">
        <v>1594</v>
      </c>
      <c r="B1294" s="13" t="str">
        <f t="shared" si="1"/>
        <v>Jalen</v>
      </c>
      <c r="C1294" s="13" t="str">
        <f t="shared" si="2"/>
        <v>Cropper</v>
      </c>
      <c r="D1294" s="13" t="str">
        <f t="shared" si="3"/>
        <v>#N/A</v>
      </c>
      <c r="E1294" s="1" t="s">
        <v>69</v>
      </c>
    </row>
    <row r="1295" ht="15.75" customHeight="1">
      <c r="A1295" s="1" t="s">
        <v>1595</v>
      </c>
      <c r="B1295" s="13" t="str">
        <f t="shared" si="1"/>
        <v>Jalen</v>
      </c>
      <c r="C1295" s="13" t="str">
        <f t="shared" si="2"/>
        <v>Greene</v>
      </c>
      <c r="D1295" s="13" t="str">
        <f t="shared" si="3"/>
        <v>#N/A</v>
      </c>
      <c r="E1295" s="1" t="s">
        <v>69</v>
      </c>
    </row>
    <row r="1296" ht="15.75" customHeight="1">
      <c r="A1296" s="1" t="s">
        <v>1596</v>
      </c>
      <c r="B1296" s="13" t="str">
        <f t="shared" si="1"/>
        <v>Jalen</v>
      </c>
      <c r="C1296" s="13" t="str">
        <f t="shared" si="2"/>
        <v>Guyton</v>
      </c>
      <c r="D1296" s="13" t="str">
        <f t="shared" si="3"/>
        <v>#N/A</v>
      </c>
      <c r="E1296" s="1" t="s">
        <v>69</v>
      </c>
    </row>
    <row r="1297" ht="15.75" customHeight="1">
      <c r="A1297" s="1" t="s">
        <v>1599</v>
      </c>
      <c r="B1297" s="13" t="str">
        <f t="shared" si="1"/>
        <v>Jalen</v>
      </c>
      <c r="C1297" s="13" t="str">
        <f t="shared" si="2"/>
        <v>Hurd</v>
      </c>
      <c r="D1297" s="13" t="str">
        <f t="shared" si="3"/>
        <v>#N/A</v>
      </c>
      <c r="E1297" s="1" t="s">
        <v>69</v>
      </c>
    </row>
    <row r="1298" ht="15.75" customHeight="1">
      <c r="A1298" s="1" t="s">
        <v>83</v>
      </c>
      <c r="B1298" s="13" t="str">
        <f t="shared" si="1"/>
        <v>Jalen</v>
      </c>
      <c r="C1298" s="13" t="str">
        <f t="shared" si="2"/>
        <v>Hurts</v>
      </c>
      <c r="D1298" s="13" t="str">
        <f t="shared" si="3"/>
        <v>#N/A</v>
      </c>
      <c r="E1298" s="1" t="s">
        <v>65</v>
      </c>
    </row>
    <row r="1299" ht="15.75" customHeight="1">
      <c r="A1299" s="1" t="s">
        <v>1600</v>
      </c>
      <c r="B1299" s="13" t="str">
        <f t="shared" si="1"/>
        <v>Jalen</v>
      </c>
      <c r="C1299" s="13" t="str">
        <f t="shared" si="2"/>
        <v>Knox</v>
      </c>
      <c r="D1299" s="13" t="str">
        <f t="shared" si="3"/>
        <v>#N/A</v>
      </c>
      <c r="E1299" s="1" t="s">
        <v>69</v>
      </c>
    </row>
    <row r="1300" ht="15.75" customHeight="1">
      <c r="A1300" s="1" t="s">
        <v>1601</v>
      </c>
      <c r="B1300" s="13" t="str">
        <f t="shared" si="1"/>
        <v>Jalen</v>
      </c>
      <c r="C1300" s="13" t="str">
        <f t="shared" si="2"/>
        <v>McCleskey</v>
      </c>
      <c r="D1300" s="13" t="str">
        <f t="shared" si="3"/>
        <v>#N/A</v>
      </c>
      <c r="E1300" s="1" t="s">
        <v>69</v>
      </c>
    </row>
    <row r="1301" ht="15.75" customHeight="1">
      <c r="A1301" s="1" t="s">
        <v>1602</v>
      </c>
      <c r="B1301" s="13" t="str">
        <f t="shared" si="1"/>
        <v>Jalen</v>
      </c>
      <c r="C1301" s="13" t="str">
        <f t="shared" si="2"/>
        <v>McMillan</v>
      </c>
      <c r="D1301" s="13" t="str">
        <f t="shared" si="3"/>
        <v>#N/A</v>
      </c>
      <c r="E1301" s="1" t="s">
        <v>69</v>
      </c>
    </row>
    <row r="1302" ht="15.75" customHeight="1">
      <c r="A1302" s="1" t="s">
        <v>1603</v>
      </c>
      <c r="B1302" s="13" t="str">
        <f t="shared" si="1"/>
        <v>Jalen</v>
      </c>
      <c r="C1302" s="13" t="str">
        <f t="shared" si="2"/>
        <v>Mitchell</v>
      </c>
      <c r="D1302" s="13" t="str">
        <f t="shared" si="3"/>
        <v>#N/A</v>
      </c>
      <c r="E1302" s="1" t="s">
        <v>66</v>
      </c>
    </row>
    <row r="1303" ht="15.75" customHeight="1">
      <c r="A1303" s="1" t="s">
        <v>1605</v>
      </c>
      <c r="B1303" s="13" t="str">
        <f t="shared" si="1"/>
        <v>Jalen</v>
      </c>
      <c r="C1303" s="13" t="str">
        <f t="shared" si="2"/>
        <v>Nailor</v>
      </c>
      <c r="D1303" s="13" t="str">
        <f t="shared" si="3"/>
        <v>#N/A</v>
      </c>
      <c r="E1303" s="1" t="s">
        <v>69</v>
      </c>
    </row>
    <row r="1304" ht="15.75" customHeight="1">
      <c r="A1304" s="1" t="s">
        <v>1606</v>
      </c>
      <c r="B1304" s="13" t="str">
        <f t="shared" si="1"/>
        <v>Jalen</v>
      </c>
      <c r="C1304" s="13" t="str">
        <f t="shared" si="2"/>
        <v>Parmele</v>
      </c>
      <c r="D1304" s="13" t="str">
        <f t="shared" si="3"/>
        <v>#N/A</v>
      </c>
      <c r="E1304" s="1" t="s">
        <v>66</v>
      </c>
    </row>
    <row r="1305" ht="15.75" customHeight="1">
      <c r="A1305" s="1" t="s">
        <v>121</v>
      </c>
      <c r="B1305" s="13" t="str">
        <f t="shared" si="1"/>
        <v>Jalen</v>
      </c>
      <c r="C1305" s="13" t="str">
        <f t="shared" si="2"/>
        <v>Reagor</v>
      </c>
      <c r="D1305" s="13" t="str">
        <f t="shared" si="3"/>
        <v>#N/A</v>
      </c>
      <c r="E1305" s="1" t="s">
        <v>69</v>
      </c>
    </row>
    <row r="1306" ht="15.75" customHeight="1">
      <c r="A1306" s="1" t="s">
        <v>1607</v>
      </c>
      <c r="B1306" s="13" t="str">
        <f t="shared" si="1"/>
        <v>Jalen</v>
      </c>
      <c r="C1306" s="13" t="str">
        <f t="shared" si="2"/>
        <v>Rhodes</v>
      </c>
      <c r="D1306" s="13" t="str">
        <f t="shared" si="3"/>
        <v>#N/A</v>
      </c>
      <c r="E1306" s="1" t="s">
        <v>66</v>
      </c>
    </row>
    <row r="1307" ht="15.75" customHeight="1">
      <c r="A1307" s="1" t="s">
        <v>1608</v>
      </c>
      <c r="B1307" s="13" t="str">
        <f t="shared" si="1"/>
        <v>Jalen</v>
      </c>
      <c r="C1307" s="13" t="str">
        <f t="shared" si="2"/>
        <v>Richard</v>
      </c>
      <c r="D1307" s="13" t="str">
        <f t="shared" si="3"/>
        <v>#N/A</v>
      </c>
      <c r="E1307" s="1" t="s">
        <v>66</v>
      </c>
    </row>
    <row r="1308" ht="15.75" customHeight="1">
      <c r="A1308" s="1" t="s">
        <v>1609</v>
      </c>
      <c r="B1308" s="13" t="str">
        <f t="shared" si="1"/>
        <v>Jalen</v>
      </c>
      <c r="C1308" s="13" t="str">
        <f t="shared" si="2"/>
        <v>Saunders</v>
      </c>
      <c r="D1308" s="13" t="str">
        <f t="shared" si="3"/>
        <v>#N/A</v>
      </c>
      <c r="E1308" s="1" t="s">
        <v>69</v>
      </c>
    </row>
    <row r="1309" ht="15.75" customHeight="1">
      <c r="A1309" s="1" t="s">
        <v>1611</v>
      </c>
      <c r="B1309" s="13" t="str">
        <f t="shared" si="1"/>
        <v>Jalen</v>
      </c>
      <c r="C1309" s="13" t="str">
        <f t="shared" si="2"/>
        <v>Simmons</v>
      </c>
      <c r="D1309" s="13" t="str">
        <f t="shared" si="3"/>
        <v>#N/A</v>
      </c>
      <c r="E1309" s="1" t="s">
        <v>66</v>
      </c>
    </row>
    <row r="1310" ht="15.75" customHeight="1">
      <c r="A1310" s="1" t="s">
        <v>1612</v>
      </c>
      <c r="B1310" s="13" t="str">
        <f t="shared" si="1"/>
        <v>Jalen</v>
      </c>
      <c r="C1310" s="13" t="str">
        <f t="shared" si="2"/>
        <v>Tolbert</v>
      </c>
      <c r="D1310" s="13" t="str">
        <f t="shared" si="3"/>
        <v>#N/A</v>
      </c>
      <c r="E1310" s="1" t="s">
        <v>69</v>
      </c>
    </row>
    <row r="1311" ht="15.75" customHeight="1">
      <c r="A1311" s="1" t="s">
        <v>1613</v>
      </c>
      <c r="B1311" s="13" t="str">
        <f t="shared" si="1"/>
        <v>Jalen</v>
      </c>
      <c r="C1311" s="13" t="str">
        <f t="shared" si="2"/>
        <v>Tolliver</v>
      </c>
      <c r="D1311" s="13" t="str">
        <f t="shared" si="3"/>
        <v>#N/A</v>
      </c>
      <c r="E1311" s="1" t="s">
        <v>69</v>
      </c>
    </row>
    <row r="1312" ht="15.75" customHeight="1">
      <c r="A1312" s="1" t="s">
        <v>1614</v>
      </c>
      <c r="B1312" s="13" t="str">
        <f t="shared" si="1"/>
        <v>Jalen</v>
      </c>
      <c r="C1312" s="13" t="str">
        <f t="shared" si="2"/>
        <v>Virgil</v>
      </c>
      <c r="D1312" s="13" t="str">
        <f t="shared" si="3"/>
        <v>#N/A</v>
      </c>
      <c r="E1312" s="1" t="s">
        <v>69</v>
      </c>
    </row>
    <row r="1313" ht="15.75" customHeight="1">
      <c r="A1313" s="1" t="s">
        <v>1615</v>
      </c>
      <c r="B1313" s="13" t="str">
        <f t="shared" si="1"/>
        <v>Jalen</v>
      </c>
      <c r="C1313" s="13" t="str">
        <f t="shared" si="2"/>
        <v>Wydermyer</v>
      </c>
      <c r="D1313" s="13" t="str">
        <f t="shared" si="3"/>
        <v>#N/A</v>
      </c>
      <c r="E1313" s="1" t="s">
        <v>68</v>
      </c>
    </row>
    <row r="1314" ht="15.75" customHeight="1">
      <c r="A1314" s="1" t="s">
        <v>1616</v>
      </c>
      <c r="B1314" s="13" t="str">
        <f t="shared" si="1"/>
        <v>Jalin</v>
      </c>
      <c r="C1314" s="13" t="str">
        <f t="shared" si="2"/>
        <v>Hyatt</v>
      </c>
      <c r="D1314" s="13" t="str">
        <f t="shared" si="3"/>
        <v>#N/A</v>
      </c>
      <c r="E1314" s="1" t="s">
        <v>69</v>
      </c>
    </row>
    <row r="1315" ht="15.75" customHeight="1">
      <c r="A1315" s="1" t="s">
        <v>1617</v>
      </c>
      <c r="B1315" s="13" t="str">
        <f t="shared" si="1"/>
        <v>Jalin</v>
      </c>
      <c r="C1315" s="13" t="str">
        <f t="shared" si="2"/>
        <v>Marshall</v>
      </c>
      <c r="D1315" s="13" t="str">
        <f t="shared" si="3"/>
        <v>#N/A</v>
      </c>
      <c r="E1315" s="1" t="s">
        <v>69</v>
      </c>
    </row>
    <row r="1316" ht="15.75" customHeight="1">
      <c r="A1316" s="1" t="s">
        <v>1618</v>
      </c>
      <c r="B1316" s="13" t="str">
        <f t="shared" si="1"/>
        <v>Jalin</v>
      </c>
      <c r="C1316" s="13" t="str">
        <f t="shared" si="2"/>
        <v>Moore</v>
      </c>
      <c r="D1316" s="13" t="str">
        <f t="shared" si="3"/>
        <v>#N/A</v>
      </c>
      <c r="E1316" s="1" t="s">
        <v>66</v>
      </c>
    </row>
    <row r="1317" ht="15.75" customHeight="1">
      <c r="A1317" s="1" t="s">
        <v>1619</v>
      </c>
      <c r="B1317" s="13" t="str">
        <f t="shared" si="1"/>
        <v>Jalon</v>
      </c>
      <c r="C1317" s="13" t="str">
        <f t="shared" si="2"/>
        <v>Calhoun</v>
      </c>
      <c r="D1317" s="13" t="str">
        <f t="shared" si="3"/>
        <v>#N/A</v>
      </c>
      <c r="E1317" s="1" t="s">
        <v>69</v>
      </c>
    </row>
    <row r="1318" ht="15.75" customHeight="1">
      <c r="A1318" s="1" t="s">
        <v>1620</v>
      </c>
      <c r="B1318" s="13" t="str">
        <f t="shared" si="1"/>
        <v>Jalston</v>
      </c>
      <c r="C1318" s="13" t="str">
        <f t="shared" si="2"/>
        <v>Fowler</v>
      </c>
      <c r="D1318" s="13" t="str">
        <f t="shared" si="3"/>
        <v>#N/A</v>
      </c>
      <c r="E1318" s="1" t="s">
        <v>66</v>
      </c>
    </row>
    <row r="1319" ht="15.75" customHeight="1">
      <c r="A1319" s="1" t="s">
        <v>1621</v>
      </c>
      <c r="B1319" s="13" t="str">
        <f t="shared" si="1"/>
        <v>Jamaal</v>
      </c>
      <c r="C1319" s="13" t="str">
        <f t="shared" si="2"/>
        <v>Charles</v>
      </c>
      <c r="D1319" s="13" t="str">
        <f t="shared" si="3"/>
        <v>#N/A</v>
      </c>
      <c r="E1319" s="1" t="s">
        <v>66</v>
      </c>
    </row>
    <row r="1320" ht="15.75" customHeight="1">
      <c r="A1320" s="1" t="s">
        <v>1622</v>
      </c>
      <c r="B1320" s="13" t="str">
        <f t="shared" si="1"/>
        <v>Jamaal</v>
      </c>
      <c r="C1320" s="13" t="str">
        <f t="shared" si="2"/>
        <v>Jones</v>
      </c>
      <c r="D1320" s="13" t="str">
        <f t="shared" si="3"/>
        <v>#N/A</v>
      </c>
      <c r="E1320" s="1" t="s">
        <v>69</v>
      </c>
    </row>
    <row r="1321" ht="15.75" customHeight="1">
      <c r="A1321" s="1" t="s">
        <v>187</v>
      </c>
      <c r="B1321" s="13" t="str">
        <f t="shared" si="1"/>
        <v>Jamaal</v>
      </c>
      <c r="C1321" s="13" t="str">
        <f t="shared" si="2"/>
        <v>Williams</v>
      </c>
      <c r="D1321" s="13" t="str">
        <f t="shared" si="3"/>
        <v>#N/A</v>
      </c>
      <c r="E1321" s="1" t="s">
        <v>66</v>
      </c>
    </row>
    <row r="1322" ht="15.75" customHeight="1">
      <c r="A1322" s="1" t="s">
        <v>1624</v>
      </c>
      <c r="B1322" s="13" t="str">
        <f t="shared" si="1"/>
        <v>Jamal</v>
      </c>
      <c r="C1322" s="13" t="str">
        <f t="shared" si="2"/>
        <v>Agnew</v>
      </c>
      <c r="D1322" s="13" t="str">
        <f t="shared" si="3"/>
        <v>#N/A</v>
      </c>
      <c r="E1322" s="1" t="s">
        <v>69</v>
      </c>
    </row>
    <row r="1323" ht="15.75" customHeight="1">
      <c r="A1323" s="1" t="s">
        <v>1626</v>
      </c>
      <c r="B1323" s="13" t="str">
        <f t="shared" si="1"/>
        <v>Jamal</v>
      </c>
      <c r="C1323" s="13" t="str">
        <f t="shared" si="2"/>
        <v>Custis</v>
      </c>
      <c r="D1323" s="13" t="str">
        <f t="shared" si="3"/>
        <v>#N/A</v>
      </c>
      <c r="E1323" s="1" t="s">
        <v>69</v>
      </c>
    </row>
    <row r="1324" ht="15.75" customHeight="1">
      <c r="A1324" s="1" t="s">
        <v>1627</v>
      </c>
      <c r="B1324" s="13" t="str">
        <f t="shared" si="1"/>
        <v>Jamal</v>
      </c>
      <c r="C1324" s="13" t="str">
        <f t="shared" si="2"/>
        <v>Robinson</v>
      </c>
      <c r="D1324" s="13" t="str">
        <f t="shared" si="3"/>
        <v>#N/A</v>
      </c>
      <c r="E1324" s="1" t="s">
        <v>69</v>
      </c>
    </row>
    <row r="1325" ht="15.75" customHeight="1">
      <c r="A1325" s="1" t="s">
        <v>1628</v>
      </c>
      <c r="B1325" s="13" t="str">
        <f t="shared" si="1"/>
        <v>Ja'Marcus</v>
      </c>
      <c r="C1325" s="13" t="str">
        <f t="shared" si="2"/>
        <v>Bradley</v>
      </c>
      <c r="D1325" s="13" t="str">
        <f t="shared" si="3"/>
        <v>#N/A</v>
      </c>
      <c r="E1325" s="1" t="s">
        <v>69</v>
      </c>
    </row>
    <row r="1326" ht="15.75" customHeight="1">
      <c r="A1326" s="1" t="s">
        <v>1629</v>
      </c>
      <c r="B1326" s="13" t="str">
        <f t="shared" si="1"/>
        <v>Jamari</v>
      </c>
      <c r="C1326" s="13" t="str">
        <f t="shared" si="2"/>
        <v>Staples</v>
      </c>
      <c r="D1326" s="13" t="str">
        <f t="shared" si="3"/>
        <v>#N/A</v>
      </c>
      <c r="E1326" s="1" t="s">
        <v>69</v>
      </c>
    </row>
    <row r="1327" ht="15.75" customHeight="1">
      <c r="A1327" s="1" t="s">
        <v>1630</v>
      </c>
      <c r="B1327" s="13" t="str">
        <f t="shared" si="1"/>
        <v>Jamarius</v>
      </c>
      <c r="C1327" s="13" t="str">
        <f t="shared" si="2"/>
        <v>Way</v>
      </c>
      <c r="D1327" s="13" t="str">
        <f t="shared" si="3"/>
        <v>#N/A</v>
      </c>
      <c r="E1327" s="1" t="s">
        <v>69</v>
      </c>
    </row>
    <row r="1328" ht="15.75" customHeight="1">
      <c r="A1328" s="1" t="s">
        <v>354</v>
      </c>
      <c r="B1328" s="13" t="str">
        <f t="shared" si="1"/>
        <v>Ja'Marr</v>
      </c>
      <c r="C1328" s="13" t="str">
        <f t="shared" si="2"/>
        <v>Chase</v>
      </c>
      <c r="D1328" s="13" t="str">
        <f t="shared" si="3"/>
        <v>#N/A</v>
      </c>
      <c r="E1328" s="1" t="s">
        <v>69</v>
      </c>
    </row>
    <row r="1329" ht="15.75" customHeight="1">
      <c r="A1329" s="1" t="s">
        <v>1631</v>
      </c>
      <c r="B1329" s="13" t="str">
        <f t="shared" si="1"/>
        <v>Jamauri</v>
      </c>
      <c r="C1329" s="13" t="str">
        <f t="shared" si="2"/>
        <v>Bogan</v>
      </c>
      <c r="D1329" s="13" t="str">
        <f t="shared" si="3"/>
        <v>#N/A</v>
      </c>
      <c r="E1329" s="1" t="s">
        <v>66</v>
      </c>
    </row>
    <row r="1330" ht="15.75" customHeight="1">
      <c r="A1330" s="1" t="s">
        <v>1105</v>
      </c>
      <c r="B1330" s="13" t="str">
        <f t="shared" si="1"/>
        <v>Jameis</v>
      </c>
      <c r="C1330" s="13" t="str">
        <f t="shared" si="2"/>
        <v>Winston</v>
      </c>
      <c r="D1330" s="13" t="str">
        <f t="shared" si="3"/>
        <v>#N/A</v>
      </c>
      <c r="E1330" s="1" t="s">
        <v>65</v>
      </c>
    </row>
    <row r="1331" ht="15.75" customHeight="1">
      <c r="A1331" s="1" t="s">
        <v>1632</v>
      </c>
      <c r="B1331" s="13" t="str">
        <f t="shared" si="1"/>
        <v>James</v>
      </c>
      <c r="C1331" s="13" t="str">
        <f t="shared" si="2"/>
        <v>Butler</v>
      </c>
      <c r="D1331" s="13" t="str">
        <f t="shared" si="3"/>
        <v>#N/A</v>
      </c>
      <c r="E1331" s="1" t="s">
        <v>66</v>
      </c>
    </row>
    <row r="1332" ht="15.75" customHeight="1">
      <c r="A1332" s="1" t="s">
        <v>1633</v>
      </c>
      <c r="B1332" s="13" t="str">
        <f t="shared" si="1"/>
        <v>James</v>
      </c>
      <c r="C1332" s="13" t="str">
        <f t="shared" si="2"/>
        <v>Casey</v>
      </c>
      <c r="D1332" s="13" t="str">
        <f t="shared" si="3"/>
        <v>#N/A</v>
      </c>
      <c r="E1332" s="1" t="s">
        <v>68</v>
      </c>
    </row>
    <row r="1333" ht="15.75" customHeight="1">
      <c r="A1333" s="1" t="s">
        <v>85</v>
      </c>
      <c r="B1333" s="13" t="str">
        <f t="shared" si="1"/>
        <v>James</v>
      </c>
      <c r="C1333" s="13" t="str">
        <f t="shared" si="2"/>
        <v>Conner</v>
      </c>
      <c r="D1333" s="13" t="str">
        <f t="shared" si="3"/>
        <v>#N/A</v>
      </c>
      <c r="E1333" s="1" t="s">
        <v>66</v>
      </c>
    </row>
    <row r="1334" ht="15.75" customHeight="1">
      <c r="A1334" s="1" t="s">
        <v>1634</v>
      </c>
      <c r="B1334" s="13" t="str">
        <f t="shared" si="1"/>
        <v>James</v>
      </c>
      <c r="C1334" s="13" t="str">
        <f t="shared" si="2"/>
        <v>Cook</v>
      </c>
      <c r="D1334" s="13" t="str">
        <f t="shared" si="3"/>
        <v>#N/A</v>
      </c>
      <c r="E1334" s="1" t="s">
        <v>66</v>
      </c>
    </row>
    <row r="1335" ht="15.75" customHeight="1">
      <c r="A1335" s="1" t="s">
        <v>1635</v>
      </c>
      <c r="B1335" s="13" t="str">
        <f t="shared" si="1"/>
        <v>James</v>
      </c>
      <c r="C1335" s="13" t="str">
        <f t="shared" si="2"/>
        <v>Develin</v>
      </c>
      <c r="D1335" s="13" t="str">
        <f t="shared" si="3"/>
        <v>#N/A</v>
      </c>
      <c r="E1335" s="1" t="s">
        <v>66</v>
      </c>
    </row>
    <row r="1336" ht="15.75" customHeight="1">
      <c r="A1336" s="1" t="s">
        <v>1636</v>
      </c>
      <c r="B1336" s="13" t="str">
        <f t="shared" si="1"/>
        <v>James</v>
      </c>
      <c r="C1336" s="13" t="str">
        <f t="shared" si="2"/>
        <v>Franklin</v>
      </c>
      <c r="D1336" s="13" t="str">
        <f t="shared" si="3"/>
        <v>#N/A</v>
      </c>
      <c r="E1336" s="1" t="s">
        <v>65</v>
      </c>
    </row>
    <row r="1337" ht="15.75" customHeight="1">
      <c r="A1337" s="1" t="s">
        <v>1637</v>
      </c>
      <c r="B1337" s="13" t="str">
        <f t="shared" si="1"/>
        <v>James</v>
      </c>
      <c r="C1337" s="13" t="str">
        <f t="shared" si="2"/>
        <v>Gardner</v>
      </c>
      <c r="D1337" s="13" t="str">
        <f t="shared" si="3"/>
        <v>#N/A</v>
      </c>
      <c r="E1337" s="1" t="s">
        <v>69</v>
      </c>
    </row>
    <row r="1338" ht="15.75" customHeight="1">
      <c r="A1338" s="1" t="s">
        <v>1638</v>
      </c>
      <c r="B1338" s="13" t="str">
        <f t="shared" si="1"/>
        <v>James</v>
      </c>
      <c r="C1338" s="13" t="str">
        <f t="shared" si="2"/>
        <v>Gilbert</v>
      </c>
      <c r="D1338" s="13" t="str">
        <f t="shared" si="3"/>
        <v>#N/A</v>
      </c>
      <c r="E1338" s="1" t="s">
        <v>66</v>
      </c>
    </row>
    <row r="1339" ht="15.75" customHeight="1">
      <c r="A1339" s="1" t="s">
        <v>1639</v>
      </c>
      <c r="B1339" s="13" t="str">
        <f t="shared" si="1"/>
        <v>James</v>
      </c>
      <c r="C1339" s="13" t="str">
        <f t="shared" si="2"/>
        <v>Hanna</v>
      </c>
      <c r="D1339" s="13" t="str">
        <f t="shared" si="3"/>
        <v>#N/A</v>
      </c>
      <c r="E1339" s="1" t="s">
        <v>68</v>
      </c>
    </row>
    <row r="1340" ht="15.75" customHeight="1">
      <c r="A1340" s="1" t="s">
        <v>1640</v>
      </c>
      <c r="B1340" s="13" t="str">
        <f t="shared" si="1"/>
        <v>James</v>
      </c>
      <c r="C1340" s="13" t="str">
        <f t="shared" si="2"/>
        <v>Jones</v>
      </c>
      <c r="D1340" s="13" t="str">
        <f t="shared" si="3"/>
        <v>#N/A</v>
      </c>
      <c r="E1340" s="1" t="s">
        <v>69</v>
      </c>
    </row>
    <row r="1341" ht="15.75" customHeight="1">
      <c r="A1341" s="1" t="s">
        <v>1641</v>
      </c>
      <c r="B1341" s="13" t="str">
        <f t="shared" si="1"/>
        <v>Ja-Mes</v>
      </c>
      <c r="C1341" s="13" t="str">
        <f t="shared" si="2"/>
        <v>Logan</v>
      </c>
      <c r="D1341" s="13" t="str">
        <f t="shared" si="3"/>
        <v>#N/A</v>
      </c>
      <c r="E1341" s="1" t="s">
        <v>69</v>
      </c>
    </row>
    <row r="1342" ht="15.75" customHeight="1">
      <c r="A1342" s="1" t="s">
        <v>1642</v>
      </c>
      <c r="B1342" s="13" t="str">
        <f t="shared" si="1"/>
        <v>James</v>
      </c>
      <c r="C1342" s="13" t="str">
        <f t="shared" si="2"/>
        <v>Mitchell</v>
      </c>
      <c r="D1342" s="13" t="str">
        <f t="shared" si="3"/>
        <v>#N/A</v>
      </c>
      <c r="E1342" s="1" t="s">
        <v>68</v>
      </c>
    </row>
    <row r="1343" ht="15.75" customHeight="1">
      <c r="A1343" s="1" t="s">
        <v>1643</v>
      </c>
      <c r="B1343" s="13" t="str">
        <f t="shared" si="1"/>
        <v>James</v>
      </c>
      <c r="C1343" s="13" t="str">
        <f t="shared" si="2"/>
        <v>Morgan</v>
      </c>
      <c r="D1343" s="13" t="str">
        <f t="shared" si="3"/>
        <v>#N/A</v>
      </c>
      <c r="E1343" s="1" t="s">
        <v>65</v>
      </c>
    </row>
    <row r="1344" ht="15.75" customHeight="1">
      <c r="A1344" s="1" t="s">
        <v>1644</v>
      </c>
      <c r="B1344" s="13" t="str">
        <f t="shared" si="1"/>
        <v>James</v>
      </c>
      <c r="C1344" s="13" t="str">
        <f t="shared" si="2"/>
        <v>O'Shaughnessy</v>
      </c>
      <c r="D1344" s="13" t="str">
        <f t="shared" si="3"/>
        <v>#N/A</v>
      </c>
      <c r="E1344" s="1" t="s">
        <v>68</v>
      </c>
    </row>
    <row r="1345" ht="15.75" customHeight="1">
      <c r="A1345" s="1" t="s">
        <v>1645</v>
      </c>
      <c r="B1345" s="13" t="str">
        <f t="shared" si="1"/>
        <v>James</v>
      </c>
      <c r="C1345" s="13" t="str">
        <f t="shared" si="2"/>
        <v>Proche</v>
      </c>
      <c r="D1345" s="13" t="str">
        <f t="shared" si="3"/>
        <v>#N/A</v>
      </c>
      <c r="E1345" s="1" t="s">
        <v>69</v>
      </c>
    </row>
    <row r="1346" ht="15.75" customHeight="1">
      <c r="A1346" s="1" t="s">
        <v>1646</v>
      </c>
      <c r="B1346" s="13" t="str">
        <f t="shared" si="1"/>
        <v>James</v>
      </c>
      <c r="C1346" s="13" t="str">
        <f t="shared" si="2"/>
        <v>Quick</v>
      </c>
      <c r="D1346" s="13" t="str">
        <f t="shared" si="3"/>
        <v>#N/A</v>
      </c>
      <c r="E1346" s="1" t="s">
        <v>69</v>
      </c>
    </row>
    <row r="1347" ht="15.75" customHeight="1">
      <c r="A1347" s="1" t="s">
        <v>175</v>
      </c>
      <c r="B1347" s="13" t="str">
        <f t="shared" si="1"/>
        <v>James</v>
      </c>
      <c r="C1347" s="13" t="str">
        <f t="shared" si="2"/>
        <v>Robinson</v>
      </c>
      <c r="D1347" s="13" t="str">
        <f t="shared" si="3"/>
        <v>#N/A</v>
      </c>
      <c r="E1347" s="1" t="s">
        <v>66</v>
      </c>
    </row>
    <row r="1348" ht="15.75" customHeight="1">
      <c r="A1348" s="1" t="s">
        <v>1648</v>
      </c>
      <c r="B1348" s="13" t="str">
        <f t="shared" si="1"/>
        <v>James</v>
      </c>
      <c r="C1348" s="13" t="str">
        <f t="shared" si="2"/>
        <v>Starks</v>
      </c>
      <c r="D1348" s="13" t="str">
        <f t="shared" si="3"/>
        <v>#N/A</v>
      </c>
      <c r="E1348" s="1" t="s">
        <v>66</v>
      </c>
    </row>
    <row r="1349" ht="15.75" customHeight="1">
      <c r="A1349" s="1" t="s">
        <v>1649</v>
      </c>
      <c r="B1349" s="13" t="str">
        <f t="shared" si="1"/>
        <v>James</v>
      </c>
      <c r="C1349" s="13" t="str">
        <f t="shared" si="2"/>
        <v>Summers</v>
      </c>
      <c r="D1349" s="13" t="str">
        <f t="shared" si="3"/>
        <v>#N/A</v>
      </c>
      <c r="E1349" s="1" t="s">
        <v>66</v>
      </c>
    </row>
    <row r="1350" ht="15.75" customHeight="1">
      <c r="A1350" s="1" t="s">
        <v>1163</v>
      </c>
      <c r="B1350" s="13" t="str">
        <f t="shared" si="1"/>
        <v>James</v>
      </c>
      <c r="C1350" s="13" t="str">
        <f t="shared" si="2"/>
        <v>Washington</v>
      </c>
      <c r="D1350" s="13" t="str">
        <f t="shared" si="3"/>
        <v>#N/A</v>
      </c>
      <c r="E1350" s="1" t="s">
        <v>69</v>
      </c>
    </row>
    <row r="1351" ht="15.75" customHeight="1">
      <c r="A1351" s="1" t="s">
        <v>452</v>
      </c>
      <c r="B1351" s="13" t="str">
        <f t="shared" si="1"/>
        <v>James</v>
      </c>
      <c r="C1351" s="13" t="str">
        <f t="shared" si="2"/>
        <v>White</v>
      </c>
      <c r="D1351" s="13" t="str">
        <f t="shared" si="3"/>
        <v>#N/A</v>
      </c>
      <c r="E1351" s="1" t="s">
        <v>66</v>
      </c>
    </row>
    <row r="1352" ht="15.75" customHeight="1">
      <c r="A1352" s="1" t="s">
        <v>1650</v>
      </c>
      <c r="B1352" s="13" t="str">
        <f t="shared" si="1"/>
        <v>James</v>
      </c>
      <c r="C1352" s="13" t="str">
        <f t="shared" si="2"/>
        <v>Wilder Jr</v>
      </c>
      <c r="D1352" s="13" t="str">
        <f t="shared" si="3"/>
        <v>#N/A</v>
      </c>
      <c r="E1352" s="1" t="s">
        <v>66</v>
      </c>
    </row>
    <row r="1353" ht="15.75" customHeight="1">
      <c r="A1353" s="1" t="s">
        <v>1652</v>
      </c>
      <c r="B1353" s="13" t="str">
        <f t="shared" si="1"/>
        <v>James</v>
      </c>
      <c r="C1353" s="13" t="str">
        <f t="shared" si="2"/>
        <v>Williams</v>
      </c>
      <c r="D1353" s="13" t="str">
        <f t="shared" si="3"/>
        <v>#N/A</v>
      </c>
      <c r="E1353" s="1" t="s">
        <v>66</v>
      </c>
    </row>
    <row r="1354" ht="15.75" customHeight="1">
      <c r="A1354" s="1" t="s">
        <v>1653</v>
      </c>
      <c r="B1354" s="13" t="str">
        <f t="shared" si="1"/>
        <v>James</v>
      </c>
      <c r="C1354" s="13" t="str">
        <f t="shared" si="2"/>
        <v>Wright</v>
      </c>
      <c r="D1354" s="13" t="str">
        <f t="shared" si="3"/>
        <v>#N/A</v>
      </c>
      <c r="E1354" s="1" t="s">
        <v>69</v>
      </c>
    </row>
    <row r="1355" ht="15.75" customHeight="1">
      <c r="A1355" s="1" t="s">
        <v>1654</v>
      </c>
      <c r="B1355" s="13" t="str">
        <f t="shared" si="1"/>
        <v>Jameson</v>
      </c>
      <c r="C1355" s="13" t="str">
        <f t="shared" si="2"/>
        <v>Williams</v>
      </c>
      <c r="D1355" s="13" t="str">
        <f t="shared" si="3"/>
        <v>#N/A</v>
      </c>
      <c r="E1355" s="1" t="s">
        <v>69</v>
      </c>
    </row>
    <row r="1356" ht="15.75" customHeight="1">
      <c r="A1356" s="1" t="s">
        <v>1655</v>
      </c>
      <c r="B1356" s="13" t="str">
        <f t="shared" si="1"/>
        <v>Jamie</v>
      </c>
      <c r="C1356" s="13" t="str">
        <f t="shared" si="2"/>
        <v>Newman</v>
      </c>
      <c r="D1356" s="13" t="str">
        <f t="shared" si="3"/>
        <v>#N/A</v>
      </c>
      <c r="E1356" s="1" t="s">
        <v>65</v>
      </c>
    </row>
    <row r="1357" ht="15.75" customHeight="1">
      <c r="A1357" s="1" t="s">
        <v>1656</v>
      </c>
      <c r="B1357" s="13" t="str">
        <f t="shared" si="1"/>
        <v>Jamire</v>
      </c>
      <c r="C1357" s="13" t="str">
        <f t="shared" si="2"/>
        <v>Jordan</v>
      </c>
      <c r="D1357" s="13" t="str">
        <f t="shared" si="3"/>
        <v>#N/A</v>
      </c>
      <c r="E1357" s="1" t="s">
        <v>69</v>
      </c>
    </row>
    <row r="1358" ht="15.75" customHeight="1">
      <c r="A1358" s="1" t="s">
        <v>488</v>
      </c>
      <c r="B1358" s="13" t="str">
        <f t="shared" si="1"/>
        <v>Jamison</v>
      </c>
      <c r="C1358" s="13" t="str">
        <f t="shared" si="2"/>
        <v>Crowder</v>
      </c>
      <c r="D1358" s="13" t="str">
        <f t="shared" si="3"/>
        <v>#N/A</v>
      </c>
      <c r="E1358" s="1" t="s">
        <v>69</v>
      </c>
    </row>
    <row r="1359" ht="15.75" customHeight="1">
      <c r="A1359" s="1" t="s">
        <v>1657</v>
      </c>
      <c r="B1359" s="13" t="str">
        <f t="shared" si="1"/>
        <v>Jamize</v>
      </c>
      <c r="C1359" s="13" t="str">
        <f t="shared" si="2"/>
        <v>Olawale</v>
      </c>
      <c r="D1359" s="13" t="str">
        <f t="shared" si="3"/>
        <v>#N/A</v>
      </c>
      <c r="E1359" s="1" t="s">
        <v>66</v>
      </c>
    </row>
    <row r="1360" ht="15.75" customHeight="1">
      <c r="A1360" s="1" t="s">
        <v>1658</v>
      </c>
      <c r="B1360" s="13" t="str">
        <f t="shared" si="1"/>
        <v>JaMycal</v>
      </c>
      <c r="C1360" s="13" t="str">
        <f t="shared" si="2"/>
        <v>Hasty</v>
      </c>
      <c r="D1360" s="13" t="str">
        <f t="shared" si="3"/>
        <v>#N/A</v>
      </c>
      <c r="E1360" s="1" t="s">
        <v>66</v>
      </c>
    </row>
    <row r="1361" ht="15.75" customHeight="1">
      <c r="A1361" s="1" t="s">
        <v>1659</v>
      </c>
      <c r="B1361" s="13" t="str">
        <f t="shared" si="1"/>
        <v>Janarion</v>
      </c>
      <c r="C1361" s="13" t="str">
        <f t="shared" si="2"/>
        <v>Grant</v>
      </c>
      <c r="D1361" s="13" t="str">
        <f t="shared" si="3"/>
        <v>#N/A</v>
      </c>
      <c r="E1361" s="1" t="s">
        <v>69</v>
      </c>
    </row>
    <row r="1362" ht="15.75" customHeight="1">
      <c r="A1362" s="1" t="s">
        <v>1660</v>
      </c>
      <c r="B1362" s="13" t="str">
        <f t="shared" si="1"/>
        <v>JaQuan</v>
      </c>
      <c r="C1362" s="13" t="str">
        <f t="shared" si="2"/>
        <v>Hardy</v>
      </c>
      <c r="D1362" s="13" t="str">
        <f t="shared" si="3"/>
        <v>#N/A</v>
      </c>
      <c r="E1362" s="1" t="s">
        <v>66</v>
      </c>
    </row>
    <row r="1363" ht="15.75" customHeight="1">
      <c r="A1363" s="1" t="s">
        <v>1662</v>
      </c>
      <c r="B1363" s="13" t="str">
        <f t="shared" si="1"/>
        <v>Jaquarii</v>
      </c>
      <c r="C1363" s="13" t="str">
        <f t="shared" si="2"/>
        <v>Roberson</v>
      </c>
      <c r="D1363" s="13" t="str">
        <f t="shared" si="3"/>
        <v>#N/A</v>
      </c>
      <c r="E1363" s="1" t="s">
        <v>69</v>
      </c>
    </row>
    <row r="1364" ht="15.75" customHeight="1">
      <c r="A1364" s="1" t="s">
        <v>1663</v>
      </c>
      <c r="B1364" s="13" t="str">
        <f t="shared" si="1"/>
        <v>Jaray</v>
      </c>
      <c r="C1364" s="13" t="str">
        <f t="shared" si="2"/>
        <v>Jenkins</v>
      </c>
      <c r="D1364" s="13" t="str">
        <f t="shared" si="3"/>
        <v>#N/A</v>
      </c>
      <c r="E1364" s="1" t="s">
        <v>69</v>
      </c>
    </row>
    <row r="1365" ht="15.75" customHeight="1">
      <c r="A1365" s="1" t="s">
        <v>1664</v>
      </c>
      <c r="B1365" s="13" t="str">
        <f t="shared" si="1"/>
        <v>Jared</v>
      </c>
      <c r="C1365" s="13" t="str">
        <f t="shared" si="2"/>
        <v>Abbrederis</v>
      </c>
      <c r="D1365" s="13" t="str">
        <f t="shared" si="3"/>
        <v>#N/A</v>
      </c>
      <c r="E1365" s="1" t="s">
        <v>69</v>
      </c>
    </row>
    <row r="1366" ht="15.75" customHeight="1">
      <c r="A1366" s="1" t="s">
        <v>694</v>
      </c>
      <c r="B1366" s="13" t="str">
        <f t="shared" si="1"/>
        <v>Jared</v>
      </c>
      <c r="C1366" s="13" t="str">
        <f t="shared" si="2"/>
        <v>Cook</v>
      </c>
      <c r="D1366" s="13" t="str">
        <f t="shared" si="3"/>
        <v>#N/A</v>
      </c>
      <c r="E1366" s="1" t="s">
        <v>68</v>
      </c>
    </row>
    <row r="1367" ht="15.75" customHeight="1">
      <c r="A1367" s="1" t="s">
        <v>1666</v>
      </c>
      <c r="B1367" s="13" t="str">
        <f t="shared" si="1"/>
        <v>Jared</v>
      </c>
      <c r="C1367" s="13" t="str">
        <f t="shared" si="2"/>
        <v>Dangerfield</v>
      </c>
      <c r="D1367" s="13" t="str">
        <f t="shared" si="3"/>
        <v>#N/A</v>
      </c>
      <c r="E1367" s="1" t="s">
        <v>69</v>
      </c>
    </row>
    <row r="1368" ht="15.75" customHeight="1">
      <c r="A1368" s="1" t="s">
        <v>969</v>
      </c>
      <c r="B1368" s="13" t="str">
        <f t="shared" si="1"/>
        <v>Jared</v>
      </c>
      <c r="C1368" s="13" t="str">
        <f t="shared" si="2"/>
        <v>Goff</v>
      </c>
      <c r="D1368" s="13" t="str">
        <f t="shared" si="3"/>
        <v>#N/A</v>
      </c>
      <c r="E1368" s="1" t="s">
        <v>65</v>
      </c>
    </row>
    <row r="1369" ht="15.75" customHeight="1">
      <c r="A1369" s="1" t="s">
        <v>1667</v>
      </c>
      <c r="B1369" s="13" t="str">
        <f t="shared" si="1"/>
        <v>Jared</v>
      </c>
      <c r="C1369" s="13" t="str">
        <f t="shared" si="2"/>
        <v>Green</v>
      </c>
      <c r="D1369" s="13" t="str">
        <f t="shared" si="3"/>
        <v>#N/A</v>
      </c>
      <c r="E1369" s="1" t="s">
        <v>69</v>
      </c>
    </row>
    <row r="1370" ht="15.75" customHeight="1">
      <c r="A1370" s="1" t="s">
        <v>1668</v>
      </c>
      <c r="B1370" s="13" t="str">
        <f t="shared" si="1"/>
        <v>Jared</v>
      </c>
      <c r="C1370" s="13" t="str">
        <f t="shared" si="2"/>
        <v>Pinkney</v>
      </c>
      <c r="D1370" s="13" t="str">
        <f t="shared" si="3"/>
        <v>#N/A</v>
      </c>
      <c r="E1370" s="1" t="s">
        <v>68</v>
      </c>
    </row>
    <row r="1371" ht="15.75" customHeight="1">
      <c r="A1371" s="1" t="s">
        <v>1669</v>
      </c>
      <c r="B1371" s="13" t="str">
        <f t="shared" si="1"/>
        <v>Jared</v>
      </c>
      <c r="C1371" s="13" t="str">
        <f t="shared" si="2"/>
        <v>Rice</v>
      </c>
      <c r="D1371" s="13" t="str">
        <f t="shared" si="3"/>
        <v>#N/A</v>
      </c>
      <c r="E1371" s="1" t="s">
        <v>68</v>
      </c>
    </row>
    <row r="1372" ht="15.75" customHeight="1">
      <c r="A1372" s="1" t="s">
        <v>1670</v>
      </c>
      <c r="B1372" s="13" t="str">
        <f t="shared" si="1"/>
        <v>Jarek</v>
      </c>
      <c r="C1372" s="13" t="str">
        <f t="shared" si="2"/>
        <v>Broussard</v>
      </c>
      <c r="D1372" s="13" t="str">
        <f t="shared" si="3"/>
        <v>#N/A</v>
      </c>
      <c r="E1372" s="1" t="s">
        <v>66</v>
      </c>
    </row>
    <row r="1373" ht="15.75" customHeight="1">
      <c r="A1373" s="1" t="s">
        <v>1671</v>
      </c>
      <c r="B1373" s="13" t="str">
        <f t="shared" si="1"/>
        <v>Jaret</v>
      </c>
      <c r="C1373" s="13" t="str">
        <f t="shared" si="2"/>
        <v>Patterson</v>
      </c>
      <c r="D1373" s="13" t="str">
        <f t="shared" si="3"/>
        <v>#N/A</v>
      </c>
      <c r="E1373" s="1" t="s">
        <v>66</v>
      </c>
    </row>
    <row r="1374" ht="15.75" customHeight="1">
      <c r="A1374" s="1" t="s">
        <v>1672</v>
      </c>
      <c r="B1374" s="13" t="str">
        <f t="shared" si="1"/>
        <v>Jarius</v>
      </c>
      <c r="C1374" s="13" t="str">
        <f t="shared" si="2"/>
        <v>Wright</v>
      </c>
      <c r="D1374" s="13" t="str">
        <f t="shared" si="3"/>
        <v>#N/A</v>
      </c>
      <c r="E1374" s="1" t="s">
        <v>69</v>
      </c>
    </row>
    <row r="1375" ht="15.75" customHeight="1">
      <c r="A1375" s="1" t="s">
        <v>1673</v>
      </c>
      <c r="B1375" s="13" t="str">
        <f t="shared" si="1"/>
        <v>Jaron</v>
      </c>
      <c r="C1375" s="13" t="str">
        <f t="shared" si="2"/>
        <v>Brown</v>
      </c>
      <c r="D1375" s="13" t="str">
        <f t="shared" si="3"/>
        <v>#N/A</v>
      </c>
      <c r="E1375" s="1" t="s">
        <v>69</v>
      </c>
    </row>
    <row r="1376" ht="15.75" customHeight="1">
      <c r="A1376" s="1" t="s">
        <v>1674</v>
      </c>
      <c r="B1376" s="13" t="str">
        <f t="shared" si="1"/>
        <v>Jarrett</v>
      </c>
      <c r="C1376" s="13" t="str">
        <f t="shared" si="2"/>
        <v>Boykin</v>
      </c>
      <c r="D1376" s="13" t="str">
        <f t="shared" si="3"/>
        <v>#N/A</v>
      </c>
      <c r="E1376" s="1" t="s">
        <v>69</v>
      </c>
    </row>
    <row r="1377" ht="15.75" customHeight="1">
      <c r="A1377" s="1" t="s">
        <v>1675</v>
      </c>
      <c r="B1377" s="13" t="str">
        <f t="shared" si="1"/>
        <v>Jarrett</v>
      </c>
      <c r="C1377" s="13" t="str">
        <f t="shared" si="2"/>
        <v>Stidham</v>
      </c>
      <c r="D1377" s="13" t="str">
        <f t="shared" si="3"/>
        <v>#N/A</v>
      </c>
      <c r="E1377" s="1" t="s">
        <v>65</v>
      </c>
    </row>
    <row r="1378" ht="15.75" customHeight="1">
      <c r="A1378" s="1" t="s">
        <v>1676</v>
      </c>
      <c r="B1378" s="13" t="str">
        <f t="shared" si="1"/>
        <v>Jarryd</v>
      </c>
      <c r="C1378" s="13" t="str">
        <f t="shared" si="2"/>
        <v>Hayne</v>
      </c>
      <c r="D1378" s="13" t="str">
        <f t="shared" si="3"/>
        <v>#N/A</v>
      </c>
      <c r="E1378" s="1" t="s">
        <v>66</v>
      </c>
    </row>
    <row r="1379" ht="15.75" customHeight="1">
      <c r="A1379" s="1" t="s">
        <v>1677</v>
      </c>
      <c r="B1379" s="13" t="str">
        <f t="shared" si="1"/>
        <v>Jarveon</v>
      </c>
      <c r="C1379" s="13" t="str">
        <f t="shared" si="2"/>
        <v>Williams</v>
      </c>
      <c r="D1379" s="13" t="str">
        <f t="shared" si="3"/>
        <v>#N/A</v>
      </c>
      <c r="E1379" s="1" t="s">
        <v>66</v>
      </c>
    </row>
    <row r="1380" ht="15.75" customHeight="1">
      <c r="A1380" s="1" t="s">
        <v>1678</v>
      </c>
      <c r="B1380" s="13" t="str">
        <f t="shared" si="1"/>
        <v>Jarvion</v>
      </c>
      <c r="C1380" s="13" t="str">
        <f t="shared" si="2"/>
        <v>Franklin</v>
      </c>
      <c r="D1380" s="13" t="str">
        <f t="shared" si="3"/>
        <v>#N/A</v>
      </c>
      <c r="E1380" s="1" t="s">
        <v>66</v>
      </c>
    </row>
    <row r="1381" ht="15.75" customHeight="1">
      <c r="A1381" s="1" t="s">
        <v>117</v>
      </c>
      <c r="B1381" s="13" t="str">
        <f t="shared" si="1"/>
        <v>Jarvis</v>
      </c>
      <c r="C1381" s="13" t="str">
        <f t="shared" si="2"/>
        <v>Landry</v>
      </c>
      <c r="D1381" s="13" t="str">
        <f t="shared" si="3"/>
        <v>#N/A</v>
      </c>
      <c r="E1381" s="1" t="s">
        <v>69</v>
      </c>
    </row>
    <row r="1382" ht="15.75" customHeight="1">
      <c r="A1382" s="1" t="s">
        <v>1679</v>
      </c>
      <c r="B1382" s="13" t="str">
        <f t="shared" si="1"/>
        <v>Jase</v>
      </c>
      <c r="C1382" s="13" t="str">
        <f t="shared" si="2"/>
        <v>McClellan</v>
      </c>
      <c r="D1382" s="13" t="str">
        <f t="shared" si="3"/>
        <v>#N/A</v>
      </c>
      <c r="E1382" s="1" t="s">
        <v>66</v>
      </c>
    </row>
    <row r="1383" ht="15.75" customHeight="1">
      <c r="A1383" s="1" t="s">
        <v>1680</v>
      </c>
      <c r="B1383" s="13" t="str">
        <f t="shared" si="1"/>
        <v>Jashaun</v>
      </c>
      <c r="C1383" s="13" t="str">
        <f t="shared" si="2"/>
        <v>Corbin</v>
      </c>
      <c r="D1383" s="13" t="str">
        <f t="shared" si="3"/>
        <v>#N/A</v>
      </c>
      <c r="E1383" s="1" t="s">
        <v>66</v>
      </c>
    </row>
    <row r="1384" ht="15.75" customHeight="1">
      <c r="A1384" s="1" t="s">
        <v>1681</v>
      </c>
      <c r="B1384" s="13" t="str">
        <f t="shared" si="1"/>
        <v>Jason</v>
      </c>
      <c r="C1384" s="13" t="str">
        <f t="shared" si="2"/>
        <v>Avant</v>
      </c>
      <c r="D1384" s="13" t="str">
        <f t="shared" si="3"/>
        <v>#N/A</v>
      </c>
      <c r="E1384" s="1" t="s">
        <v>69</v>
      </c>
    </row>
    <row r="1385" ht="15.75" customHeight="1">
      <c r="A1385" s="1" t="s">
        <v>1683</v>
      </c>
      <c r="B1385" s="13" t="str">
        <f t="shared" si="1"/>
        <v>Jason</v>
      </c>
      <c r="C1385" s="13" t="str">
        <f t="shared" si="2"/>
        <v>Campbell</v>
      </c>
      <c r="D1385" s="13" t="str">
        <f t="shared" si="3"/>
        <v>#N/A</v>
      </c>
      <c r="E1385" s="1" t="s">
        <v>65</v>
      </c>
    </row>
    <row r="1386" ht="15.75" customHeight="1">
      <c r="A1386" s="1" t="s">
        <v>1684</v>
      </c>
      <c r="B1386" s="13" t="str">
        <f t="shared" si="1"/>
        <v>Jason</v>
      </c>
      <c r="C1386" s="13" t="str">
        <f t="shared" si="2"/>
        <v>Croom</v>
      </c>
      <c r="D1386" s="13" t="str">
        <f t="shared" si="3"/>
        <v>#N/A</v>
      </c>
      <c r="E1386" s="1" t="s">
        <v>68</v>
      </c>
    </row>
    <row r="1387" ht="15.75" customHeight="1">
      <c r="A1387" s="1" t="s">
        <v>1685</v>
      </c>
      <c r="B1387" s="13" t="str">
        <f t="shared" si="1"/>
        <v>Jason</v>
      </c>
      <c r="C1387" s="13" t="str">
        <f t="shared" si="2"/>
        <v>Huntley</v>
      </c>
      <c r="D1387" s="13" t="str">
        <f t="shared" si="3"/>
        <v>#N/A</v>
      </c>
      <c r="E1387" s="1" t="s">
        <v>66</v>
      </c>
    </row>
    <row r="1388" ht="15.75" customHeight="1">
      <c r="A1388" s="1" t="s">
        <v>1686</v>
      </c>
      <c r="B1388" s="13" t="str">
        <f t="shared" si="1"/>
        <v>Jason</v>
      </c>
      <c r="C1388" s="13" t="str">
        <f t="shared" si="2"/>
        <v>Moore</v>
      </c>
      <c r="D1388" s="13" t="str">
        <f t="shared" si="3"/>
        <v>#N/A</v>
      </c>
      <c r="E1388" s="1" t="s">
        <v>69</v>
      </c>
    </row>
    <row r="1389" ht="15.75" customHeight="1">
      <c r="A1389" s="1" t="s">
        <v>462</v>
      </c>
      <c r="B1389" s="13" t="str">
        <f t="shared" si="1"/>
        <v>Jason</v>
      </c>
      <c r="C1389" s="13" t="str">
        <f t="shared" si="2"/>
        <v>Myers</v>
      </c>
      <c r="D1389" s="13" t="str">
        <f t="shared" si="3"/>
        <v>#N/A</v>
      </c>
      <c r="E1389" s="1" t="s">
        <v>64</v>
      </c>
    </row>
    <row r="1390" ht="15.75" customHeight="1">
      <c r="A1390" s="1" t="s">
        <v>122</v>
      </c>
      <c r="B1390" s="13" t="str">
        <f t="shared" si="1"/>
        <v>Jason</v>
      </c>
      <c r="C1390" s="13" t="str">
        <f t="shared" si="2"/>
        <v>Sanders</v>
      </c>
      <c r="D1390" s="13" t="str">
        <f t="shared" si="3"/>
        <v>#N/A</v>
      </c>
      <c r="E1390" s="1" t="s">
        <v>64</v>
      </c>
    </row>
    <row r="1391" ht="15.75" customHeight="1">
      <c r="A1391" s="1" t="s">
        <v>1687</v>
      </c>
      <c r="B1391" s="13" t="str">
        <f t="shared" si="1"/>
        <v>Jason</v>
      </c>
      <c r="C1391" s="13" t="str">
        <f t="shared" si="2"/>
        <v>Vander Laan</v>
      </c>
      <c r="D1391" s="13" t="str">
        <f t="shared" si="3"/>
        <v>#N/A</v>
      </c>
      <c r="E1391" s="1" t="s">
        <v>68</v>
      </c>
    </row>
    <row r="1392" ht="15.75" customHeight="1">
      <c r="A1392" s="1" t="s">
        <v>1647</v>
      </c>
      <c r="B1392" s="13" t="str">
        <f t="shared" si="1"/>
        <v>Jason</v>
      </c>
      <c r="C1392" s="13" t="str">
        <f t="shared" si="2"/>
        <v>Witten</v>
      </c>
      <c r="D1392" s="13" t="str">
        <f t="shared" si="3"/>
        <v>#N/A</v>
      </c>
      <c r="E1392" s="1" t="s">
        <v>68</v>
      </c>
    </row>
    <row r="1393" ht="15.75" customHeight="1">
      <c r="A1393" s="1" t="s">
        <v>1688</v>
      </c>
      <c r="B1393" s="13" t="str">
        <f t="shared" si="1"/>
        <v>Jasper</v>
      </c>
      <c r="C1393" s="13" t="str">
        <f t="shared" si="2"/>
        <v>Collins</v>
      </c>
      <c r="D1393" s="13" t="str">
        <f t="shared" si="3"/>
        <v>#N/A</v>
      </c>
      <c r="E1393" s="1" t="s">
        <v>69</v>
      </c>
    </row>
    <row r="1394" ht="15.75" customHeight="1">
      <c r="A1394" s="1" t="s">
        <v>1689</v>
      </c>
      <c r="B1394" s="13" t="str">
        <f t="shared" si="1"/>
        <v>Ja'Tarvious</v>
      </c>
      <c r="C1394" s="13" t="str">
        <f t="shared" si="2"/>
        <v>Whitlow</v>
      </c>
      <c r="D1394" s="13" t="str">
        <f t="shared" si="3"/>
        <v>#N/A</v>
      </c>
      <c r="E1394" s="1" t="s">
        <v>66</v>
      </c>
    </row>
    <row r="1395" ht="15.75" customHeight="1">
      <c r="A1395" s="1" t="s">
        <v>1690</v>
      </c>
      <c r="B1395" s="13" t="str">
        <f t="shared" si="1"/>
        <v>Ja'Tavion</v>
      </c>
      <c r="C1395" s="13" t="str">
        <f t="shared" si="2"/>
        <v>Sanders</v>
      </c>
      <c r="D1395" s="13" t="str">
        <f t="shared" si="3"/>
        <v>#N/A</v>
      </c>
      <c r="E1395" s="1" t="s">
        <v>68</v>
      </c>
    </row>
    <row r="1396" ht="15.75" customHeight="1">
      <c r="A1396" s="1" t="s">
        <v>1691</v>
      </c>
      <c r="B1396" s="13" t="str">
        <f t="shared" si="1"/>
        <v>Jauan</v>
      </c>
      <c r="C1396" s="13" t="str">
        <f t="shared" si="2"/>
        <v>Jennings</v>
      </c>
      <c r="D1396" s="13" t="str">
        <f t="shared" si="3"/>
        <v>#N/A</v>
      </c>
      <c r="E1396" s="1" t="s">
        <v>69</v>
      </c>
    </row>
    <row r="1397" ht="15.75" customHeight="1">
      <c r="A1397" s="1" t="s">
        <v>1692</v>
      </c>
      <c r="B1397" s="13" t="str">
        <f t="shared" si="1"/>
        <v>Javian</v>
      </c>
      <c r="C1397" s="13" t="str">
        <f t="shared" si="2"/>
        <v>Hawkins</v>
      </c>
      <c r="D1397" s="13" t="str">
        <f t="shared" si="3"/>
        <v>#N/A</v>
      </c>
      <c r="E1397" s="1" t="s">
        <v>66</v>
      </c>
    </row>
    <row r="1398" ht="15.75" customHeight="1">
      <c r="A1398" s="1" t="s">
        <v>1693</v>
      </c>
      <c r="B1398" s="13" t="str">
        <f t="shared" si="1"/>
        <v>Javon</v>
      </c>
      <c r="C1398" s="13" t="str">
        <f t="shared" si="2"/>
        <v>Leake</v>
      </c>
      <c r="D1398" s="13" t="str">
        <f t="shared" si="3"/>
        <v>#N/A</v>
      </c>
      <c r="E1398" s="1" t="s">
        <v>66</v>
      </c>
    </row>
    <row r="1399" ht="15.75" customHeight="1">
      <c r="A1399" s="1" t="s">
        <v>1694</v>
      </c>
      <c r="B1399" s="13" t="str">
        <f t="shared" si="1"/>
        <v>Javon</v>
      </c>
      <c r="C1399" s="13" t="str">
        <f t="shared" si="2"/>
        <v>McKinley</v>
      </c>
      <c r="D1399" s="13" t="str">
        <f t="shared" si="3"/>
        <v>#N/A</v>
      </c>
      <c r="E1399" s="1" t="s">
        <v>69</v>
      </c>
    </row>
    <row r="1400" ht="15.75" customHeight="1">
      <c r="A1400" s="1" t="s">
        <v>1696</v>
      </c>
      <c r="B1400" s="13" t="str">
        <f t="shared" si="1"/>
        <v>Javon</v>
      </c>
      <c r="C1400" s="13" t="str">
        <f t="shared" si="2"/>
        <v>Walker</v>
      </c>
      <c r="D1400" s="13" t="str">
        <f t="shared" si="3"/>
        <v>#N/A</v>
      </c>
      <c r="E1400" s="1" t="s">
        <v>69</v>
      </c>
    </row>
    <row r="1401" ht="15.75" customHeight="1">
      <c r="A1401" s="1" t="s">
        <v>1697</v>
      </c>
      <c r="B1401" s="13" t="str">
        <f t="shared" si="1"/>
        <v>Javon</v>
      </c>
      <c r="C1401" s="13" t="str">
        <f t="shared" si="2"/>
        <v>Wims</v>
      </c>
      <c r="D1401" s="13" t="str">
        <f t="shared" si="3"/>
        <v>#N/A</v>
      </c>
      <c r="E1401" s="1" t="s">
        <v>69</v>
      </c>
    </row>
    <row r="1402" ht="15.75" customHeight="1">
      <c r="A1402" s="1" t="s">
        <v>1698</v>
      </c>
      <c r="B1402" s="13" t="str">
        <f t="shared" si="1"/>
        <v>Javone</v>
      </c>
      <c r="C1402" s="13" t="str">
        <f t="shared" si="2"/>
        <v>Lawson</v>
      </c>
      <c r="D1402" s="13" t="str">
        <f t="shared" si="3"/>
        <v>#N/A</v>
      </c>
      <c r="E1402" s="1" t="s">
        <v>69</v>
      </c>
    </row>
    <row r="1403" ht="15.75" customHeight="1">
      <c r="A1403" s="1" t="s">
        <v>433</v>
      </c>
      <c r="B1403" s="13" t="str">
        <f t="shared" si="1"/>
        <v>Javonte</v>
      </c>
      <c r="C1403" s="13" t="str">
        <f t="shared" si="2"/>
        <v>Williams</v>
      </c>
      <c r="D1403" s="13" t="str">
        <f t="shared" si="3"/>
        <v>#N/A</v>
      </c>
      <c r="E1403" s="1" t="s">
        <v>66</v>
      </c>
    </row>
    <row r="1404" ht="15.75" customHeight="1">
      <c r="A1404" s="1" t="s">
        <v>1699</v>
      </c>
      <c r="B1404" s="13" t="str">
        <f t="shared" si="1"/>
        <v>Javontee</v>
      </c>
      <c r="C1404" s="13" t="str">
        <f t="shared" si="2"/>
        <v>Herndon</v>
      </c>
      <c r="D1404" s="13" t="str">
        <f t="shared" si="3"/>
        <v>#N/A</v>
      </c>
      <c r="E1404" s="1" t="s">
        <v>69</v>
      </c>
    </row>
    <row r="1405" ht="15.75" customHeight="1">
      <c r="A1405" s="1" t="s">
        <v>1700</v>
      </c>
      <c r="B1405" s="13" t="str">
        <f t="shared" si="1"/>
        <v>Javorius</v>
      </c>
      <c r="C1405" s="13" t="str">
        <f t="shared" si="2"/>
        <v>Allen</v>
      </c>
      <c r="D1405" s="13" t="str">
        <f t="shared" si="3"/>
        <v>#N/A</v>
      </c>
      <c r="E1405" s="1" t="s">
        <v>66</v>
      </c>
    </row>
    <row r="1406" ht="15.75" customHeight="1">
      <c r="A1406" s="1" t="s">
        <v>1701</v>
      </c>
      <c r="B1406" s="13" t="str">
        <f t="shared" si="1"/>
        <v>Jawill</v>
      </c>
      <c r="C1406" s="13" t="str">
        <f t="shared" si="2"/>
        <v>Davis</v>
      </c>
      <c r="D1406" s="13" t="str">
        <f t="shared" si="3"/>
        <v>#N/A</v>
      </c>
      <c r="E1406" s="1" t="s">
        <v>69</v>
      </c>
    </row>
    <row r="1407" ht="15.75" customHeight="1">
      <c r="A1407" s="1" t="s">
        <v>1702</v>
      </c>
      <c r="B1407" s="13" t="str">
        <f t="shared" si="1"/>
        <v>Jaxon</v>
      </c>
      <c r="C1407" s="13" t="str">
        <f t="shared" si="2"/>
        <v>Shipley</v>
      </c>
      <c r="D1407" s="13" t="str">
        <f t="shared" si="3"/>
        <v>#N/A</v>
      </c>
      <c r="E1407" s="1" t="s">
        <v>69</v>
      </c>
    </row>
    <row r="1408" ht="15.75" customHeight="1">
      <c r="A1408" s="1" t="s">
        <v>1704</v>
      </c>
      <c r="B1408" s="13" t="str">
        <f t="shared" si="1"/>
        <v>Jaxon</v>
      </c>
      <c r="C1408" s="13" t="str">
        <f t="shared" si="2"/>
        <v>Smith-Njigba</v>
      </c>
      <c r="D1408" s="13" t="str">
        <f t="shared" si="3"/>
        <v>#N/A</v>
      </c>
      <c r="E1408" s="1" t="s">
        <v>69</v>
      </c>
    </row>
    <row r="1409" ht="15.75" customHeight="1">
      <c r="A1409" s="1" t="s">
        <v>1705</v>
      </c>
      <c r="B1409" s="13" t="str">
        <f t="shared" si="1"/>
        <v>Jaxson</v>
      </c>
      <c r="C1409" s="13" t="str">
        <f t="shared" si="2"/>
        <v>Dart</v>
      </c>
      <c r="D1409" s="13" t="str">
        <f t="shared" si="3"/>
        <v>#N/A</v>
      </c>
      <c r="E1409" s="1" t="s">
        <v>65</v>
      </c>
    </row>
    <row r="1410" ht="15.75" customHeight="1">
      <c r="A1410" s="1" t="s">
        <v>1387</v>
      </c>
      <c r="B1410" s="13" t="str">
        <f t="shared" si="1"/>
        <v>Jay</v>
      </c>
      <c r="C1410" s="13" t="str">
        <f t="shared" si="2"/>
        <v>Ajayi</v>
      </c>
      <c r="D1410" s="13" t="str">
        <f t="shared" si="3"/>
        <v>#N/A</v>
      </c>
      <c r="E1410" s="1" t="s">
        <v>66</v>
      </c>
    </row>
    <row r="1411" ht="15.75" customHeight="1">
      <c r="A1411" s="1" t="s">
        <v>1708</v>
      </c>
      <c r="B1411" s="13" t="str">
        <f t="shared" si="1"/>
        <v>Jay</v>
      </c>
      <c r="C1411" s="13" t="str">
        <f t="shared" si="2"/>
        <v>Cutler</v>
      </c>
      <c r="D1411" s="13" t="str">
        <f t="shared" si="3"/>
        <v>#N/A</v>
      </c>
      <c r="E1411" s="1" t="s">
        <v>65</v>
      </c>
    </row>
    <row r="1412" ht="15.75" customHeight="1">
      <c r="A1412" s="1" t="s">
        <v>1710</v>
      </c>
      <c r="B1412" s="13" t="str">
        <f t="shared" si="1"/>
        <v>Jay</v>
      </c>
      <c r="C1412" s="13" t="str">
        <f t="shared" si="2"/>
        <v>Lee</v>
      </c>
      <c r="D1412" s="13" t="str">
        <f t="shared" si="3"/>
        <v>#N/A</v>
      </c>
      <c r="E1412" s="1" t="s">
        <v>69</v>
      </c>
    </row>
    <row r="1413" ht="15.75" customHeight="1">
      <c r="A1413" s="1" t="s">
        <v>1711</v>
      </c>
      <c r="B1413" s="13" t="str">
        <f t="shared" si="1"/>
        <v>Jay</v>
      </c>
      <c r="C1413" s="13" t="str">
        <f t="shared" si="2"/>
        <v>Prosch</v>
      </c>
      <c r="D1413" s="13" t="str">
        <f t="shared" si="3"/>
        <v>#N/A</v>
      </c>
      <c r="E1413" s="1" t="s">
        <v>66</v>
      </c>
    </row>
    <row r="1414" ht="15.75" customHeight="1">
      <c r="A1414" s="1" t="s">
        <v>1712</v>
      </c>
      <c r="B1414" s="13" t="str">
        <f t="shared" si="1"/>
        <v>Jayden</v>
      </c>
      <c r="C1414" s="13" t="str">
        <f t="shared" si="2"/>
        <v>Daniels</v>
      </c>
      <c r="D1414" s="13" t="str">
        <f t="shared" si="3"/>
        <v>#N/A</v>
      </c>
      <c r="E1414" s="1" t="s">
        <v>65</v>
      </c>
    </row>
    <row r="1415" ht="15.75" customHeight="1">
      <c r="A1415" s="1" t="s">
        <v>1713</v>
      </c>
      <c r="B1415" s="13" t="str">
        <f t="shared" si="1"/>
        <v>Jayden</v>
      </c>
      <c r="C1415" s="13" t="str">
        <f t="shared" si="2"/>
        <v>de Laura</v>
      </c>
      <c r="D1415" s="13" t="str">
        <f t="shared" si="3"/>
        <v>#N/A</v>
      </c>
      <c r="E1415" s="1" t="s">
        <v>65</v>
      </c>
    </row>
    <row r="1416" ht="15.75" customHeight="1">
      <c r="A1416" s="1" t="s">
        <v>1714</v>
      </c>
      <c r="B1416" s="13" t="str">
        <f t="shared" si="1"/>
        <v>Jayden</v>
      </c>
      <c r="C1416" s="13" t="str">
        <f t="shared" si="2"/>
        <v>Gibson</v>
      </c>
      <c r="D1416" s="13" t="str">
        <f t="shared" si="3"/>
        <v>#N/A</v>
      </c>
      <c r="E1416" s="1" t="s">
        <v>69</v>
      </c>
    </row>
    <row r="1417" ht="15.75" customHeight="1">
      <c r="A1417" s="1" t="s">
        <v>1715</v>
      </c>
      <c r="B1417" s="13" t="str">
        <f t="shared" si="1"/>
        <v>Jayden</v>
      </c>
      <c r="C1417" s="13" t="str">
        <f t="shared" si="2"/>
        <v>Reed</v>
      </c>
      <c r="D1417" s="13" t="str">
        <f t="shared" si="3"/>
        <v>#N/A</v>
      </c>
      <c r="E1417" s="1" t="s">
        <v>69</v>
      </c>
    </row>
    <row r="1418" ht="15.75" customHeight="1">
      <c r="A1418" s="1" t="s">
        <v>1716</v>
      </c>
      <c r="B1418" s="13" t="str">
        <f t="shared" si="1"/>
        <v>Jaydon</v>
      </c>
      <c r="C1418" s="13" t="str">
        <f t="shared" si="2"/>
        <v>Blue</v>
      </c>
      <c r="D1418" s="13" t="str">
        <f t="shared" si="3"/>
        <v>#N/A</v>
      </c>
      <c r="E1418" s="1" t="s">
        <v>66</v>
      </c>
    </row>
    <row r="1419" ht="15.75" customHeight="1">
      <c r="A1419" s="1" t="s">
        <v>1717</v>
      </c>
      <c r="B1419" s="13" t="str">
        <f t="shared" si="1"/>
        <v>Jaydon</v>
      </c>
      <c r="C1419" s="13" t="str">
        <f t="shared" si="2"/>
        <v>Mickens</v>
      </c>
      <c r="D1419" s="13" t="str">
        <f t="shared" si="3"/>
        <v>#N/A</v>
      </c>
      <c r="E1419" s="1" t="s">
        <v>69</v>
      </c>
    </row>
    <row r="1420" ht="15.75" customHeight="1">
      <c r="A1420" s="1" t="s">
        <v>1718</v>
      </c>
      <c r="B1420" s="13" t="str">
        <f t="shared" si="1"/>
        <v>Jaylan</v>
      </c>
      <c r="C1420" s="13" t="str">
        <f t="shared" si="2"/>
        <v>Knighton</v>
      </c>
      <c r="D1420" s="13" t="str">
        <f t="shared" si="3"/>
        <v>#N/A</v>
      </c>
      <c r="E1420" s="1" t="s">
        <v>66</v>
      </c>
    </row>
    <row r="1421" ht="15.75" customHeight="1">
      <c r="A1421" s="1" t="s">
        <v>1030</v>
      </c>
      <c r="B1421" s="13" t="str">
        <f t="shared" si="1"/>
        <v>Jaylen</v>
      </c>
      <c r="C1421" s="13" t="str">
        <f t="shared" si="2"/>
        <v>Samuels</v>
      </c>
      <c r="D1421" s="13" t="str">
        <f t="shared" si="3"/>
        <v>#N/A</v>
      </c>
      <c r="E1421" s="1" t="s">
        <v>66</v>
      </c>
    </row>
    <row r="1422" ht="15.75" customHeight="1">
      <c r="A1422" s="1" t="s">
        <v>1719</v>
      </c>
      <c r="B1422" s="13" t="str">
        <f t="shared" si="1"/>
        <v>Jaylen</v>
      </c>
      <c r="C1422" s="13" t="str">
        <f t="shared" si="2"/>
        <v>Smith</v>
      </c>
      <c r="D1422" s="13" t="str">
        <f t="shared" si="3"/>
        <v>#N/A</v>
      </c>
      <c r="E1422" s="1" t="s">
        <v>69</v>
      </c>
    </row>
    <row r="1423" ht="15.75" customHeight="1">
      <c r="A1423" s="1" t="s">
        <v>405</v>
      </c>
      <c r="B1423" s="13" t="str">
        <f t="shared" si="1"/>
        <v>Jaylen</v>
      </c>
      <c r="C1423" s="13" t="str">
        <f t="shared" si="2"/>
        <v>Waddle</v>
      </c>
      <c r="D1423" s="13" t="str">
        <f t="shared" si="3"/>
        <v>#N/A</v>
      </c>
      <c r="E1423" s="1" t="s">
        <v>69</v>
      </c>
    </row>
    <row r="1424" ht="15.75" customHeight="1">
      <c r="A1424" s="1" t="s">
        <v>1721</v>
      </c>
      <c r="B1424" s="13" t="str">
        <f t="shared" si="1"/>
        <v>Jaylen</v>
      </c>
      <c r="C1424" s="13" t="str">
        <f t="shared" si="2"/>
        <v>Warren</v>
      </c>
      <c r="D1424" s="13" t="str">
        <f t="shared" si="3"/>
        <v>#N/A</v>
      </c>
      <c r="E1424" s="1" t="s">
        <v>66</v>
      </c>
    </row>
    <row r="1425" ht="15.75" customHeight="1">
      <c r="A1425" s="1" t="s">
        <v>1722</v>
      </c>
      <c r="B1425" s="13" t="str">
        <f t="shared" si="1"/>
        <v>Jaylon</v>
      </c>
      <c r="C1425" s="13" t="str">
        <f t="shared" si="2"/>
        <v>Robinson</v>
      </c>
      <c r="D1425" s="13" t="str">
        <f t="shared" si="3"/>
        <v>#N/A</v>
      </c>
      <c r="E1425" s="1" t="s">
        <v>69</v>
      </c>
    </row>
    <row r="1426" ht="15.75" customHeight="1">
      <c r="A1426" s="1" t="s">
        <v>1723</v>
      </c>
      <c r="B1426" s="13" t="str">
        <f t="shared" si="1"/>
        <v>Jaz</v>
      </c>
      <c r="C1426" s="13" t="str">
        <f t="shared" si="2"/>
        <v>Reynolds</v>
      </c>
      <c r="D1426" s="13" t="str">
        <f t="shared" si="3"/>
        <v>#N/A</v>
      </c>
      <c r="E1426" s="1" t="s">
        <v>69</v>
      </c>
    </row>
    <row r="1427" ht="15.75" customHeight="1">
      <c r="A1427" s="1" t="s">
        <v>1724</v>
      </c>
      <c r="B1427" s="13" t="str">
        <f t="shared" si="1"/>
        <v>Jazz</v>
      </c>
      <c r="C1427" s="13" t="str">
        <f t="shared" si="2"/>
        <v>Ferguson</v>
      </c>
      <c r="D1427" s="13" t="str">
        <f t="shared" si="3"/>
        <v>#N/A</v>
      </c>
      <c r="E1427" s="1" t="s">
        <v>69</v>
      </c>
    </row>
    <row r="1428" ht="15.75" customHeight="1">
      <c r="A1428" s="1" t="s">
        <v>1725</v>
      </c>
      <c r="B1428" s="13" t="str">
        <f t="shared" si="1"/>
        <v>Jean</v>
      </c>
      <c r="C1428" s="13" t="str">
        <f t="shared" si="2"/>
        <v>Sifrin</v>
      </c>
      <c r="D1428" s="13" t="str">
        <f t="shared" si="3"/>
        <v>#N/A</v>
      </c>
      <c r="E1428" s="1" t="s">
        <v>68</v>
      </c>
    </row>
    <row r="1429" ht="15.75" customHeight="1">
      <c r="A1429" s="1" t="s">
        <v>1726</v>
      </c>
      <c r="B1429" s="13" t="str">
        <f t="shared" si="1"/>
        <v>Jeff</v>
      </c>
      <c r="C1429" s="13" t="str">
        <f t="shared" si="2"/>
        <v>Badet</v>
      </c>
      <c r="D1429" s="13" t="str">
        <f t="shared" si="3"/>
        <v>#N/A</v>
      </c>
      <c r="E1429" s="1" t="s">
        <v>69</v>
      </c>
    </row>
    <row r="1430" ht="15.75" customHeight="1">
      <c r="A1430" s="1" t="s">
        <v>1727</v>
      </c>
      <c r="B1430" s="13" t="str">
        <f t="shared" si="1"/>
        <v>Jeff</v>
      </c>
      <c r="C1430" s="13" t="str">
        <f t="shared" si="2"/>
        <v>Cumberland</v>
      </c>
      <c r="D1430" s="13" t="str">
        <f t="shared" si="3"/>
        <v>#N/A</v>
      </c>
      <c r="E1430" s="1" t="s">
        <v>68</v>
      </c>
    </row>
    <row r="1431" ht="15.75" customHeight="1">
      <c r="A1431" s="1" t="s">
        <v>1728</v>
      </c>
      <c r="B1431" s="13" t="str">
        <f t="shared" si="1"/>
        <v>Jeff</v>
      </c>
      <c r="C1431" s="13" t="str">
        <f t="shared" si="2"/>
        <v>Driskel</v>
      </c>
      <c r="D1431" s="13" t="str">
        <f t="shared" si="3"/>
        <v>#N/A</v>
      </c>
      <c r="E1431" s="1" t="s">
        <v>65</v>
      </c>
    </row>
    <row r="1432" ht="15.75" customHeight="1">
      <c r="A1432" s="1" t="s">
        <v>1729</v>
      </c>
      <c r="B1432" s="13" t="str">
        <f t="shared" si="1"/>
        <v>Jeff</v>
      </c>
      <c r="C1432" s="13" t="str">
        <f t="shared" si="2"/>
        <v>Fuller</v>
      </c>
      <c r="D1432" s="13" t="str">
        <f t="shared" si="3"/>
        <v>#N/A</v>
      </c>
      <c r="E1432" s="1" t="s">
        <v>69</v>
      </c>
    </row>
    <row r="1433" ht="15.75" customHeight="1">
      <c r="A1433" s="1" t="s">
        <v>1730</v>
      </c>
      <c r="B1433" s="13" t="str">
        <f t="shared" si="1"/>
        <v>Jeff</v>
      </c>
      <c r="C1433" s="13" t="str">
        <f t="shared" si="2"/>
        <v>Heuerman</v>
      </c>
      <c r="D1433" s="13" t="str">
        <f t="shared" si="3"/>
        <v>#N/A</v>
      </c>
      <c r="E1433" s="1" t="s">
        <v>68</v>
      </c>
    </row>
    <row r="1434" ht="15.75" customHeight="1">
      <c r="A1434" s="1" t="s">
        <v>1732</v>
      </c>
      <c r="B1434" s="13" t="str">
        <f t="shared" si="1"/>
        <v>Jeff</v>
      </c>
      <c r="C1434" s="13" t="str">
        <f t="shared" si="2"/>
        <v>Janis</v>
      </c>
      <c r="D1434" s="13" t="str">
        <f t="shared" si="3"/>
        <v>#N/A</v>
      </c>
      <c r="E1434" s="1" t="s">
        <v>69</v>
      </c>
    </row>
    <row r="1435" ht="15.75" customHeight="1">
      <c r="A1435" s="1" t="s">
        <v>1733</v>
      </c>
      <c r="B1435" s="13" t="str">
        <f t="shared" si="1"/>
        <v>Jeff</v>
      </c>
      <c r="C1435" s="13" t="str">
        <f t="shared" si="2"/>
        <v>Maehl</v>
      </c>
      <c r="D1435" s="13" t="str">
        <f t="shared" si="3"/>
        <v>#N/A</v>
      </c>
      <c r="E1435" s="1" t="s">
        <v>69</v>
      </c>
    </row>
    <row r="1436" ht="15.75" customHeight="1">
      <c r="A1436" s="1" t="s">
        <v>1734</v>
      </c>
      <c r="B1436" s="13" t="str">
        <f t="shared" si="1"/>
        <v>Jeff</v>
      </c>
      <c r="C1436" s="13" t="str">
        <f t="shared" si="2"/>
        <v>Mathews</v>
      </c>
      <c r="D1436" s="13" t="str">
        <f t="shared" si="3"/>
        <v>#N/A</v>
      </c>
      <c r="E1436" s="1" t="s">
        <v>65</v>
      </c>
    </row>
    <row r="1437" ht="15.75" customHeight="1">
      <c r="A1437" s="1" t="s">
        <v>1735</v>
      </c>
      <c r="B1437" s="13" t="str">
        <f t="shared" si="1"/>
        <v>Jeff</v>
      </c>
      <c r="C1437" s="13" t="str">
        <f t="shared" si="2"/>
        <v>Sims</v>
      </c>
      <c r="D1437" s="13" t="str">
        <f t="shared" si="3"/>
        <v>#N/A</v>
      </c>
      <c r="E1437" s="1" t="s">
        <v>65</v>
      </c>
    </row>
    <row r="1438" ht="15.75" customHeight="1">
      <c r="A1438" s="1" t="s">
        <v>1736</v>
      </c>
      <c r="B1438" s="13" t="str">
        <f t="shared" si="1"/>
        <v>Jeff</v>
      </c>
      <c r="C1438" s="13" t="str">
        <f t="shared" si="2"/>
        <v>Smith</v>
      </c>
      <c r="D1438" s="13" t="str">
        <f t="shared" si="3"/>
        <v>#N/A</v>
      </c>
      <c r="E1438" s="1" t="s">
        <v>69</v>
      </c>
    </row>
    <row r="1439" ht="15.75" customHeight="1">
      <c r="A1439" s="1" t="s">
        <v>1737</v>
      </c>
      <c r="B1439" s="13" t="str">
        <f t="shared" si="1"/>
        <v>Jeff</v>
      </c>
      <c r="C1439" s="13" t="str">
        <f t="shared" si="2"/>
        <v>Thomas</v>
      </c>
      <c r="D1439" s="13" t="str">
        <f t="shared" si="3"/>
        <v>#N/A</v>
      </c>
      <c r="E1439" s="1" t="s">
        <v>69</v>
      </c>
    </row>
    <row r="1440" ht="15.75" customHeight="1">
      <c r="A1440" s="1" t="s">
        <v>1739</v>
      </c>
      <c r="B1440" s="13" t="str">
        <f t="shared" si="1"/>
        <v>Jeff</v>
      </c>
      <c r="C1440" s="13" t="str">
        <f t="shared" si="2"/>
        <v>Tuel</v>
      </c>
      <c r="D1440" s="13" t="str">
        <f t="shared" si="3"/>
        <v>#N/A</v>
      </c>
      <c r="E1440" s="1" t="s">
        <v>65</v>
      </c>
    </row>
    <row r="1441" ht="15.75" customHeight="1">
      <c r="A1441" s="1" t="s">
        <v>1740</v>
      </c>
      <c r="B1441" s="13" t="str">
        <f t="shared" si="1"/>
        <v>Jeff</v>
      </c>
      <c r="C1441" s="13" t="str">
        <f t="shared" si="2"/>
        <v>Wilson</v>
      </c>
      <c r="D1441" s="13" t="str">
        <f t="shared" si="3"/>
        <v>#N/A</v>
      </c>
      <c r="E1441" s="1" t="s">
        <v>66</v>
      </c>
    </row>
    <row r="1442" ht="15.75" customHeight="1">
      <c r="A1442" s="1" t="s">
        <v>1741</v>
      </c>
      <c r="B1442" s="13" t="str">
        <f t="shared" si="1"/>
        <v>Jehu</v>
      </c>
      <c r="C1442" s="13" t="str">
        <f t="shared" si="2"/>
        <v>Chesson</v>
      </c>
      <c r="D1442" s="13" t="str">
        <f t="shared" si="3"/>
        <v>#N/A</v>
      </c>
      <c r="E1442" s="1" t="s">
        <v>69</v>
      </c>
    </row>
    <row r="1443" ht="15.75" customHeight="1">
      <c r="A1443" s="1" t="s">
        <v>1742</v>
      </c>
      <c r="B1443" s="13" t="str">
        <f t="shared" si="1"/>
        <v>Jelani</v>
      </c>
      <c r="C1443" s="13" t="str">
        <f t="shared" si="2"/>
        <v>Woods</v>
      </c>
      <c r="D1443" s="13" t="str">
        <f t="shared" si="3"/>
        <v>#N/A</v>
      </c>
      <c r="E1443" s="1" t="s">
        <v>68</v>
      </c>
    </row>
    <row r="1444" ht="15.75" customHeight="1">
      <c r="A1444" s="1" t="s">
        <v>1743</v>
      </c>
      <c r="B1444" s="13" t="str">
        <f t="shared" si="1"/>
        <v>Jequez</v>
      </c>
      <c r="C1444" s="13" t="str">
        <f t="shared" si="2"/>
        <v>Ezzard</v>
      </c>
      <c r="D1444" s="13" t="str">
        <f t="shared" si="3"/>
        <v>#N/A</v>
      </c>
      <c r="E1444" s="1" t="s">
        <v>69</v>
      </c>
    </row>
    <row r="1445" ht="15.75" customHeight="1">
      <c r="A1445" s="1" t="s">
        <v>1744</v>
      </c>
      <c r="B1445" s="13" t="str">
        <f t="shared" si="1"/>
        <v>Jerell</v>
      </c>
      <c r="C1445" s="13" t="str">
        <f t="shared" si="2"/>
        <v>Adams</v>
      </c>
      <c r="D1445" s="13" t="str">
        <f t="shared" si="3"/>
        <v>#N/A</v>
      </c>
      <c r="E1445" s="1" t="s">
        <v>68</v>
      </c>
    </row>
    <row r="1446" ht="15.75" customHeight="1">
      <c r="A1446" s="1" t="s">
        <v>1745</v>
      </c>
      <c r="B1446" s="13" t="str">
        <f t="shared" si="1"/>
        <v>Jeremiah</v>
      </c>
      <c r="C1446" s="13" t="str">
        <f t="shared" si="2"/>
        <v>Hall</v>
      </c>
      <c r="D1446" s="13" t="str">
        <f t="shared" si="3"/>
        <v>#N/A</v>
      </c>
      <c r="E1446" s="1" t="s">
        <v>66</v>
      </c>
    </row>
    <row r="1447" ht="15.75" customHeight="1">
      <c r="A1447" s="1" t="s">
        <v>1746</v>
      </c>
      <c r="B1447" s="13" t="str">
        <f t="shared" si="1"/>
        <v>Jeremiah</v>
      </c>
      <c r="C1447" s="13" t="str">
        <f t="shared" si="2"/>
        <v>Haydel</v>
      </c>
      <c r="D1447" s="13" t="str">
        <f t="shared" si="3"/>
        <v>#N/A</v>
      </c>
      <c r="E1447" s="1" t="s">
        <v>69</v>
      </c>
    </row>
    <row r="1448" ht="15.75" customHeight="1">
      <c r="A1448" s="1" t="s">
        <v>1747</v>
      </c>
      <c r="B1448" s="13" t="str">
        <f t="shared" si="1"/>
        <v>Jeremiah</v>
      </c>
      <c r="C1448" s="13" t="str">
        <f t="shared" si="2"/>
        <v>Hunter</v>
      </c>
      <c r="D1448" s="13" t="str">
        <f t="shared" si="3"/>
        <v>#N/A</v>
      </c>
      <c r="E1448" s="1" t="s">
        <v>69</v>
      </c>
    </row>
    <row r="1449" ht="15.75" customHeight="1">
      <c r="A1449" s="1" t="s">
        <v>1748</v>
      </c>
      <c r="B1449" s="13" t="str">
        <f t="shared" si="1"/>
        <v>Jeremy</v>
      </c>
      <c r="C1449" s="13" t="str">
        <f t="shared" si="2"/>
        <v>Butler</v>
      </c>
      <c r="D1449" s="13" t="str">
        <f t="shared" si="3"/>
        <v>#N/A</v>
      </c>
      <c r="E1449" s="1" t="s">
        <v>69</v>
      </c>
    </row>
    <row r="1450" ht="15.75" customHeight="1">
      <c r="A1450" s="1" t="s">
        <v>1750</v>
      </c>
      <c r="B1450" s="13" t="str">
        <f t="shared" si="1"/>
        <v>Jeremy</v>
      </c>
      <c r="C1450" s="13" t="str">
        <f t="shared" si="2"/>
        <v>Cox</v>
      </c>
      <c r="D1450" s="13" t="str">
        <f t="shared" si="3"/>
        <v>#N/A</v>
      </c>
      <c r="E1450" s="1" t="s">
        <v>66</v>
      </c>
    </row>
    <row r="1451" ht="15.75" customHeight="1">
      <c r="A1451" s="1" t="s">
        <v>1751</v>
      </c>
      <c r="B1451" s="13" t="str">
        <f t="shared" si="1"/>
        <v>Jeremy</v>
      </c>
      <c r="C1451" s="13" t="str">
        <f t="shared" si="2"/>
        <v>Ebert</v>
      </c>
      <c r="D1451" s="13" t="str">
        <f t="shared" si="3"/>
        <v>#N/A</v>
      </c>
      <c r="E1451" s="1" t="s">
        <v>69</v>
      </c>
    </row>
    <row r="1452" ht="15.75" customHeight="1">
      <c r="A1452" s="1" t="s">
        <v>1752</v>
      </c>
      <c r="B1452" s="13" t="str">
        <f t="shared" si="1"/>
        <v>Jeremy</v>
      </c>
      <c r="C1452" s="13" t="str">
        <f t="shared" si="2"/>
        <v>Eddington</v>
      </c>
      <c r="D1452" s="13" t="str">
        <f t="shared" si="3"/>
        <v>#N/A</v>
      </c>
      <c r="E1452" s="1" t="s">
        <v>68</v>
      </c>
    </row>
    <row r="1453" ht="15.75" customHeight="1">
      <c r="A1453" s="1" t="s">
        <v>1753</v>
      </c>
      <c r="B1453" s="13" t="str">
        <f t="shared" si="1"/>
        <v>Jeremy</v>
      </c>
      <c r="C1453" s="13" t="str">
        <f t="shared" si="2"/>
        <v>Gallon</v>
      </c>
      <c r="D1453" s="13" t="str">
        <f t="shared" si="3"/>
        <v>#N/A</v>
      </c>
      <c r="E1453" s="1" t="s">
        <v>69</v>
      </c>
    </row>
    <row r="1454" ht="15.75" customHeight="1">
      <c r="A1454" s="1" t="s">
        <v>1707</v>
      </c>
      <c r="B1454" s="13" t="str">
        <f t="shared" si="1"/>
        <v>Jeremy</v>
      </c>
      <c r="C1454" s="13" t="str">
        <f t="shared" si="2"/>
        <v>Hill</v>
      </c>
      <c r="D1454" s="13" t="str">
        <f t="shared" si="3"/>
        <v>#N/A</v>
      </c>
      <c r="E1454" s="1" t="s">
        <v>66</v>
      </c>
    </row>
    <row r="1455" ht="15.75" customHeight="1">
      <c r="A1455" s="1" t="s">
        <v>1754</v>
      </c>
      <c r="B1455" s="13" t="str">
        <f t="shared" si="1"/>
        <v>Jeremy</v>
      </c>
      <c r="C1455" s="13" t="str">
        <f t="shared" si="2"/>
        <v>Johnson</v>
      </c>
      <c r="D1455" s="13" t="str">
        <f t="shared" si="3"/>
        <v>#N/A</v>
      </c>
      <c r="E1455" s="1" t="s">
        <v>69</v>
      </c>
    </row>
    <row r="1456" ht="15.75" customHeight="1">
      <c r="A1456" s="1" t="s">
        <v>1755</v>
      </c>
      <c r="B1456" s="13" t="str">
        <f t="shared" si="1"/>
        <v>Jeremy</v>
      </c>
      <c r="C1456" s="13" t="str">
        <f t="shared" si="2"/>
        <v>Kerley</v>
      </c>
      <c r="D1456" s="13" t="str">
        <f t="shared" si="3"/>
        <v>#N/A</v>
      </c>
      <c r="E1456" s="1" t="s">
        <v>69</v>
      </c>
    </row>
    <row r="1457" ht="15.75" customHeight="1">
      <c r="A1457" s="1" t="s">
        <v>1756</v>
      </c>
      <c r="B1457" s="13" t="str">
        <f t="shared" si="1"/>
        <v>Jeremy</v>
      </c>
      <c r="C1457" s="13" t="str">
        <f t="shared" si="2"/>
        <v>Langford</v>
      </c>
      <c r="D1457" s="13" t="str">
        <f t="shared" si="3"/>
        <v>#N/A</v>
      </c>
      <c r="E1457" s="1" t="s">
        <v>66</v>
      </c>
    </row>
    <row r="1458" ht="15.75" customHeight="1">
      <c r="A1458" s="1" t="s">
        <v>1682</v>
      </c>
      <c r="B1458" s="13" t="str">
        <f t="shared" si="1"/>
        <v>Jeremy</v>
      </c>
      <c r="C1458" s="13" t="str">
        <f t="shared" si="2"/>
        <v>Maclin</v>
      </c>
      <c r="D1458" s="13" t="str">
        <f t="shared" si="3"/>
        <v>#N/A</v>
      </c>
      <c r="E1458" s="1" t="s">
        <v>69</v>
      </c>
    </row>
    <row r="1459" ht="15.75" customHeight="1">
      <c r="A1459" s="1" t="s">
        <v>1757</v>
      </c>
      <c r="B1459" s="13" t="str">
        <f t="shared" si="1"/>
        <v>Jeremy</v>
      </c>
      <c r="C1459" s="13" t="str">
        <f t="shared" si="2"/>
        <v>McNichols</v>
      </c>
      <c r="D1459" s="13" t="str">
        <f t="shared" si="3"/>
        <v>#N/A</v>
      </c>
      <c r="E1459" s="1" t="s">
        <v>66</v>
      </c>
    </row>
    <row r="1460" ht="15.75" customHeight="1">
      <c r="A1460" s="1" t="s">
        <v>1758</v>
      </c>
      <c r="B1460" s="13" t="str">
        <f t="shared" si="1"/>
        <v>Jeremy</v>
      </c>
      <c r="C1460" s="13" t="str">
        <f t="shared" si="2"/>
        <v>Ross</v>
      </c>
      <c r="D1460" s="13" t="str">
        <f t="shared" si="3"/>
        <v>#N/A</v>
      </c>
      <c r="E1460" s="1" t="s">
        <v>69</v>
      </c>
    </row>
    <row r="1461" ht="15.75" customHeight="1">
      <c r="A1461" s="1" t="s">
        <v>1759</v>
      </c>
      <c r="B1461" s="13" t="str">
        <f t="shared" si="1"/>
        <v>Jeremy</v>
      </c>
      <c r="C1461" s="13" t="str">
        <f t="shared" si="2"/>
        <v>Ruckert</v>
      </c>
      <c r="D1461" s="13" t="str">
        <f t="shared" si="3"/>
        <v>#N/A</v>
      </c>
      <c r="E1461" s="1" t="s">
        <v>68</v>
      </c>
    </row>
    <row r="1462" ht="15.75" customHeight="1">
      <c r="A1462" s="1" t="s">
        <v>1760</v>
      </c>
      <c r="B1462" s="13" t="str">
        <f t="shared" si="1"/>
        <v>Jeremy</v>
      </c>
      <c r="C1462" s="13" t="str">
        <f t="shared" si="2"/>
        <v>Sprinkle</v>
      </c>
      <c r="D1462" s="13" t="str">
        <f t="shared" si="3"/>
        <v>#N/A</v>
      </c>
      <c r="E1462" s="1" t="s">
        <v>68</v>
      </c>
    </row>
    <row r="1463" ht="15.75" customHeight="1">
      <c r="A1463" s="1" t="s">
        <v>1761</v>
      </c>
      <c r="B1463" s="13" t="str">
        <f t="shared" si="1"/>
        <v>Jeremy</v>
      </c>
      <c r="C1463" s="13" t="str">
        <f t="shared" si="2"/>
        <v>Stewart</v>
      </c>
      <c r="D1463" s="13" t="str">
        <f t="shared" si="3"/>
        <v>#N/A</v>
      </c>
      <c r="E1463" s="1" t="s">
        <v>66</v>
      </c>
    </row>
    <row r="1464" ht="15.75" customHeight="1">
      <c r="A1464" s="1" t="s">
        <v>1762</v>
      </c>
      <c r="B1464" s="13" t="str">
        <f t="shared" si="1"/>
        <v>Jerick</v>
      </c>
      <c r="C1464" s="13" t="str">
        <f t="shared" si="2"/>
        <v>McKinnon</v>
      </c>
      <c r="D1464" s="13" t="str">
        <f t="shared" si="3"/>
        <v>#N/A</v>
      </c>
      <c r="E1464" s="1" t="s">
        <v>66</v>
      </c>
    </row>
    <row r="1465" ht="15.75" customHeight="1">
      <c r="A1465" s="1" t="s">
        <v>1763</v>
      </c>
      <c r="B1465" s="13" t="str">
        <f t="shared" si="1"/>
        <v>Jermaine</v>
      </c>
      <c r="C1465" s="13" t="str">
        <f t="shared" si="2"/>
        <v>Burton</v>
      </c>
      <c r="D1465" s="13" t="str">
        <f t="shared" si="3"/>
        <v>#N/A</v>
      </c>
      <c r="E1465" s="1" t="s">
        <v>69</v>
      </c>
    </row>
    <row r="1466" ht="15.75" customHeight="1">
      <c r="A1466" s="1" t="s">
        <v>1764</v>
      </c>
      <c r="B1466" s="13" t="str">
        <f t="shared" si="1"/>
        <v>Jermaine</v>
      </c>
      <c r="C1466" s="13" t="str">
        <f t="shared" si="2"/>
        <v>Gresham</v>
      </c>
      <c r="D1466" s="13" t="str">
        <f t="shared" si="3"/>
        <v>#N/A</v>
      </c>
      <c r="E1466" s="1" t="s">
        <v>68</v>
      </c>
    </row>
    <row r="1467" ht="15.75" customHeight="1">
      <c r="A1467" s="1" t="s">
        <v>1765</v>
      </c>
      <c r="B1467" s="13" t="str">
        <f t="shared" si="1"/>
        <v>Jermaine</v>
      </c>
      <c r="C1467" s="13" t="str">
        <f t="shared" si="2"/>
        <v>Jones</v>
      </c>
      <c r="D1467" s="13" t="str">
        <f t="shared" si="3"/>
        <v>#N/A</v>
      </c>
      <c r="E1467" s="1" t="s">
        <v>69</v>
      </c>
    </row>
    <row r="1468" ht="15.75" customHeight="1">
      <c r="A1468" s="1" t="s">
        <v>1766</v>
      </c>
      <c r="B1468" s="13" t="str">
        <f t="shared" si="1"/>
        <v>Jermaine</v>
      </c>
      <c r="C1468" s="13" t="str">
        <f t="shared" si="2"/>
        <v>Kearse</v>
      </c>
      <c r="D1468" s="13" t="str">
        <f t="shared" si="3"/>
        <v>#N/A</v>
      </c>
      <c r="E1468" s="1" t="s">
        <v>69</v>
      </c>
    </row>
    <row r="1469" ht="15.75" customHeight="1">
      <c r="A1469" s="1" t="s">
        <v>1767</v>
      </c>
      <c r="B1469" s="13" t="str">
        <f t="shared" si="1"/>
        <v>Jermar</v>
      </c>
      <c r="C1469" s="13" t="str">
        <f t="shared" si="2"/>
        <v>Jefferson</v>
      </c>
      <c r="D1469" s="13" t="str">
        <f t="shared" si="3"/>
        <v>#N/A</v>
      </c>
      <c r="E1469" s="1" t="s">
        <v>66</v>
      </c>
    </row>
    <row r="1470" ht="15.75" customHeight="1">
      <c r="A1470" s="1" t="s">
        <v>1768</v>
      </c>
      <c r="B1470" s="13" t="str">
        <f t="shared" si="1"/>
        <v>Jermichael</v>
      </c>
      <c r="C1470" s="13" t="str">
        <f t="shared" si="2"/>
        <v>Finley</v>
      </c>
      <c r="D1470" s="13" t="str">
        <f t="shared" si="3"/>
        <v>#N/A</v>
      </c>
      <c r="E1470" s="1" t="s">
        <v>68</v>
      </c>
    </row>
    <row r="1471" ht="15.75" customHeight="1">
      <c r="A1471" s="1" t="s">
        <v>1769</v>
      </c>
      <c r="B1471" s="13" t="str">
        <f t="shared" si="1"/>
        <v>Jerod</v>
      </c>
      <c r="C1471" s="13" t="str">
        <f t="shared" si="2"/>
        <v>Evans</v>
      </c>
      <c r="D1471" s="13" t="str">
        <f t="shared" si="3"/>
        <v>#N/A</v>
      </c>
      <c r="E1471" s="1" t="s">
        <v>65</v>
      </c>
    </row>
    <row r="1472" ht="15.75" customHeight="1">
      <c r="A1472" s="1" t="s">
        <v>1770</v>
      </c>
      <c r="B1472" s="13" t="str">
        <f t="shared" si="1"/>
        <v>Jerome</v>
      </c>
      <c r="C1472" s="13" t="str">
        <f t="shared" si="2"/>
        <v>Cunningham</v>
      </c>
      <c r="D1472" s="13" t="str">
        <f t="shared" si="3"/>
        <v>#N/A</v>
      </c>
      <c r="E1472" s="1" t="s">
        <v>68</v>
      </c>
    </row>
    <row r="1473" ht="15.75" customHeight="1">
      <c r="A1473" s="1" t="s">
        <v>1771</v>
      </c>
      <c r="B1473" s="13" t="str">
        <f t="shared" si="1"/>
        <v>Jerome</v>
      </c>
      <c r="C1473" s="13" t="str">
        <f t="shared" si="2"/>
        <v>Ford</v>
      </c>
      <c r="D1473" s="13" t="str">
        <f t="shared" si="3"/>
        <v>#N/A</v>
      </c>
      <c r="E1473" s="1" t="s">
        <v>66</v>
      </c>
    </row>
    <row r="1474" ht="15.75" customHeight="1">
      <c r="A1474" s="1" t="s">
        <v>1772</v>
      </c>
      <c r="B1474" s="13" t="str">
        <f t="shared" si="1"/>
        <v>Jerome</v>
      </c>
      <c r="C1474" s="13" t="str">
        <f t="shared" si="2"/>
        <v>Lane</v>
      </c>
      <c r="D1474" s="13" t="str">
        <f t="shared" si="3"/>
        <v>#N/A</v>
      </c>
      <c r="E1474" s="1" t="s">
        <v>69</v>
      </c>
    </row>
    <row r="1475" ht="15.75" customHeight="1">
      <c r="A1475" s="1" t="s">
        <v>1773</v>
      </c>
      <c r="B1475" s="13" t="str">
        <f t="shared" si="1"/>
        <v>Jerome</v>
      </c>
      <c r="C1475" s="13" t="str">
        <f t="shared" si="2"/>
        <v>Simpson</v>
      </c>
      <c r="D1475" s="13" t="str">
        <f t="shared" si="3"/>
        <v>#N/A</v>
      </c>
      <c r="E1475" s="1" t="s">
        <v>69</v>
      </c>
    </row>
    <row r="1476" ht="15.75" customHeight="1">
      <c r="A1476" s="1" t="s">
        <v>1774</v>
      </c>
      <c r="B1476" s="13" t="str">
        <f t="shared" si="1"/>
        <v>Jerome</v>
      </c>
      <c r="C1476" s="13" t="str">
        <f t="shared" si="2"/>
        <v>Smith</v>
      </c>
      <c r="D1476" s="13" t="str">
        <f t="shared" si="3"/>
        <v>#N/A</v>
      </c>
      <c r="E1476" s="1" t="s">
        <v>66</v>
      </c>
    </row>
    <row r="1477" ht="15.75" customHeight="1">
      <c r="A1477" s="1" t="s">
        <v>1775</v>
      </c>
      <c r="B1477" s="13" t="str">
        <f t="shared" si="1"/>
        <v>Jerome</v>
      </c>
      <c r="C1477" s="13" t="str">
        <f t="shared" si="2"/>
        <v>Washington</v>
      </c>
      <c r="D1477" s="13" t="str">
        <f t="shared" si="3"/>
        <v>#N/A</v>
      </c>
      <c r="E1477" s="1" t="s">
        <v>68</v>
      </c>
    </row>
    <row r="1478" ht="15.75" customHeight="1">
      <c r="A1478" s="1" t="s">
        <v>1776</v>
      </c>
      <c r="B1478" s="13" t="str">
        <f t="shared" si="1"/>
        <v>Je'Ron</v>
      </c>
      <c r="C1478" s="13" t="str">
        <f t="shared" si="2"/>
        <v>Hamm</v>
      </c>
      <c r="D1478" s="13" t="str">
        <f t="shared" si="3"/>
        <v>#N/A</v>
      </c>
      <c r="E1478" s="1" t="s">
        <v>68</v>
      </c>
    </row>
    <row r="1479" ht="15.75" customHeight="1">
      <c r="A1479" s="1" t="s">
        <v>1777</v>
      </c>
      <c r="B1479" s="13" t="str">
        <f t="shared" si="1"/>
        <v>Jerrel</v>
      </c>
      <c r="C1479" s="13" t="str">
        <f t="shared" si="2"/>
        <v>Jernigan</v>
      </c>
      <c r="D1479" s="13" t="str">
        <f t="shared" si="3"/>
        <v>#N/A</v>
      </c>
      <c r="E1479" s="1" t="s">
        <v>69</v>
      </c>
    </row>
    <row r="1480" ht="15.75" customHeight="1">
      <c r="A1480" s="1" t="s">
        <v>1778</v>
      </c>
      <c r="B1480" s="13" t="str">
        <f t="shared" si="1"/>
        <v>Jerreth</v>
      </c>
      <c r="C1480" s="13" t="str">
        <f t="shared" si="2"/>
        <v>Sterns</v>
      </c>
      <c r="D1480" s="13" t="str">
        <f t="shared" si="3"/>
        <v>#N/A</v>
      </c>
      <c r="E1480" s="1" t="s">
        <v>69</v>
      </c>
    </row>
    <row r="1481" ht="15.75" customHeight="1">
      <c r="A1481" s="1" t="s">
        <v>1779</v>
      </c>
      <c r="B1481" s="13" t="str">
        <f t="shared" si="1"/>
        <v>Jerricho</v>
      </c>
      <c r="C1481" s="13" t="str">
        <f t="shared" si="2"/>
        <v>Cotchery</v>
      </c>
      <c r="D1481" s="13" t="str">
        <f t="shared" si="3"/>
        <v>#N/A</v>
      </c>
      <c r="E1481" s="1" t="s">
        <v>69</v>
      </c>
    </row>
    <row r="1482" ht="15.75" customHeight="1">
      <c r="A1482" s="1" t="s">
        <v>1781</v>
      </c>
      <c r="B1482" s="13" t="str">
        <f t="shared" si="1"/>
        <v>Jerrion</v>
      </c>
      <c r="C1482" s="13" t="str">
        <f t="shared" si="2"/>
        <v>Ealy</v>
      </c>
      <c r="D1482" s="13" t="str">
        <f t="shared" si="3"/>
        <v>#N/A</v>
      </c>
      <c r="E1482" s="1" t="s">
        <v>66</v>
      </c>
    </row>
    <row r="1483" ht="15.75" customHeight="1">
      <c r="A1483" s="1" t="s">
        <v>84</v>
      </c>
      <c r="B1483" s="13" t="str">
        <f t="shared" si="1"/>
        <v>Jerry</v>
      </c>
      <c r="C1483" s="13" t="str">
        <f t="shared" si="2"/>
        <v>Jeudy</v>
      </c>
      <c r="D1483" s="13" t="str">
        <f t="shared" si="3"/>
        <v>#N/A</v>
      </c>
      <c r="E1483" s="1" t="s">
        <v>69</v>
      </c>
    </row>
    <row r="1484" ht="15.75" customHeight="1">
      <c r="A1484" s="1" t="s">
        <v>1782</v>
      </c>
      <c r="B1484" s="13" t="str">
        <f t="shared" si="1"/>
        <v>Jerry</v>
      </c>
      <c r="C1484" s="13" t="str">
        <f t="shared" si="2"/>
        <v>Lovelocke</v>
      </c>
      <c r="D1484" s="13" t="str">
        <f t="shared" si="3"/>
        <v>#N/A</v>
      </c>
      <c r="E1484" s="1" t="s">
        <v>65</v>
      </c>
    </row>
    <row r="1485" ht="15.75" customHeight="1">
      <c r="A1485" s="1" t="s">
        <v>1783</v>
      </c>
      <c r="B1485" s="13" t="str">
        <f t="shared" si="1"/>
        <v>Jerry</v>
      </c>
      <c r="C1485" s="13" t="str">
        <f t="shared" si="2"/>
        <v>Rice</v>
      </c>
      <c r="D1485" s="13" t="str">
        <f t="shared" si="3"/>
        <v>#N/A</v>
      </c>
      <c r="E1485" s="1" t="s">
        <v>69</v>
      </c>
    </row>
    <row r="1486" ht="15.75" customHeight="1">
      <c r="A1486" s="1" t="s">
        <v>1785</v>
      </c>
      <c r="B1486" s="13" t="str">
        <f t="shared" si="1"/>
        <v>Jesper</v>
      </c>
      <c r="C1486" s="13" t="str">
        <f t="shared" si="2"/>
        <v>Horsted</v>
      </c>
      <c r="D1486" s="13" t="str">
        <f t="shared" si="3"/>
        <v>#N/A</v>
      </c>
      <c r="E1486" s="1" t="s">
        <v>68</v>
      </c>
    </row>
    <row r="1487" ht="15.75" customHeight="1">
      <c r="A1487" s="1" t="s">
        <v>1786</v>
      </c>
      <c r="B1487" s="13" t="str">
        <f t="shared" si="1"/>
        <v>Jesse</v>
      </c>
      <c r="C1487" s="13" t="str">
        <f t="shared" si="2"/>
        <v>James</v>
      </c>
      <c r="D1487" s="13" t="str">
        <f t="shared" si="3"/>
        <v>#N/A</v>
      </c>
      <c r="E1487" s="1" t="s">
        <v>68</v>
      </c>
    </row>
    <row r="1488" ht="15.75" customHeight="1">
      <c r="A1488" s="1" t="s">
        <v>1787</v>
      </c>
      <c r="B1488" s="13" t="str">
        <f t="shared" si="1"/>
        <v>Jester</v>
      </c>
      <c r="C1488" s="13" t="str">
        <f t="shared" si="2"/>
        <v>Weah</v>
      </c>
      <c r="D1488" s="13" t="str">
        <f t="shared" si="3"/>
        <v>#N/A</v>
      </c>
      <c r="E1488" s="1" t="s">
        <v>69</v>
      </c>
    </row>
    <row r="1489" ht="15.75" customHeight="1">
      <c r="A1489" s="1" t="s">
        <v>1788</v>
      </c>
      <c r="B1489" s="13" t="str">
        <f t="shared" si="1"/>
        <v>Jevoni</v>
      </c>
      <c r="C1489" s="13" t="str">
        <f t="shared" si="2"/>
        <v>Robinson</v>
      </c>
      <c r="D1489" s="13" t="str">
        <f t="shared" si="3"/>
        <v>#N/A</v>
      </c>
      <c r="E1489" s="1" t="s">
        <v>68</v>
      </c>
    </row>
    <row r="1490" ht="15.75" customHeight="1">
      <c r="A1490" s="1" t="s">
        <v>1789</v>
      </c>
      <c r="B1490" s="13" t="str">
        <f t="shared" si="1"/>
        <v>Jewel</v>
      </c>
      <c r="C1490" s="13" t="str">
        <f t="shared" si="2"/>
        <v>Hampton</v>
      </c>
      <c r="D1490" s="13" t="str">
        <f t="shared" si="3"/>
        <v>#N/A</v>
      </c>
      <c r="E1490" s="1" t="s">
        <v>66</v>
      </c>
    </row>
    <row r="1491" ht="15.75" customHeight="1">
      <c r="A1491" s="1" t="s">
        <v>1790</v>
      </c>
      <c r="B1491" s="13" t="str">
        <f t="shared" si="1"/>
        <v>Jhajuan</v>
      </c>
      <c r="C1491" s="13" t="str">
        <f t="shared" si="2"/>
        <v>Seales</v>
      </c>
      <c r="D1491" s="13" t="str">
        <f t="shared" si="3"/>
        <v>#N/A</v>
      </c>
      <c r="E1491" s="1" t="s">
        <v>69</v>
      </c>
    </row>
    <row r="1492" ht="15.75" customHeight="1">
      <c r="A1492" s="1" t="s">
        <v>1792</v>
      </c>
      <c r="B1492" s="13" t="str">
        <f t="shared" si="1"/>
        <v>Jhamon</v>
      </c>
      <c r="C1492" s="13" t="str">
        <f t="shared" si="2"/>
        <v>Ausbon</v>
      </c>
      <c r="D1492" s="13" t="str">
        <f t="shared" si="3"/>
        <v>#N/A</v>
      </c>
      <c r="E1492" s="1" t="s">
        <v>69</v>
      </c>
    </row>
    <row r="1493" ht="15.75" customHeight="1">
      <c r="A1493" s="1" t="s">
        <v>1793</v>
      </c>
      <c r="B1493" s="13" t="str">
        <f t="shared" si="1"/>
        <v>Jhurell</v>
      </c>
      <c r="C1493" s="13" t="str">
        <f t="shared" si="2"/>
        <v>Pressley</v>
      </c>
      <c r="D1493" s="13" t="str">
        <f t="shared" si="3"/>
        <v>#N/A</v>
      </c>
      <c r="E1493" s="1" t="s">
        <v>66</v>
      </c>
    </row>
    <row r="1494" ht="15.75" customHeight="1">
      <c r="A1494" s="1" t="s">
        <v>1794</v>
      </c>
      <c r="B1494" s="13" t="str">
        <f t="shared" si="1"/>
        <v>Jim</v>
      </c>
      <c r="C1494" s="13" t="str">
        <f t="shared" si="2"/>
        <v>Dray</v>
      </c>
      <c r="D1494" s="13" t="str">
        <f t="shared" si="3"/>
        <v>#N/A</v>
      </c>
      <c r="E1494" s="1" t="s">
        <v>68</v>
      </c>
    </row>
    <row r="1495" ht="15.75" customHeight="1">
      <c r="A1495" s="1" t="s">
        <v>1795</v>
      </c>
      <c r="B1495" s="13" t="str">
        <f t="shared" si="1"/>
        <v>Jimmie</v>
      </c>
      <c r="C1495" s="13" t="str">
        <f t="shared" si="2"/>
        <v>Hunt</v>
      </c>
      <c r="D1495" s="13" t="str">
        <f t="shared" si="3"/>
        <v>#N/A</v>
      </c>
      <c r="E1495" s="1" t="s">
        <v>69</v>
      </c>
    </row>
    <row r="1496" ht="15.75" customHeight="1">
      <c r="A1496" s="1" t="s">
        <v>505</v>
      </c>
      <c r="B1496" s="13" t="str">
        <f t="shared" si="1"/>
        <v>Jimmy</v>
      </c>
      <c r="C1496" s="13" t="str">
        <f t="shared" si="2"/>
        <v>Garoppolo</v>
      </c>
      <c r="D1496" s="13" t="str">
        <f t="shared" si="3"/>
        <v>#N/A</v>
      </c>
      <c r="E1496" s="1" t="s">
        <v>65</v>
      </c>
    </row>
    <row r="1497" ht="15.75" customHeight="1">
      <c r="A1497" s="1" t="s">
        <v>1467</v>
      </c>
      <c r="B1497" s="13" t="str">
        <f t="shared" si="1"/>
        <v>Jimmy</v>
      </c>
      <c r="C1497" s="13" t="str">
        <f t="shared" si="2"/>
        <v>Graham</v>
      </c>
      <c r="D1497" s="13" t="str">
        <f t="shared" si="3"/>
        <v>#N/A</v>
      </c>
      <c r="E1497" s="1" t="s">
        <v>68</v>
      </c>
    </row>
    <row r="1498" ht="15.75" customHeight="1">
      <c r="A1498" s="1" t="s">
        <v>1796</v>
      </c>
      <c r="B1498" s="13" t="str">
        <f t="shared" si="1"/>
        <v>Jirehl</v>
      </c>
      <c r="C1498" s="13" t="str">
        <f t="shared" si="2"/>
        <v>Brock</v>
      </c>
      <c r="D1498" s="13" t="str">
        <f t="shared" si="3"/>
        <v>#N/A</v>
      </c>
      <c r="E1498" s="1" t="s">
        <v>66</v>
      </c>
    </row>
    <row r="1499" ht="15.75" customHeight="1">
      <c r="A1499" s="1" t="s">
        <v>1797</v>
      </c>
      <c r="B1499" s="13" t="str">
        <f t="shared" si="1"/>
        <v>J'Mon</v>
      </c>
      <c r="C1499" s="13" t="str">
        <f t="shared" si="2"/>
        <v>Moore</v>
      </c>
      <c r="D1499" s="13" t="str">
        <f t="shared" si="3"/>
        <v>#N/A</v>
      </c>
      <c r="E1499" s="1" t="s">
        <v>69</v>
      </c>
    </row>
    <row r="1500" ht="15.75" customHeight="1">
      <c r="A1500" s="1" t="s">
        <v>1798</v>
      </c>
      <c r="B1500" s="13" t="str">
        <f t="shared" si="1"/>
        <v>Jody</v>
      </c>
      <c r="C1500" s="13" t="str">
        <f t="shared" si="2"/>
        <v>Fortson</v>
      </c>
      <c r="D1500" s="13" t="str">
        <f t="shared" si="3"/>
        <v>#N/A</v>
      </c>
      <c r="E1500" s="1" t="s">
        <v>68</v>
      </c>
    </row>
    <row r="1501" ht="15.75" customHeight="1">
      <c r="A1501" s="1" t="s">
        <v>1799</v>
      </c>
      <c r="B1501" s="13" t="str">
        <f t="shared" si="1"/>
        <v>Joe</v>
      </c>
      <c r="C1501" s="13" t="str">
        <f t="shared" si="2"/>
        <v>Banyard</v>
      </c>
      <c r="D1501" s="13" t="str">
        <f t="shared" si="3"/>
        <v>#N/A</v>
      </c>
      <c r="E1501" s="1" t="s">
        <v>66</v>
      </c>
    </row>
    <row r="1502" ht="15.75" customHeight="1">
      <c r="A1502" s="1" t="s">
        <v>285</v>
      </c>
      <c r="B1502" s="13" t="str">
        <f t="shared" si="1"/>
        <v>Joe</v>
      </c>
      <c r="C1502" s="13" t="str">
        <f t="shared" si="2"/>
        <v>Burrow</v>
      </c>
      <c r="D1502" s="13" t="str">
        <f t="shared" si="3"/>
        <v>#N/A</v>
      </c>
      <c r="E1502" s="1" t="s">
        <v>65</v>
      </c>
    </row>
    <row r="1503" ht="15.75" customHeight="1">
      <c r="A1503" s="1" t="s">
        <v>1800</v>
      </c>
      <c r="B1503" s="13" t="str">
        <f t="shared" si="1"/>
        <v>Joe</v>
      </c>
      <c r="C1503" s="13" t="str">
        <f t="shared" si="2"/>
        <v>Callahan</v>
      </c>
      <c r="D1503" s="13" t="str">
        <f t="shared" si="3"/>
        <v>#N/A</v>
      </c>
      <c r="E1503" s="1" t="s">
        <v>65</v>
      </c>
    </row>
    <row r="1504" ht="15.75" customHeight="1">
      <c r="A1504" s="1" t="s">
        <v>1801</v>
      </c>
      <c r="B1504" s="13" t="str">
        <f t="shared" si="1"/>
        <v>Joe</v>
      </c>
      <c r="C1504" s="13" t="str">
        <f t="shared" si="2"/>
        <v>Don Duncan</v>
      </c>
      <c r="D1504" s="13" t="str">
        <f t="shared" si="3"/>
        <v>#N/A</v>
      </c>
      <c r="E1504" s="1" t="s">
        <v>68</v>
      </c>
    </row>
    <row r="1505" ht="15.75" customHeight="1">
      <c r="A1505" s="1" t="s">
        <v>1802</v>
      </c>
      <c r="B1505" s="13" t="str">
        <f t="shared" si="1"/>
        <v>Joe</v>
      </c>
      <c r="C1505" s="13" t="str">
        <f t="shared" si="2"/>
        <v>Flacco</v>
      </c>
      <c r="D1505" s="13" t="str">
        <f t="shared" si="3"/>
        <v>#N/A</v>
      </c>
      <c r="E1505" s="1" t="s">
        <v>65</v>
      </c>
    </row>
    <row r="1506" ht="15.75" customHeight="1">
      <c r="A1506" s="1" t="s">
        <v>1803</v>
      </c>
      <c r="B1506" s="13" t="str">
        <f t="shared" si="1"/>
        <v>Joe</v>
      </c>
      <c r="C1506" s="13" t="str">
        <f t="shared" si="2"/>
        <v>Horn</v>
      </c>
      <c r="D1506" s="13" t="str">
        <f t="shared" si="3"/>
        <v>#N/A</v>
      </c>
      <c r="E1506" s="1" t="s">
        <v>69</v>
      </c>
    </row>
    <row r="1507" ht="15.75" customHeight="1">
      <c r="A1507" s="1" t="s">
        <v>1804</v>
      </c>
      <c r="B1507" s="13" t="str">
        <f t="shared" si="1"/>
        <v>Joe</v>
      </c>
      <c r="C1507" s="13" t="str">
        <f t="shared" si="2"/>
        <v>J Horn</v>
      </c>
      <c r="D1507" s="13" t="str">
        <f t="shared" si="3"/>
        <v>#N/A</v>
      </c>
      <c r="E1507" s="1" t="s">
        <v>69</v>
      </c>
    </row>
    <row r="1508" ht="15.75" customHeight="1">
      <c r="A1508" s="1" t="s">
        <v>1805</v>
      </c>
      <c r="B1508" s="13" t="str">
        <f t="shared" si="1"/>
        <v>Joe</v>
      </c>
      <c r="C1508" s="13" t="str">
        <f t="shared" si="2"/>
        <v>Kerridge</v>
      </c>
      <c r="D1508" s="13" t="str">
        <f t="shared" si="3"/>
        <v>#N/A</v>
      </c>
      <c r="E1508" s="1" t="s">
        <v>66</v>
      </c>
    </row>
    <row r="1509" ht="15.75" customHeight="1">
      <c r="A1509" s="1" t="s">
        <v>1806</v>
      </c>
      <c r="B1509" s="13" t="str">
        <f t="shared" si="1"/>
        <v>Joe</v>
      </c>
      <c r="C1509" s="13" t="str">
        <f t="shared" si="2"/>
        <v>Licata</v>
      </c>
      <c r="D1509" s="13" t="str">
        <f t="shared" si="3"/>
        <v>#N/A</v>
      </c>
      <c r="E1509" s="1" t="s">
        <v>65</v>
      </c>
    </row>
    <row r="1510" ht="15.75" customHeight="1">
      <c r="A1510" s="1" t="s">
        <v>94</v>
      </c>
      <c r="B1510" s="13" t="str">
        <f t="shared" si="1"/>
        <v>Joe</v>
      </c>
      <c r="C1510" s="13" t="str">
        <f t="shared" si="2"/>
        <v>Mixon</v>
      </c>
      <c r="D1510" s="13" t="str">
        <f t="shared" si="3"/>
        <v>#N/A</v>
      </c>
      <c r="E1510" s="1" t="s">
        <v>66</v>
      </c>
    </row>
    <row r="1511" ht="15.75" customHeight="1">
      <c r="A1511" s="1" t="s">
        <v>1807</v>
      </c>
      <c r="B1511" s="13" t="str">
        <f t="shared" si="1"/>
        <v>Joe</v>
      </c>
      <c r="C1511" s="13" t="str">
        <f t="shared" si="2"/>
        <v>Morgan</v>
      </c>
      <c r="D1511" s="13" t="str">
        <f t="shared" si="3"/>
        <v>#N/A</v>
      </c>
      <c r="E1511" s="1" t="s">
        <v>69</v>
      </c>
    </row>
    <row r="1512" ht="15.75" customHeight="1">
      <c r="A1512" s="1" t="s">
        <v>1808</v>
      </c>
      <c r="B1512" s="13" t="str">
        <f t="shared" si="1"/>
        <v>Joe</v>
      </c>
      <c r="C1512" s="13" t="str">
        <f t="shared" si="2"/>
        <v>Ngata</v>
      </c>
      <c r="D1512" s="13" t="str">
        <f t="shared" si="3"/>
        <v>#N/A</v>
      </c>
      <c r="E1512" s="1" t="s">
        <v>69</v>
      </c>
    </row>
    <row r="1513" ht="15.75" customHeight="1">
      <c r="A1513" s="1" t="s">
        <v>1809</v>
      </c>
      <c r="B1513" s="13" t="str">
        <f t="shared" si="1"/>
        <v>Joe</v>
      </c>
      <c r="C1513" s="13" t="str">
        <f t="shared" si="2"/>
        <v>Parker</v>
      </c>
      <c r="D1513" s="13" t="str">
        <f t="shared" si="3"/>
        <v>#N/A</v>
      </c>
      <c r="E1513" s="1" t="s">
        <v>69</v>
      </c>
    </row>
    <row r="1514" ht="15.75" customHeight="1">
      <c r="A1514" s="1" t="s">
        <v>1810</v>
      </c>
      <c r="B1514" s="13" t="str">
        <f t="shared" si="1"/>
        <v>Joe</v>
      </c>
      <c r="C1514" s="13" t="str">
        <f t="shared" si="2"/>
        <v>Reed</v>
      </c>
      <c r="D1514" s="13" t="str">
        <f t="shared" si="3"/>
        <v>#N/A</v>
      </c>
      <c r="E1514" s="1" t="s">
        <v>69</v>
      </c>
    </row>
    <row r="1515" ht="15.75" customHeight="1">
      <c r="A1515" s="1" t="s">
        <v>1811</v>
      </c>
      <c r="B1515" s="13" t="str">
        <f t="shared" si="1"/>
        <v>Joe</v>
      </c>
      <c r="C1515" s="13" t="str">
        <f t="shared" si="2"/>
        <v>Walker</v>
      </c>
      <c r="D1515" s="13" t="str">
        <f t="shared" si="3"/>
        <v>#N/A</v>
      </c>
      <c r="E1515" s="1" t="s">
        <v>69</v>
      </c>
    </row>
    <row r="1516" ht="15.75" customHeight="1">
      <c r="A1516" s="1" t="s">
        <v>1812</v>
      </c>
      <c r="B1516" s="13" t="str">
        <f t="shared" si="1"/>
        <v>Joe</v>
      </c>
      <c r="C1516" s="13" t="str">
        <f t="shared" si="2"/>
        <v>Webb</v>
      </c>
      <c r="D1516" s="13" t="str">
        <f t="shared" si="3"/>
        <v>#N/A</v>
      </c>
      <c r="E1516" s="1" t="s">
        <v>65</v>
      </c>
    </row>
    <row r="1517" ht="15.75" customHeight="1">
      <c r="A1517" s="1" t="s">
        <v>1814</v>
      </c>
      <c r="B1517" s="13" t="str">
        <f t="shared" si="1"/>
        <v>Joe</v>
      </c>
      <c r="C1517" s="13" t="str">
        <f t="shared" si="2"/>
        <v>Williams</v>
      </c>
      <c r="D1517" s="13" t="str">
        <f t="shared" si="3"/>
        <v>#N/A</v>
      </c>
      <c r="E1517" s="1" t="s">
        <v>66</v>
      </c>
    </row>
    <row r="1518" ht="15.75" customHeight="1">
      <c r="A1518" s="1" t="s">
        <v>1815</v>
      </c>
      <c r="B1518" s="13" t="str">
        <f t="shared" si="1"/>
        <v>Joel</v>
      </c>
      <c r="C1518" s="13" t="str">
        <f t="shared" si="2"/>
        <v>Bouagnon</v>
      </c>
      <c r="D1518" s="13" t="str">
        <f t="shared" si="3"/>
        <v>#N/A</v>
      </c>
      <c r="E1518" s="1" t="s">
        <v>66</v>
      </c>
    </row>
    <row r="1519" ht="15.75" customHeight="1">
      <c r="A1519" s="1" t="s">
        <v>1816</v>
      </c>
      <c r="B1519" s="13" t="str">
        <f t="shared" si="1"/>
        <v>Joel</v>
      </c>
      <c r="C1519" s="13" t="str">
        <f t="shared" si="2"/>
        <v>Dreessen</v>
      </c>
      <c r="D1519" s="13" t="str">
        <f t="shared" si="3"/>
        <v>#N/A</v>
      </c>
      <c r="E1519" s="1" t="s">
        <v>68</v>
      </c>
    </row>
    <row r="1520" ht="15.75" customHeight="1">
      <c r="A1520" s="1" t="s">
        <v>1817</v>
      </c>
      <c r="B1520" s="13" t="str">
        <f t="shared" si="1"/>
        <v>Joel</v>
      </c>
      <c r="C1520" s="13" t="str">
        <f t="shared" si="2"/>
        <v>Stave</v>
      </c>
      <c r="D1520" s="13" t="str">
        <f t="shared" si="3"/>
        <v>#N/A</v>
      </c>
      <c r="E1520" s="1" t="s">
        <v>65</v>
      </c>
    </row>
    <row r="1521" ht="15.75" customHeight="1">
      <c r="A1521" s="1" t="s">
        <v>1818</v>
      </c>
      <c r="B1521" s="13" t="str">
        <f t="shared" si="1"/>
        <v>Joey</v>
      </c>
      <c r="C1521" s="13" t="str">
        <f t="shared" si="2"/>
        <v>Demartino</v>
      </c>
      <c r="D1521" s="13" t="str">
        <f t="shared" si="3"/>
        <v>#N/A</v>
      </c>
      <c r="E1521" s="1" t="s">
        <v>66</v>
      </c>
    </row>
    <row r="1522" ht="15.75" customHeight="1">
      <c r="A1522" s="1" t="s">
        <v>1819</v>
      </c>
      <c r="B1522" s="13" t="str">
        <f t="shared" si="1"/>
        <v>Joey</v>
      </c>
      <c r="C1522" s="13" t="str">
        <f t="shared" si="2"/>
        <v>Iosefa</v>
      </c>
      <c r="D1522" s="13" t="str">
        <f t="shared" si="3"/>
        <v>#N/A</v>
      </c>
      <c r="E1522" s="1" t="s">
        <v>66</v>
      </c>
    </row>
    <row r="1523" ht="15.75" customHeight="1">
      <c r="A1523" s="1" t="s">
        <v>1820</v>
      </c>
      <c r="B1523" s="13" t="str">
        <f t="shared" si="1"/>
        <v>Joey</v>
      </c>
      <c r="C1523" s="13" t="str">
        <f t="shared" si="2"/>
        <v>Magnifico</v>
      </c>
      <c r="D1523" s="13" t="str">
        <f t="shared" si="3"/>
        <v>#N/A</v>
      </c>
      <c r="E1523" s="1" t="s">
        <v>68</v>
      </c>
    </row>
    <row r="1524" ht="15.75" customHeight="1">
      <c r="A1524" s="1" t="s">
        <v>1821</v>
      </c>
      <c r="B1524" s="13" t="str">
        <f t="shared" si="1"/>
        <v>John</v>
      </c>
      <c r="C1524" s="13" t="str">
        <f t="shared" si="2"/>
        <v>Bates</v>
      </c>
      <c r="D1524" s="13" t="str">
        <f t="shared" si="3"/>
        <v>#N/A</v>
      </c>
      <c r="E1524" s="1" t="s">
        <v>68</v>
      </c>
    </row>
    <row r="1525" ht="15.75" customHeight="1">
      <c r="A1525" s="1" t="s">
        <v>485</v>
      </c>
      <c r="B1525" s="13" t="str">
        <f t="shared" si="1"/>
        <v>John</v>
      </c>
      <c r="C1525" s="13" t="str">
        <f t="shared" si="2"/>
        <v>Brown</v>
      </c>
      <c r="D1525" s="13" t="str">
        <f t="shared" si="3"/>
        <v>#N/A</v>
      </c>
      <c r="E1525" s="1" t="s">
        <v>69</v>
      </c>
    </row>
    <row r="1526" ht="15.75" customHeight="1">
      <c r="A1526" s="1" t="s">
        <v>1822</v>
      </c>
      <c r="B1526" s="13" t="str">
        <f t="shared" si="1"/>
        <v>John</v>
      </c>
      <c r="C1526" s="13" t="str">
        <f t="shared" si="2"/>
        <v>Carlson</v>
      </c>
      <c r="D1526" s="13" t="str">
        <f t="shared" si="3"/>
        <v>#N/A</v>
      </c>
      <c r="E1526" s="1" t="s">
        <v>68</v>
      </c>
    </row>
    <row r="1527" ht="15.75" customHeight="1">
      <c r="A1527" s="1" t="s">
        <v>1823</v>
      </c>
      <c r="B1527" s="13" t="str">
        <f t="shared" si="1"/>
        <v>John</v>
      </c>
      <c r="C1527" s="13" t="str">
        <f t="shared" si="2"/>
        <v>Crockett</v>
      </c>
      <c r="D1527" s="13" t="str">
        <f t="shared" si="3"/>
        <v>#N/A</v>
      </c>
      <c r="E1527" s="1" t="s">
        <v>66</v>
      </c>
    </row>
    <row r="1528" ht="15.75" customHeight="1">
      <c r="A1528" s="1" t="s">
        <v>1824</v>
      </c>
      <c r="B1528" s="13" t="str">
        <f t="shared" si="1"/>
        <v>John</v>
      </c>
      <c r="C1528" s="13" t="str">
        <f t="shared" si="2"/>
        <v>Emery</v>
      </c>
      <c r="D1528" s="13" t="str">
        <f t="shared" si="3"/>
        <v>#N/A</v>
      </c>
      <c r="E1528" s="1" t="s">
        <v>66</v>
      </c>
    </row>
    <row r="1529" ht="15.75" customHeight="1">
      <c r="A1529" s="1" t="s">
        <v>1825</v>
      </c>
      <c r="B1529" s="13" t="str">
        <f t="shared" si="1"/>
        <v>John</v>
      </c>
      <c r="C1529" s="13" t="str">
        <f t="shared" si="2"/>
        <v>FitzPatrick</v>
      </c>
      <c r="D1529" s="13" t="str">
        <f t="shared" si="3"/>
        <v>#N/A</v>
      </c>
      <c r="E1529" s="1" t="s">
        <v>68</v>
      </c>
    </row>
    <row r="1530" ht="15.75" customHeight="1">
      <c r="A1530" s="1" t="s">
        <v>1826</v>
      </c>
      <c r="B1530" s="13" t="str">
        <f t="shared" si="1"/>
        <v>John</v>
      </c>
      <c r="C1530" s="13" t="str">
        <f t="shared" si="2"/>
        <v>Harris</v>
      </c>
      <c r="D1530" s="13" t="str">
        <f t="shared" si="3"/>
        <v>#N/A</v>
      </c>
      <c r="E1530" s="1" t="s">
        <v>69</v>
      </c>
    </row>
    <row r="1531" ht="15.75" customHeight="1">
      <c r="A1531" s="1" t="s">
        <v>1827</v>
      </c>
      <c r="B1531" s="13" t="str">
        <f t="shared" si="1"/>
        <v>John</v>
      </c>
      <c r="C1531" s="13" t="str">
        <f t="shared" si="2"/>
        <v>Hightower</v>
      </c>
      <c r="D1531" s="13" t="str">
        <f t="shared" si="3"/>
        <v>#N/A</v>
      </c>
      <c r="E1531" s="1" t="s">
        <v>69</v>
      </c>
    </row>
    <row r="1532" ht="15.75" customHeight="1">
      <c r="A1532" s="1" t="s">
        <v>1828</v>
      </c>
      <c r="B1532" s="13" t="str">
        <f t="shared" si="1"/>
        <v>John</v>
      </c>
      <c r="C1532" s="13" t="str">
        <f t="shared" si="2"/>
        <v>Kelly</v>
      </c>
      <c r="D1532" s="13" t="str">
        <f t="shared" si="3"/>
        <v>#N/A</v>
      </c>
      <c r="E1532" s="1" t="s">
        <v>66</v>
      </c>
    </row>
    <row r="1533" ht="15.75" customHeight="1">
      <c r="A1533" s="1" t="s">
        <v>1829</v>
      </c>
      <c r="B1533" s="13" t="str">
        <f t="shared" si="1"/>
        <v>John</v>
      </c>
      <c r="C1533" s="13" t="str">
        <f t="shared" si="2"/>
        <v>Kuhn</v>
      </c>
      <c r="D1533" s="13" t="str">
        <f t="shared" si="3"/>
        <v>#N/A</v>
      </c>
      <c r="E1533" s="1" t="s">
        <v>66</v>
      </c>
    </row>
    <row r="1534" ht="15.75" customHeight="1">
      <c r="A1534" s="1" t="s">
        <v>1830</v>
      </c>
      <c r="B1534" s="13" t="str">
        <f t="shared" si="1"/>
        <v>John</v>
      </c>
      <c r="C1534" s="13" t="str">
        <f t="shared" si="2"/>
        <v>Lovett</v>
      </c>
      <c r="D1534" s="13" t="str">
        <f t="shared" si="3"/>
        <v>#N/A</v>
      </c>
      <c r="E1534" s="1" t="s">
        <v>68</v>
      </c>
    </row>
    <row r="1535" ht="15.75" customHeight="1">
      <c r="A1535" s="1" t="s">
        <v>1832</v>
      </c>
      <c r="B1535" s="13" t="str">
        <f t="shared" si="1"/>
        <v>John</v>
      </c>
      <c r="C1535" s="13" t="str">
        <f t="shared" si="2"/>
        <v>Metchie</v>
      </c>
      <c r="D1535" s="13" t="str">
        <f t="shared" si="3"/>
        <v>#N/A</v>
      </c>
      <c r="E1535" s="1" t="s">
        <v>69</v>
      </c>
    </row>
    <row r="1536" ht="15.75" customHeight="1">
      <c r="A1536" s="1" t="s">
        <v>1833</v>
      </c>
      <c r="B1536" s="13" t="str">
        <f t="shared" si="1"/>
        <v>John</v>
      </c>
      <c r="C1536" s="13" t="str">
        <f t="shared" si="2"/>
        <v>Peters</v>
      </c>
      <c r="D1536" s="13" t="str">
        <f t="shared" si="3"/>
        <v>#N/A</v>
      </c>
      <c r="E1536" s="1" t="s">
        <v>68</v>
      </c>
    </row>
    <row r="1537" ht="15.75" customHeight="1">
      <c r="A1537" s="1" t="s">
        <v>1834</v>
      </c>
      <c r="B1537" s="13" t="str">
        <f t="shared" si="1"/>
        <v>John</v>
      </c>
      <c r="C1537" s="13" t="str">
        <f t="shared" si="2"/>
        <v>Phillips</v>
      </c>
      <c r="D1537" s="13" t="str">
        <f t="shared" si="3"/>
        <v>#N/A</v>
      </c>
      <c r="E1537" s="1" t="s">
        <v>68</v>
      </c>
    </row>
    <row r="1538" ht="15.75" customHeight="1">
      <c r="A1538" s="1" t="s">
        <v>1835</v>
      </c>
      <c r="B1538" s="13" t="str">
        <f t="shared" si="1"/>
        <v>John</v>
      </c>
      <c r="C1538" s="13" t="str">
        <f t="shared" si="2"/>
        <v>Ross</v>
      </c>
      <c r="D1538" s="13" t="str">
        <f t="shared" si="3"/>
        <v>#N/A</v>
      </c>
      <c r="E1538" s="1" t="s">
        <v>69</v>
      </c>
    </row>
    <row r="1539" ht="15.75" customHeight="1">
      <c r="A1539" s="1" t="s">
        <v>1836</v>
      </c>
      <c r="B1539" s="13" t="str">
        <f t="shared" si="1"/>
        <v>John</v>
      </c>
      <c r="C1539" s="13" t="str">
        <f t="shared" si="2"/>
        <v>Santiago</v>
      </c>
      <c r="D1539" s="13" t="str">
        <f t="shared" si="3"/>
        <v>#N/A</v>
      </c>
      <c r="E1539" s="1" t="s">
        <v>66</v>
      </c>
    </row>
    <row r="1540" ht="15.75" customHeight="1">
      <c r="A1540" s="1" t="s">
        <v>1837</v>
      </c>
      <c r="B1540" s="13" t="str">
        <f t="shared" si="1"/>
        <v>John</v>
      </c>
      <c r="C1540" s="13" t="str">
        <f t="shared" si="2"/>
        <v>Skelton</v>
      </c>
      <c r="D1540" s="13" t="str">
        <f t="shared" si="3"/>
        <v>#N/A</v>
      </c>
      <c r="E1540" s="1" t="s">
        <v>65</v>
      </c>
    </row>
    <row r="1541" ht="15.75" customHeight="1">
      <c r="A1541" s="1" t="s">
        <v>1839</v>
      </c>
      <c r="B1541" s="13" t="str">
        <f t="shared" si="1"/>
        <v>John</v>
      </c>
      <c r="C1541" s="13" t="str">
        <f t="shared" si="2"/>
        <v>Spooney</v>
      </c>
      <c r="D1541" s="13" t="str">
        <f t="shared" si="3"/>
        <v>#N/A</v>
      </c>
      <c r="E1541" s="1" t="s">
        <v>66</v>
      </c>
    </row>
    <row r="1542" ht="15.75" customHeight="1">
      <c r="A1542" s="1" t="s">
        <v>1840</v>
      </c>
      <c r="B1542" s="13" t="str">
        <f t="shared" si="1"/>
        <v>John</v>
      </c>
      <c r="C1542" s="13" t="str">
        <f t="shared" si="2"/>
        <v>Ursua</v>
      </c>
      <c r="D1542" s="13" t="str">
        <f t="shared" si="3"/>
        <v>#N/A</v>
      </c>
      <c r="E1542" s="1" t="s">
        <v>69</v>
      </c>
    </row>
    <row r="1543" ht="15.75" customHeight="1">
      <c r="A1543" s="1" t="s">
        <v>1842</v>
      </c>
      <c r="B1543" s="13" t="str">
        <f t="shared" si="1"/>
        <v>John</v>
      </c>
      <c r="C1543" s="13" t="str">
        <f t="shared" si="2"/>
        <v>Wolford</v>
      </c>
      <c r="D1543" s="13" t="str">
        <f t="shared" si="3"/>
        <v>#N/A</v>
      </c>
      <c r="E1543" s="1" t="s">
        <v>65</v>
      </c>
    </row>
    <row r="1544" ht="15.75" customHeight="1">
      <c r="A1544" s="1" t="s">
        <v>1843</v>
      </c>
      <c r="B1544" s="13" t="str">
        <f t="shared" si="1"/>
        <v>Johnathan</v>
      </c>
      <c r="C1544" s="13" t="str">
        <f t="shared" si="2"/>
        <v>Franklin</v>
      </c>
      <c r="D1544" s="13" t="str">
        <f t="shared" si="3"/>
        <v>#N/A</v>
      </c>
      <c r="E1544" s="1" t="s">
        <v>66</v>
      </c>
    </row>
    <row r="1545" ht="15.75" customHeight="1">
      <c r="A1545" s="1" t="s">
        <v>1844</v>
      </c>
      <c r="B1545" s="13" t="str">
        <f t="shared" si="1"/>
        <v>Johnathan</v>
      </c>
      <c r="C1545" s="13" t="str">
        <f t="shared" si="2"/>
        <v>Lloyd</v>
      </c>
      <c r="D1545" s="13" t="str">
        <f t="shared" si="3"/>
        <v>#N/A</v>
      </c>
      <c r="E1545" s="1" t="s">
        <v>69</v>
      </c>
    </row>
    <row r="1546" ht="15.75" customHeight="1">
      <c r="A1546" s="1" t="s">
        <v>1845</v>
      </c>
      <c r="B1546" s="13" t="str">
        <f t="shared" si="1"/>
        <v>Johnathon</v>
      </c>
      <c r="C1546" s="13" t="str">
        <f t="shared" si="2"/>
        <v>Johnson</v>
      </c>
      <c r="D1546" s="13" t="str">
        <f t="shared" si="3"/>
        <v>#N/A</v>
      </c>
      <c r="E1546" s="1" t="s">
        <v>69</v>
      </c>
    </row>
    <row r="1547" ht="15.75" customHeight="1">
      <c r="A1547" s="1" t="s">
        <v>1846</v>
      </c>
      <c r="B1547" s="13" t="str">
        <f t="shared" si="1"/>
        <v>Johnnie</v>
      </c>
      <c r="C1547" s="13" t="str">
        <f t="shared" si="2"/>
        <v>Dixon</v>
      </c>
      <c r="D1547" s="13" t="str">
        <f t="shared" si="3"/>
        <v>#N/A</v>
      </c>
      <c r="E1547" s="1" t="s">
        <v>69</v>
      </c>
    </row>
    <row r="1548" ht="15.75" customHeight="1">
      <c r="A1548" s="1" t="s">
        <v>1847</v>
      </c>
      <c r="B1548" s="13" t="str">
        <f t="shared" si="1"/>
        <v>Johnny</v>
      </c>
      <c r="C1548" s="13" t="str">
        <f t="shared" si="2"/>
        <v>Holton</v>
      </c>
      <c r="D1548" s="13" t="str">
        <f t="shared" si="3"/>
        <v>#N/A</v>
      </c>
      <c r="E1548" s="1" t="s">
        <v>69</v>
      </c>
    </row>
    <row r="1549" ht="15.75" customHeight="1">
      <c r="A1549" s="1" t="s">
        <v>1848</v>
      </c>
      <c r="B1549" s="13" t="str">
        <f t="shared" si="1"/>
        <v>Johnny</v>
      </c>
      <c r="C1549" s="13" t="str">
        <f t="shared" si="2"/>
        <v>Johnson</v>
      </c>
      <c r="D1549" s="13" t="str">
        <f t="shared" si="3"/>
        <v>#N/A</v>
      </c>
      <c r="E1549" s="1" t="s">
        <v>69</v>
      </c>
    </row>
    <row r="1550" ht="15.75" customHeight="1">
      <c r="A1550" s="1" t="s">
        <v>1849</v>
      </c>
      <c r="B1550" s="13" t="str">
        <f t="shared" si="1"/>
        <v>Johnny</v>
      </c>
      <c r="C1550" s="13" t="str">
        <f t="shared" si="2"/>
        <v>Manziel</v>
      </c>
      <c r="D1550" s="13" t="str">
        <f t="shared" si="3"/>
        <v>#N/A</v>
      </c>
      <c r="E1550" s="1" t="s">
        <v>65</v>
      </c>
    </row>
    <row r="1551" ht="15.75" customHeight="1">
      <c r="A1551" s="1" t="s">
        <v>1850</v>
      </c>
      <c r="B1551" s="13" t="str">
        <f t="shared" si="1"/>
        <v>Johnny</v>
      </c>
      <c r="C1551" s="13" t="str">
        <f t="shared" si="2"/>
        <v>Mundt</v>
      </c>
      <c r="D1551" s="13" t="str">
        <f t="shared" si="3"/>
        <v>#N/A</v>
      </c>
      <c r="E1551" s="1" t="s">
        <v>68</v>
      </c>
    </row>
    <row r="1552" ht="15.75" customHeight="1">
      <c r="A1552" s="1" t="s">
        <v>1851</v>
      </c>
      <c r="B1552" s="13" t="str">
        <f t="shared" si="1"/>
        <v>Joique</v>
      </c>
      <c r="C1552" s="13" t="str">
        <f t="shared" si="2"/>
        <v>Bell</v>
      </c>
      <c r="D1552" s="13" t="str">
        <f t="shared" si="3"/>
        <v>#N/A</v>
      </c>
      <c r="E1552" s="1" t="s">
        <v>66</v>
      </c>
    </row>
    <row r="1553" ht="15.75" customHeight="1">
      <c r="A1553" s="1" t="s">
        <v>1852</v>
      </c>
      <c r="B1553" s="13" t="str">
        <f t="shared" si="1"/>
        <v>JoJo</v>
      </c>
      <c r="C1553" s="13" t="str">
        <f t="shared" si="2"/>
        <v>Earle</v>
      </c>
      <c r="D1553" s="13" t="str">
        <f t="shared" si="3"/>
        <v>#N/A</v>
      </c>
      <c r="E1553" s="1" t="s">
        <v>66</v>
      </c>
    </row>
    <row r="1554" ht="15.75" customHeight="1">
      <c r="A1554" s="1" t="s">
        <v>1853</v>
      </c>
      <c r="B1554" s="13" t="str">
        <f t="shared" si="1"/>
        <v>JoJo</v>
      </c>
      <c r="C1554" s="13" t="str">
        <f t="shared" si="2"/>
        <v>Natson</v>
      </c>
      <c r="D1554" s="13" t="str">
        <f t="shared" si="3"/>
        <v>#N/A</v>
      </c>
      <c r="E1554" s="1" t="s">
        <v>69</v>
      </c>
    </row>
    <row r="1555" ht="15.75" customHeight="1">
      <c r="A1555" s="1" t="s">
        <v>1854</v>
      </c>
      <c r="B1555" s="13" t="str">
        <f t="shared" si="1"/>
        <v>Jon</v>
      </c>
      <c r="C1555" s="13" t="str">
        <f t="shared" si="2"/>
        <v>Baldwin</v>
      </c>
      <c r="D1555" s="13" t="str">
        <f t="shared" si="3"/>
        <v>#N/A</v>
      </c>
      <c r="E1555" s="1" t="s">
        <v>69</v>
      </c>
    </row>
    <row r="1556" ht="15.75" customHeight="1">
      <c r="A1556" s="1" t="s">
        <v>1855</v>
      </c>
      <c r="B1556" s="13" t="str">
        <f t="shared" si="1"/>
        <v>Jon</v>
      </c>
      <c r="C1556" s="13" t="str">
        <f t="shared" si="2"/>
        <v>Duhart</v>
      </c>
      <c r="D1556" s="13" t="str">
        <f t="shared" si="3"/>
        <v>#N/A</v>
      </c>
      <c r="E1556" s="1" t="s">
        <v>69</v>
      </c>
    </row>
    <row r="1557" ht="15.75" customHeight="1">
      <c r="A1557" s="1" t="s">
        <v>1856</v>
      </c>
      <c r="B1557" s="13" t="str">
        <f t="shared" si="1"/>
        <v>Jon</v>
      </c>
      <c r="C1557" s="13" t="str">
        <f t="shared" si="2"/>
        <v>Hilliman</v>
      </c>
      <c r="D1557" s="13" t="str">
        <f t="shared" si="3"/>
        <v>#N/A</v>
      </c>
      <c r="E1557" s="1" t="s">
        <v>66</v>
      </c>
    </row>
    <row r="1558" ht="15.75" customHeight="1">
      <c r="A1558" s="1" t="s">
        <v>1857</v>
      </c>
      <c r="B1558" s="13" t="str">
        <f t="shared" si="1"/>
        <v>Jon</v>
      </c>
      <c r="C1558" s="13" t="str">
        <f t="shared" si="2"/>
        <v>Jennings</v>
      </c>
      <c r="D1558" s="13" t="str">
        <f t="shared" si="3"/>
        <v>#N/A</v>
      </c>
      <c r="E1558" s="1" t="s">
        <v>65</v>
      </c>
    </row>
    <row r="1559" ht="15.75" customHeight="1">
      <c r="A1559" s="1" t="s">
        <v>1858</v>
      </c>
      <c r="B1559" s="13" t="str">
        <f t="shared" si="1"/>
        <v>Jonâ€™Vea</v>
      </c>
      <c r="C1559" s="13" t="str">
        <f t="shared" si="2"/>
        <v>Johnson</v>
      </c>
      <c r="D1559" s="13" t="str">
        <f t="shared" si="3"/>
        <v>#N/A</v>
      </c>
      <c r="E1559" s="1" t="s">
        <v>69</v>
      </c>
    </row>
    <row r="1560" ht="15.75" customHeight="1">
      <c r="A1560" s="1" t="s">
        <v>1859</v>
      </c>
      <c r="B1560" s="13" t="str">
        <f t="shared" si="1"/>
        <v>Jonah</v>
      </c>
      <c r="C1560" s="13" t="str">
        <f t="shared" si="2"/>
        <v>Trinnaman</v>
      </c>
      <c r="D1560" s="13" t="str">
        <f t="shared" si="3"/>
        <v>#N/A</v>
      </c>
      <c r="E1560" s="1" t="s">
        <v>69</v>
      </c>
    </row>
    <row r="1561" ht="15.75" customHeight="1">
      <c r="A1561" s="1" t="s">
        <v>1860</v>
      </c>
      <c r="B1561" s="13" t="str">
        <f t="shared" si="1"/>
        <v>Jonas</v>
      </c>
      <c r="C1561" s="13" t="str">
        <f t="shared" si="2"/>
        <v>Gray</v>
      </c>
      <c r="D1561" s="13" t="str">
        <f t="shared" si="3"/>
        <v>#N/A</v>
      </c>
      <c r="E1561" s="1" t="s">
        <v>66</v>
      </c>
    </row>
    <row r="1562" ht="15.75" customHeight="1">
      <c r="A1562" s="1" t="s">
        <v>1861</v>
      </c>
      <c r="B1562" s="13" t="str">
        <f t="shared" si="1"/>
        <v>Jonathan</v>
      </c>
      <c r="C1562" s="13" t="str">
        <f t="shared" si="2"/>
        <v>Adams</v>
      </c>
      <c r="D1562" s="13" t="str">
        <f t="shared" si="3"/>
        <v>#N/A</v>
      </c>
      <c r="E1562" s="1" t="s">
        <v>69</v>
      </c>
    </row>
    <row r="1563" ht="15.75" customHeight="1">
      <c r="A1563" s="1" t="s">
        <v>1862</v>
      </c>
      <c r="B1563" s="13" t="str">
        <f t="shared" si="1"/>
        <v>Jonathan</v>
      </c>
      <c r="C1563" s="13" t="str">
        <f t="shared" si="2"/>
        <v>Dwyer</v>
      </c>
      <c r="D1563" s="13" t="str">
        <f t="shared" si="3"/>
        <v>#N/A</v>
      </c>
      <c r="E1563" s="1" t="s">
        <v>66</v>
      </c>
    </row>
    <row r="1564" ht="15.75" customHeight="1">
      <c r="A1564" s="1" t="s">
        <v>1863</v>
      </c>
      <c r="B1564" s="13" t="str">
        <f t="shared" si="1"/>
        <v>Jonathan</v>
      </c>
      <c r="C1564" s="13" t="str">
        <f t="shared" si="2"/>
        <v>Grimes</v>
      </c>
      <c r="D1564" s="13" t="str">
        <f t="shared" si="3"/>
        <v>#N/A</v>
      </c>
      <c r="E1564" s="1" t="s">
        <v>66</v>
      </c>
    </row>
    <row r="1565" ht="15.75" customHeight="1">
      <c r="A1565" s="1" t="s">
        <v>1864</v>
      </c>
      <c r="B1565" s="13" t="str">
        <f t="shared" si="1"/>
        <v>Jonathan</v>
      </c>
      <c r="C1565" s="13" t="str">
        <f t="shared" si="2"/>
        <v>Krause</v>
      </c>
      <c r="D1565" s="13" t="str">
        <f t="shared" si="3"/>
        <v>#N/A</v>
      </c>
      <c r="E1565" s="1" t="s">
        <v>69</v>
      </c>
    </row>
    <row r="1566" ht="15.75" customHeight="1">
      <c r="A1566" s="1" t="s">
        <v>1865</v>
      </c>
      <c r="B1566" s="13" t="str">
        <f t="shared" si="1"/>
        <v>Jonathan</v>
      </c>
      <c r="C1566" s="13" t="str">
        <f t="shared" si="2"/>
        <v>Mingo</v>
      </c>
      <c r="D1566" s="13" t="str">
        <f t="shared" si="3"/>
        <v>#N/A</v>
      </c>
      <c r="E1566" s="1" t="s">
        <v>69</v>
      </c>
    </row>
    <row r="1567" ht="15.75" customHeight="1">
      <c r="A1567" s="1" t="s">
        <v>1651</v>
      </c>
      <c r="B1567" s="13" t="str">
        <f t="shared" si="1"/>
        <v>Jonathan</v>
      </c>
      <c r="C1567" s="13" t="str">
        <f t="shared" si="2"/>
        <v>Stewart</v>
      </c>
      <c r="D1567" s="13" t="str">
        <f t="shared" si="3"/>
        <v>#N/A</v>
      </c>
      <c r="E1567" s="1" t="s">
        <v>66</v>
      </c>
    </row>
    <row r="1568" ht="15.75" customHeight="1">
      <c r="A1568" s="1" t="s">
        <v>381</v>
      </c>
      <c r="B1568" s="13" t="str">
        <f t="shared" si="1"/>
        <v>Jonathan</v>
      </c>
      <c r="C1568" s="13" t="str">
        <f t="shared" si="2"/>
        <v>Taylor</v>
      </c>
      <c r="D1568" s="13" t="str">
        <f t="shared" si="3"/>
        <v>#N/A</v>
      </c>
      <c r="E1568" s="1" t="s">
        <v>66</v>
      </c>
    </row>
    <row r="1569" ht="15.75" customHeight="1">
      <c r="A1569" s="1" t="s">
        <v>1866</v>
      </c>
      <c r="B1569" s="13" t="str">
        <f t="shared" si="1"/>
        <v>Jonathan</v>
      </c>
      <c r="C1569" s="13" t="str">
        <f t="shared" si="2"/>
        <v>Ward</v>
      </c>
      <c r="D1569" s="13" t="str">
        <f t="shared" si="3"/>
        <v>#N/A</v>
      </c>
      <c r="E1569" s="1" t="s">
        <v>66</v>
      </c>
    </row>
    <row r="1570" ht="15.75" customHeight="1">
      <c r="A1570" s="1" t="s">
        <v>1867</v>
      </c>
      <c r="B1570" s="13" t="str">
        <f t="shared" si="1"/>
        <v>Jonathan</v>
      </c>
      <c r="C1570" s="13" t="str">
        <f t="shared" si="2"/>
        <v>Williams</v>
      </c>
      <c r="D1570" s="13" t="str">
        <f t="shared" si="3"/>
        <v>#N/A</v>
      </c>
      <c r="E1570" s="1" t="s">
        <v>66</v>
      </c>
    </row>
    <row r="1571" ht="15.75" customHeight="1">
      <c r="A1571" s="1" t="s">
        <v>134</v>
      </c>
      <c r="B1571" s="13" t="str">
        <f t="shared" si="1"/>
        <v>Jonnu</v>
      </c>
      <c r="C1571" s="13" t="str">
        <f t="shared" si="2"/>
        <v>Smith</v>
      </c>
      <c r="D1571" s="13" t="str">
        <f t="shared" si="3"/>
        <v>#N/A</v>
      </c>
      <c r="E1571" s="1" t="s">
        <v>68</v>
      </c>
    </row>
    <row r="1572" ht="15.75" customHeight="1">
      <c r="A1572" s="1" t="s">
        <v>1868</v>
      </c>
      <c r="B1572" s="13" t="str">
        <f t="shared" si="1"/>
        <v>Jo'quavious</v>
      </c>
      <c r="C1572" s="13" t="str">
        <f t="shared" si="2"/>
        <v>Marks</v>
      </c>
      <c r="D1572" s="13" t="str">
        <f t="shared" si="3"/>
        <v>#N/A</v>
      </c>
      <c r="E1572" s="1" t="s">
        <v>66</v>
      </c>
    </row>
    <row r="1573" ht="15.75" customHeight="1">
      <c r="A1573" s="1" t="s">
        <v>1869</v>
      </c>
      <c r="B1573" s="13" t="str">
        <f t="shared" si="1"/>
        <v>Jordan</v>
      </c>
      <c r="C1573" s="13" t="str">
        <f t="shared" si="2"/>
        <v>Addison</v>
      </c>
      <c r="D1573" s="13" t="str">
        <f t="shared" si="3"/>
        <v>#N/A</v>
      </c>
      <c r="E1573" s="1" t="s">
        <v>69</v>
      </c>
    </row>
    <row r="1574" ht="15.75" customHeight="1">
      <c r="A1574" s="1" t="s">
        <v>1870</v>
      </c>
      <c r="B1574" s="13" t="str">
        <f t="shared" si="1"/>
        <v>Jordan</v>
      </c>
      <c r="C1574" s="13" t="str">
        <f t="shared" si="2"/>
        <v>Akins</v>
      </c>
      <c r="D1574" s="13" t="str">
        <f t="shared" si="3"/>
        <v>#N/A</v>
      </c>
      <c r="E1574" s="1" t="s">
        <v>68</v>
      </c>
    </row>
    <row r="1575" ht="15.75" customHeight="1">
      <c r="A1575" s="1" t="s">
        <v>1871</v>
      </c>
      <c r="B1575" s="13" t="str">
        <f t="shared" si="1"/>
        <v>Jordan</v>
      </c>
      <c r="C1575" s="13" t="str">
        <f t="shared" si="2"/>
        <v>Cameron</v>
      </c>
      <c r="D1575" s="13" t="str">
        <f t="shared" si="3"/>
        <v>#N/A</v>
      </c>
      <c r="E1575" s="1" t="s">
        <v>68</v>
      </c>
    </row>
    <row r="1576" ht="15.75" customHeight="1">
      <c r="A1576" s="1" t="s">
        <v>1872</v>
      </c>
      <c r="B1576" s="13" t="str">
        <f t="shared" si="1"/>
        <v>Jordan</v>
      </c>
      <c r="C1576" s="13" t="str">
        <f t="shared" si="2"/>
        <v>Chunn</v>
      </c>
      <c r="D1576" s="13" t="str">
        <f t="shared" si="3"/>
        <v>#N/A</v>
      </c>
      <c r="E1576" s="1" t="s">
        <v>66</v>
      </c>
    </row>
    <row r="1577" ht="15.75" customHeight="1">
      <c r="A1577" s="1" t="s">
        <v>1873</v>
      </c>
      <c r="B1577" s="13" t="str">
        <f t="shared" si="1"/>
        <v>Jordan</v>
      </c>
      <c r="C1577" s="13" t="str">
        <f t="shared" si="2"/>
        <v>Ellis</v>
      </c>
      <c r="D1577" s="13" t="str">
        <f t="shared" si="3"/>
        <v>#N/A</v>
      </c>
      <c r="E1577" s="1" t="s">
        <v>66</v>
      </c>
    </row>
    <row r="1578" ht="15.75" customHeight="1">
      <c r="A1578" s="1" t="s">
        <v>1874</v>
      </c>
      <c r="B1578" s="13" t="str">
        <f t="shared" si="1"/>
        <v>Jordan</v>
      </c>
      <c r="C1578" s="13" t="str">
        <f t="shared" si="2"/>
        <v>Franks</v>
      </c>
      <c r="D1578" s="13" t="str">
        <f t="shared" si="3"/>
        <v>#N/A</v>
      </c>
      <c r="E1578" s="1" t="s">
        <v>68</v>
      </c>
    </row>
    <row r="1579" ht="15.75" customHeight="1">
      <c r="A1579" s="1" t="s">
        <v>1875</v>
      </c>
      <c r="B1579" s="13" t="str">
        <f t="shared" si="1"/>
        <v>Jordan</v>
      </c>
      <c r="C1579" s="13" t="str">
        <f t="shared" si="2"/>
        <v>Harris</v>
      </c>
      <c r="D1579" s="13" t="str">
        <f t="shared" si="3"/>
        <v>#N/A</v>
      </c>
      <c r="E1579" s="1" t="s">
        <v>69</v>
      </c>
    </row>
    <row r="1580" ht="15.75" customHeight="1">
      <c r="A1580" s="1" t="s">
        <v>699</v>
      </c>
      <c r="B1580" s="13" t="str">
        <f t="shared" si="1"/>
        <v>Jordan</v>
      </c>
      <c r="C1580" s="13" t="str">
        <f t="shared" si="2"/>
        <v>Howard</v>
      </c>
      <c r="D1580" s="13" t="str">
        <f t="shared" si="3"/>
        <v>#N/A</v>
      </c>
      <c r="E1580" s="1" t="s">
        <v>66</v>
      </c>
    </row>
    <row r="1581" ht="15.75" customHeight="1">
      <c r="A1581" s="1" t="s">
        <v>1877</v>
      </c>
      <c r="B1581" s="13" t="str">
        <f t="shared" si="1"/>
        <v>Jordan</v>
      </c>
      <c r="C1581" s="13" t="str">
        <f t="shared" si="2"/>
        <v>Johnson</v>
      </c>
      <c r="D1581" s="13" t="str">
        <f t="shared" si="3"/>
        <v>#N/A</v>
      </c>
      <c r="E1581" s="1" t="s">
        <v>66</v>
      </c>
    </row>
    <row r="1582" ht="15.75" customHeight="1">
      <c r="A1582" s="1" t="s">
        <v>1879</v>
      </c>
      <c r="B1582" s="13" t="str">
        <f t="shared" si="1"/>
        <v>Jordan</v>
      </c>
      <c r="C1582" s="13" t="str">
        <f t="shared" si="2"/>
        <v>Lasley</v>
      </c>
      <c r="D1582" s="13" t="str">
        <f t="shared" si="3"/>
        <v>#N/A</v>
      </c>
      <c r="E1582" s="1" t="s">
        <v>69</v>
      </c>
    </row>
    <row r="1583" ht="15.75" customHeight="1">
      <c r="A1583" s="1" t="s">
        <v>1880</v>
      </c>
      <c r="B1583" s="13" t="str">
        <f t="shared" si="1"/>
        <v>Jordan</v>
      </c>
      <c r="C1583" s="13" t="str">
        <f t="shared" si="2"/>
        <v>Leggett</v>
      </c>
      <c r="D1583" s="13" t="str">
        <f t="shared" si="3"/>
        <v>#N/A</v>
      </c>
      <c r="E1583" s="1" t="s">
        <v>68</v>
      </c>
    </row>
    <row r="1584" ht="15.75" customHeight="1">
      <c r="A1584" s="1" t="s">
        <v>1881</v>
      </c>
      <c r="B1584" s="13" t="str">
        <f t="shared" si="1"/>
        <v>Jordan</v>
      </c>
      <c r="C1584" s="13" t="str">
        <f t="shared" si="2"/>
        <v>Leslie</v>
      </c>
      <c r="D1584" s="13" t="str">
        <f t="shared" si="3"/>
        <v>#N/A</v>
      </c>
      <c r="E1584" s="1" t="s">
        <v>69</v>
      </c>
    </row>
    <row r="1585" ht="15.75" customHeight="1">
      <c r="A1585" s="1" t="s">
        <v>1882</v>
      </c>
      <c r="B1585" s="13" t="str">
        <f t="shared" si="1"/>
        <v>Jordan</v>
      </c>
      <c r="C1585" s="13" t="str">
        <f t="shared" si="2"/>
        <v>Love</v>
      </c>
      <c r="D1585" s="13" t="str">
        <f t="shared" si="3"/>
        <v>#N/A</v>
      </c>
      <c r="E1585" s="1" t="s">
        <v>65</v>
      </c>
    </row>
    <row r="1586" ht="15.75" customHeight="1">
      <c r="A1586" s="1" t="s">
        <v>1884</v>
      </c>
      <c r="B1586" s="13" t="str">
        <f t="shared" si="1"/>
        <v>Jordan</v>
      </c>
      <c r="C1586" s="13" t="str">
        <f t="shared" si="2"/>
        <v>Lynch</v>
      </c>
      <c r="D1586" s="13" t="str">
        <f t="shared" si="3"/>
        <v>#N/A</v>
      </c>
      <c r="E1586" s="1" t="s">
        <v>66</v>
      </c>
    </row>
    <row r="1587" ht="15.75" customHeight="1">
      <c r="A1587" s="1" t="s">
        <v>1665</v>
      </c>
      <c r="B1587" s="13" t="str">
        <f t="shared" si="1"/>
        <v>Jordan</v>
      </c>
      <c r="C1587" s="13" t="str">
        <f t="shared" si="2"/>
        <v>Matthews</v>
      </c>
      <c r="D1587" s="13" t="str">
        <f t="shared" si="3"/>
        <v>#N/A</v>
      </c>
      <c r="E1587" s="1" t="s">
        <v>68</v>
      </c>
    </row>
    <row r="1588" ht="15.75" customHeight="1">
      <c r="A1588" s="1" t="s">
        <v>1885</v>
      </c>
      <c r="B1588" s="13" t="str">
        <f t="shared" si="1"/>
        <v>Jordan</v>
      </c>
      <c r="C1588" s="13" t="str">
        <f t="shared" si="2"/>
        <v>Najvar</v>
      </c>
      <c r="D1588" s="13" t="str">
        <f t="shared" si="3"/>
        <v>#N/A</v>
      </c>
      <c r="E1588" s="1" t="s">
        <v>68</v>
      </c>
    </row>
    <row r="1589" ht="15.75" customHeight="1">
      <c r="A1589" s="1" t="s">
        <v>1887</v>
      </c>
      <c r="B1589" s="13" t="str">
        <f t="shared" si="1"/>
        <v>Jordan</v>
      </c>
      <c r="C1589" s="13" t="str">
        <f t="shared" si="2"/>
        <v>Norwood</v>
      </c>
      <c r="D1589" s="13" t="str">
        <f t="shared" si="3"/>
        <v>#N/A</v>
      </c>
      <c r="E1589" s="1" t="s">
        <v>69</v>
      </c>
    </row>
    <row r="1590" ht="15.75" customHeight="1">
      <c r="A1590" s="1" t="s">
        <v>1888</v>
      </c>
      <c r="B1590" s="13" t="str">
        <f t="shared" si="1"/>
        <v>Jordan</v>
      </c>
      <c r="C1590" s="13" t="str">
        <f t="shared" si="2"/>
        <v>Palmer</v>
      </c>
      <c r="D1590" s="13" t="str">
        <f t="shared" si="3"/>
        <v>#N/A</v>
      </c>
      <c r="E1590" s="1" t="s">
        <v>65</v>
      </c>
    </row>
    <row r="1591" ht="15.75" customHeight="1">
      <c r="A1591" s="1" t="s">
        <v>1889</v>
      </c>
      <c r="B1591" s="13" t="str">
        <f t="shared" si="1"/>
        <v>Jordan</v>
      </c>
      <c r="C1591" s="13" t="str">
        <f t="shared" si="2"/>
        <v>Payton</v>
      </c>
      <c r="D1591" s="13" t="str">
        <f t="shared" si="3"/>
        <v>#N/A</v>
      </c>
      <c r="E1591" s="1" t="s">
        <v>69</v>
      </c>
    </row>
    <row r="1592" ht="15.75" customHeight="1">
      <c r="A1592" s="1" t="s">
        <v>1443</v>
      </c>
      <c r="B1592" s="13" t="str">
        <f t="shared" si="1"/>
        <v>Jordan</v>
      </c>
      <c r="C1592" s="13" t="str">
        <f t="shared" si="2"/>
        <v>Reed</v>
      </c>
      <c r="D1592" s="13" t="str">
        <f t="shared" si="3"/>
        <v>#N/A</v>
      </c>
      <c r="E1592" s="1" t="s">
        <v>68</v>
      </c>
    </row>
    <row r="1593" ht="15.75" customHeight="1">
      <c r="A1593" s="1" t="s">
        <v>1890</v>
      </c>
      <c r="B1593" s="13" t="str">
        <f t="shared" si="1"/>
        <v>Jordan</v>
      </c>
      <c r="C1593" s="13" t="str">
        <f t="shared" si="2"/>
        <v>Scarlett</v>
      </c>
      <c r="D1593" s="13" t="str">
        <f t="shared" si="3"/>
        <v>#N/A</v>
      </c>
      <c r="E1593" s="1" t="s">
        <v>66</v>
      </c>
    </row>
    <row r="1594" ht="15.75" customHeight="1">
      <c r="A1594" s="1" t="s">
        <v>1891</v>
      </c>
      <c r="B1594" s="13" t="str">
        <f t="shared" si="1"/>
        <v>Jordan</v>
      </c>
      <c r="C1594" s="13" t="str">
        <f t="shared" si="2"/>
        <v>Smallwood</v>
      </c>
      <c r="D1594" s="13" t="str">
        <f t="shared" si="3"/>
        <v>#N/A</v>
      </c>
      <c r="E1594" s="1" t="s">
        <v>69</v>
      </c>
    </row>
    <row r="1595" ht="15.75" customHeight="1">
      <c r="A1595" s="1" t="s">
        <v>1892</v>
      </c>
      <c r="B1595" s="13" t="str">
        <f t="shared" si="1"/>
        <v>Jordan</v>
      </c>
      <c r="C1595" s="13" t="str">
        <f t="shared" si="2"/>
        <v>Ta'amu</v>
      </c>
      <c r="D1595" s="13" t="str">
        <f t="shared" si="3"/>
        <v>#N/A</v>
      </c>
      <c r="E1595" s="1" t="s">
        <v>65</v>
      </c>
    </row>
    <row r="1596" ht="15.75" customHeight="1">
      <c r="A1596" s="1" t="s">
        <v>1893</v>
      </c>
      <c r="B1596" s="13" t="str">
        <f t="shared" si="1"/>
        <v>Jordan</v>
      </c>
      <c r="C1596" s="13" t="str">
        <f t="shared" si="2"/>
        <v>Taylor</v>
      </c>
      <c r="D1596" s="13" t="str">
        <f t="shared" si="3"/>
        <v>#N/A</v>
      </c>
      <c r="E1596" s="1" t="s">
        <v>69</v>
      </c>
    </row>
    <row r="1597" ht="15.75" customHeight="1">
      <c r="A1597" s="1" t="s">
        <v>1894</v>
      </c>
      <c r="B1597" s="13" t="str">
        <f t="shared" si="1"/>
        <v>Jordan</v>
      </c>
      <c r="C1597" s="13" t="str">
        <f t="shared" si="2"/>
        <v>Thomas</v>
      </c>
      <c r="D1597" s="13" t="str">
        <f t="shared" si="3"/>
        <v>#N/A</v>
      </c>
      <c r="E1597" s="1" t="s">
        <v>68</v>
      </c>
    </row>
    <row r="1598" ht="15.75" customHeight="1">
      <c r="A1598" s="1" t="s">
        <v>1895</v>
      </c>
      <c r="B1598" s="13" t="str">
        <f t="shared" si="1"/>
        <v>Jordan</v>
      </c>
      <c r="C1598" s="13" t="str">
        <f t="shared" si="2"/>
        <v>Todman</v>
      </c>
      <c r="D1598" s="13" t="str">
        <f t="shared" si="3"/>
        <v>#N/A</v>
      </c>
      <c r="E1598" s="1" t="s">
        <v>66</v>
      </c>
    </row>
    <row r="1599" ht="15.75" customHeight="1">
      <c r="A1599" s="1" t="s">
        <v>1896</v>
      </c>
      <c r="B1599" s="13" t="str">
        <f t="shared" si="1"/>
        <v>Jordan</v>
      </c>
      <c r="C1599" s="13" t="str">
        <f t="shared" si="2"/>
        <v>Travis</v>
      </c>
      <c r="D1599" s="13" t="str">
        <f t="shared" si="3"/>
        <v>#N/A</v>
      </c>
      <c r="E1599" s="1" t="s">
        <v>65</v>
      </c>
    </row>
    <row r="1600" ht="15.75" customHeight="1">
      <c r="A1600" s="1" t="s">
        <v>1897</v>
      </c>
      <c r="B1600" s="13" t="str">
        <f t="shared" si="1"/>
        <v>Jordan</v>
      </c>
      <c r="C1600" s="13" t="str">
        <f t="shared" si="2"/>
        <v>Veasy</v>
      </c>
      <c r="D1600" s="13" t="str">
        <f t="shared" si="3"/>
        <v>#N/A</v>
      </c>
      <c r="E1600" s="1" t="s">
        <v>69</v>
      </c>
    </row>
    <row r="1601" ht="15.75" customHeight="1">
      <c r="A1601" s="1" t="s">
        <v>1898</v>
      </c>
      <c r="B1601" s="13" t="str">
        <f t="shared" si="1"/>
        <v>Jordan</v>
      </c>
      <c r="C1601" s="13" t="str">
        <f t="shared" si="2"/>
        <v>Westerkamp</v>
      </c>
      <c r="D1601" s="13" t="str">
        <f t="shared" si="3"/>
        <v>#N/A</v>
      </c>
      <c r="E1601" s="1" t="s">
        <v>69</v>
      </c>
    </row>
    <row r="1602" ht="15.75" customHeight="1">
      <c r="A1602" s="1" t="s">
        <v>1899</v>
      </c>
      <c r="B1602" s="13" t="str">
        <f t="shared" si="1"/>
        <v>Jordan</v>
      </c>
      <c r="C1602" s="13" t="str">
        <f t="shared" si="2"/>
        <v>Whittington</v>
      </c>
      <c r="D1602" s="13" t="str">
        <f t="shared" si="3"/>
        <v>#N/A</v>
      </c>
      <c r="E1602" s="1" t="s">
        <v>69</v>
      </c>
    </row>
    <row r="1603" ht="15.75" customHeight="1">
      <c r="A1603" s="1" t="s">
        <v>1396</v>
      </c>
      <c r="B1603" s="13" t="str">
        <f t="shared" si="1"/>
        <v>Jordan</v>
      </c>
      <c r="C1603" s="13" t="str">
        <f t="shared" si="2"/>
        <v>Wilkins</v>
      </c>
      <c r="D1603" s="13" t="str">
        <f t="shared" si="3"/>
        <v>#N/A</v>
      </c>
      <c r="E1603" s="1" t="s">
        <v>66</v>
      </c>
    </row>
    <row r="1604" ht="15.75" customHeight="1">
      <c r="A1604" s="1" t="s">
        <v>1900</v>
      </c>
      <c r="B1604" s="13" t="str">
        <f t="shared" si="1"/>
        <v>Jordan</v>
      </c>
      <c r="C1604" s="13" t="str">
        <f t="shared" si="2"/>
        <v>Williams-Lambert</v>
      </c>
      <c r="D1604" s="13" t="str">
        <f t="shared" si="3"/>
        <v>#N/A</v>
      </c>
      <c r="E1604" s="1" t="s">
        <v>69</v>
      </c>
    </row>
    <row r="1605" ht="15.75" customHeight="1">
      <c r="A1605" s="1" t="s">
        <v>1504</v>
      </c>
      <c r="B1605" s="13" t="str">
        <f t="shared" si="1"/>
        <v>Jordy</v>
      </c>
      <c r="C1605" s="13" t="str">
        <f t="shared" si="2"/>
        <v>Nelson</v>
      </c>
      <c r="D1605" s="13" t="str">
        <f t="shared" si="3"/>
        <v>#N/A</v>
      </c>
      <c r="E1605" s="1" t="s">
        <v>69</v>
      </c>
    </row>
    <row r="1606" ht="15.75" customHeight="1">
      <c r="A1606" s="1" t="s">
        <v>1901</v>
      </c>
      <c r="B1606" s="13" t="str">
        <f t="shared" si="1"/>
        <v>Joseph</v>
      </c>
      <c r="C1606" s="13" t="str">
        <f t="shared" si="2"/>
        <v>Fauria</v>
      </c>
      <c r="D1606" s="13" t="str">
        <f t="shared" si="3"/>
        <v>#N/A</v>
      </c>
      <c r="E1606" s="1" t="s">
        <v>68</v>
      </c>
    </row>
    <row r="1607" ht="15.75" customHeight="1">
      <c r="A1607" s="1" t="s">
        <v>1902</v>
      </c>
      <c r="B1607" s="13" t="str">
        <f t="shared" si="1"/>
        <v>Joseph</v>
      </c>
      <c r="C1607" s="13" t="str">
        <f t="shared" si="2"/>
        <v>Randle</v>
      </c>
      <c r="D1607" s="13" t="str">
        <f t="shared" si="3"/>
        <v>#N/A</v>
      </c>
      <c r="E1607" s="1" t="s">
        <v>66</v>
      </c>
    </row>
    <row r="1608" ht="15.75" customHeight="1">
      <c r="A1608" s="1" t="s">
        <v>1903</v>
      </c>
      <c r="B1608" s="13" t="str">
        <f t="shared" si="1"/>
        <v>Josh</v>
      </c>
      <c r="C1608" s="13" t="str">
        <f t="shared" si="2"/>
        <v>Adams</v>
      </c>
      <c r="D1608" s="13" t="str">
        <f t="shared" si="3"/>
        <v>#N/A</v>
      </c>
      <c r="E1608" s="1" t="s">
        <v>66</v>
      </c>
    </row>
    <row r="1609" ht="15.75" customHeight="1">
      <c r="A1609" s="1" t="s">
        <v>428</v>
      </c>
      <c r="B1609" s="13" t="str">
        <f t="shared" si="1"/>
        <v>Josh</v>
      </c>
      <c r="C1609" s="13" t="str">
        <f t="shared" si="2"/>
        <v>Allen</v>
      </c>
      <c r="D1609" s="13" t="str">
        <f t="shared" si="3"/>
        <v>#N/A</v>
      </c>
      <c r="E1609" s="1" t="s">
        <v>65</v>
      </c>
    </row>
    <row r="1610" ht="15.75" customHeight="1">
      <c r="A1610" s="1" t="s">
        <v>1904</v>
      </c>
      <c r="B1610" s="13" t="str">
        <f t="shared" si="1"/>
        <v>Josh</v>
      </c>
      <c r="C1610" s="13" t="str">
        <f t="shared" si="2"/>
        <v>Bellamy</v>
      </c>
      <c r="D1610" s="13" t="str">
        <f t="shared" si="3"/>
        <v>#N/A</v>
      </c>
      <c r="E1610" s="1" t="s">
        <v>69</v>
      </c>
    </row>
    <row r="1611" ht="15.75" customHeight="1">
      <c r="A1611" s="1" t="s">
        <v>1905</v>
      </c>
      <c r="B1611" s="13" t="str">
        <f t="shared" si="1"/>
        <v>Josh</v>
      </c>
      <c r="C1611" s="13" t="str">
        <f t="shared" si="2"/>
        <v>Boyce</v>
      </c>
      <c r="D1611" s="13" t="str">
        <f t="shared" si="3"/>
        <v>#N/A</v>
      </c>
      <c r="E1611" s="1" t="s">
        <v>69</v>
      </c>
    </row>
    <row r="1612" ht="15.75" customHeight="1">
      <c r="A1612" s="1" t="s">
        <v>1886</v>
      </c>
      <c r="B1612" s="13" t="str">
        <f t="shared" si="1"/>
        <v>Josh</v>
      </c>
      <c r="C1612" s="13" t="str">
        <f t="shared" si="2"/>
        <v>Brown</v>
      </c>
      <c r="D1612" s="13" t="str">
        <f t="shared" si="3"/>
        <v>#N/A</v>
      </c>
      <c r="E1612" s="1" t="s">
        <v>64</v>
      </c>
    </row>
    <row r="1613" ht="15.75" customHeight="1">
      <c r="A1613" s="1" t="s">
        <v>1906</v>
      </c>
      <c r="B1613" s="13" t="str">
        <f t="shared" si="1"/>
        <v>Josh</v>
      </c>
      <c r="C1613" s="13" t="str">
        <f t="shared" si="2"/>
        <v>Cooper</v>
      </c>
      <c r="D1613" s="13" t="str">
        <f t="shared" si="3"/>
        <v>#N/A</v>
      </c>
      <c r="E1613" s="1" t="s">
        <v>69</v>
      </c>
    </row>
    <row r="1614" ht="15.75" customHeight="1">
      <c r="A1614" s="1" t="s">
        <v>1907</v>
      </c>
      <c r="B1614" s="13" t="str">
        <f t="shared" si="1"/>
        <v>Josh</v>
      </c>
      <c r="C1614" s="13" t="str">
        <f t="shared" si="2"/>
        <v>Crockett</v>
      </c>
      <c r="D1614" s="13" t="str">
        <f t="shared" si="3"/>
        <v>#N/A</v>
      </c>
      <c r="E1614" s="1" t="s">
        <v>69</v>
      </c>
    </row>
    <row r="1615" ht="15.75" customHeight="1">
      <c r="A1615" s="1" t="s">
        <v>1709</v>
      </c>
      <c r="B1615" s="13" t="str">
        <f t="shared" si="1"/>
        <v>Josh</v>
      </c>
      <c r="C1615" s="13" t="str">
        <f t="shared" si="2"/>
        <v>Doctson</v>
      </c>
      <c r="D1615" s="13" t="str">
        <f t="shared" si="3"/>
        <v>#N/A</v>
      </c>
      <c r="E1615" s="1" t="s">
        <v>69</v>
      </c>
    </row>
    <row r="1616" ht="15.75" customHeight="1">
      <c r="A1616" s="1" t="s">
        <v>1909</v>
      </c>
      <c r="B1616" s="13" t="str">
        <f t="shared" si="1"/>
        <v>Josh</v>
      </c>
      <c r="C1616" s="13" t="str">
        <f t="shared" si="2"/>
        <v>Downs</v>
      </c>
      <c r="D1616" s="13" t="str">
        <f t="shared" si="3"/>
        <v>#N/A</v>
      </c>
      <c r="E1616" s="1" t="s">
        <v>69</v>
      </c>
    </row>
    <row r="1617" ht="15.75" customHeight="1">
      <c r="A1617" s="1" t="s">
        <v>1909</v>
      </c>
      <c r="B1617" s="13" t="str">
        <f t="shared" si="1"/>
        <v>Josh</v>
      </c>
      <c r="C1617" s="13" t="str">
        <f t="shared" si="2"/>
        <v>Downs</v>
      </c>
      <c r="D1617" s="13" t="str">
        <f t="shared" si="3"/>
        <v>#N/A</v>
      </c>
      <c r="E1617" s="1" t="s">
        <v>69</v>
      </c>
    </row>
    <row r="1618" ht="15.75" customHeight="1">
      <c r="A1618" s="1" t="s">
        <v>1911</v>
      </c>
      <c r="B1618" s="13" t="str">
        <f t="shared" si="1"/>
        <v>Josh</v>
      </c>
      <c r="C1618" s="13" t="str">
        <f t="shared" si="2"/>
        <v>Ferguson</v>
      </c>
      <c r="D1618" s="13" t="str">
        <f t="shared" si="3"/>
        <v>#N/A</v>
      </c>
      <c r="E1618" s="1" t="s">
        <v>66</v>
      </c>
    </row>
    <row r="1619" ht="15.75" customHeight="1">
      <c r="A1619" s="1" t="s">
        <v>1912</v>
      </c>
      <c r="B1619" s="13" t="str">
        <f t="shared" si="1"/>
        <v>Josh</v>
      </c>
      <c r="C1619" s="13" t="str">
        <f t="shared" si="2"/>
        <v>Freeman</v>
      </c>
      <c r="D1619" s="13" t="str">
        <f t="shared" si="3"/>
        <v>#N/A</v>
      </c>
      <c r="E1619" s="1" t="s">
        <v>65</v>
      </c>
    </row>
    <row r="1620" ht="15.75" customHeight="1">
      <c r="A1620" s="1" t="s">
        <v>965</v>
      </c>
      <c r="B1620" s="13" t="str">
        <f t="shared" si="1"/>
        <v>Josh</v>
      </c>
      <c r="C1620" s="13" t="str">
        <f t="shared" si="2"/>
        <v>Gordon</v>
      </c>
      <c r="D1620" s="13" t="str">
        <f t="shared" si="3"/>
        <v>#N/A</v>
      </c>
      <c r="E1620" s="1" t="s">
        <v>69</v>
      </c>
    </row>
    <row r="1621" ht="15.75" customHeight="1">
      <c r="A1621" s="1" t="s">
        <v>1913</v>
      </c>
      <c r="B1621" s="13" t="str">
        <f t="shared" si="1"/>
        <v>Josh</v>
      </c>
      <c r="C1621" s="13" t="str">
        <f t="shared" si="2"/>
        <v>Harper</v>
      </c>
      <c r="D1621" s="13" t="str">
        <f t="shared" si="3"/>
        <v>#N/A</v>
      </c>
      <c r="E1621" s="1" t="s">
        <v>69</v>
      </c>
    </row>
    <row r="1622" ht="15.75" customHeight="1">
      <c r="A1622" s="1" t="s">
        <v>1914</v>
      </c>
      <c r="B1622" s="13" t="str">
        <f t="shared" si="1"/>
        <v>Josh</v>
      </c>
      <c r="C1622" s="13" t="str">
        <f t="shared" si="2"/>
        <v>Harris</v>
      </c>
      <c r="D1622" s="13" t="str">
        <f t="shared" si="3"/>
        <v>#N/A</v>
      </c>
      <c r="E1622" s="1" t="s">
        <v>66</v>
      </c>
    </row>
    <row r="1623" ht="15.75" customHeight="1">
      <c r="A1623" s="1" t="s">
        <v>1915</v>
      </c>
      <c r="B1623" s="13" t="str">
        <f t="shared" si="1"/>
        <v>Josh</v>
      </c>
      <c r="C1623" s="13" t="str">
        <f t="shared" si="2"/>
        <v>Hill</v>
      </c>
      <c r="D1623" s="13" t="str">
        <f t="shared" si="3"/>
        <v>#N/A</v>
      </c>
      <c r="E1623" s="1" t="s">
        <v>68</v>
      </c>
    </row>
    <row r="1624" ht="15.75" customHeight="1">
      <c r="A1624" s="1" t="s">
        <v>1916</v>
      </c>
      <c r="B1624" s="13" t="str">
        <f t="shared" si="1"/>
        <v>Josh</v>
      </c>
      <c r="C1624" s="13" t="str">
        <f t="shared" si="2"/>
        <v>Huff</v>
      </c>
      <c r="D1624" s="13" t="str">
        <f t="shared" si="3"/>
        <v>#N/A</v>
      </c>
      <c r="E1624" s="1" t="s">
        <v>69</v>
      </c>
    </row>
    <row r="1625" ht="15.75" customHeight="1">
      <c r="A1625" s="1" t="s">
        <v>1917</v>
      </c>
      <c r="B1625" s="13" t="str">
        <f t="shared" si="1"/>
        <v>Josh</v>
      </c>
      <c r="C1625" s="13" t="str">
        <f t="shared" si="2"/>
        <v>Imatorbhebhe</v>
      </c>
      <c r="D1625" s="13" t="str">
        <f t="shared" si="3"/>
        <v>#N/A</v>
      </c>
      <c r="E1625" s="1" t="s">
        <v>69</v>
      </c>
    </row>
    <row r="1626" ht="15.75" customHeight="1">
      <c r="A1626" s="1" t="s">
        <v>97</v>
      </c>
      <c r="B1626" s="13" t="str">
        <f t="shared" si="1"/>
        <v>Josh</v>
      </c>
      <c r="C1626" s="13" t="str">
        <f t="shared" si="2"/>
        <v>Jacobs</v>
      </c>
      <c r="D1626" s="13" t="str">
        <f t="shared" si="3"/>
        <v>#N/A</v>
      </c>
      <c r="E1626" s="1" t="s">
        <v>66</v>
      </c>
    </row>
    <row r="1627" ht="15.75" customHeight="1">
      <c r="A1627" s="1" t="s">
        <v>1918</v>
      </c>
      <c r="B1627" s="13" t="str">
        <f t="shared" si="1"/>
        <v>Josh</v>
      </c>
      <c r="C1627" s="13" t="str">
        <f t="shared" si="2"/>
        <v>Johnson</v>
      </c>
      <c r="D1627" s="13" t="str">
        <f t="shared" si="3"/>
        <v>#N/A</v>
      </c>
      <c r="E1627" s="1" t="s">
        <v>69</v>
      </c>
    </row>
    <row r="1628" ht="15.75" customHeight="1">
      <c r="A1628" s="1" t="s">
        <v>1918</v>
      </c>
      <c r="B1628" s="13" t="str">
        <f t="shared" si="1"/>
        <v>Josh</v>
      </c>
      <c r="C1628" s="13" t="str">
        <f t="shared" si="2"/>
        <v>Johnson</v>
      </c>
      <c r="D1628" s="13" t="str">
        <f t="shared" si="3"/>
        <v>#N/A</v>
      </c>
      <c r="E1628" s="1" t="s">
        <v>66</v>
      </c>
    </row>
    <row r="1629" ht="15.75" customHeight="1">
      <c r="A1629" s="1" t="s">
        <v>1918</v>
      </c>
      <c r="B1629" s="13" t="str">
        <f t="shared" si="1"/>
        <v>Josh</v>
      </c>
      <c r="C1629" s="13" t="str">
        <f t="shared" si="2"/>
        <v>Johnson</v>
      </c>
      <c r="D1629" s="13" t="str">
        <f t="shared" si="3"/>
        <v>#N/A</v>
      </c>
      <c r="E1629" s="1" t="s">
        <v>65</v>
      </c>
    </row>
    <row r="1630" ht="15.75" customHeight="1">
      <c r="A1630" s="1" t="s">
        <v>1261</v>
      </c>
      <c r="B1630" s="13" t="str">
        <f t="shared" si="1"/>
        <v>Josh</v>
      </c>
      <c r="C1630" s="13" t="str">
        <f t="shared" si="2"/>
        <v>Lambo</v>
      </c>
      <c r="D1630" s="13" t="str">
        <f t="shared" si="3"/>
        <v>#N/A</v>
      </c>
      <c r="E1630" s="1" t="s">
        <v>64</v>
      </c>
    </row>
    <row r="1631" ht="15.75" customHeight="1">
      <c r="A1631" s="1" t="s">
        <v>1920</v>
      </c>
      <c r="B1631" s="13" t="str">
        <f t="shared" si="1"/>
        <v>Josh</v>
      </c>
      <c r="C1631" s="13" t="str">
        <f t="shared" si="2"/>
        <v>Lenz</v>
      </c>
      <c r="D1631" s="13" t="str">
        <f t="shared" si="3"/>
        <v>#N/A</v>
      </c>
      <c r="E1631" s="1" t="s">
        <v>69</v>
      </c>
    </row>
    <row r="1632" ht="15.75" customHeight="1">
      <c r="A1632" s="1" t="s">
        <v>1921</v>
      </c>
      <c r="B1632" s="13" t="str">
        <f t="shared" si="1"/>
        <v>Josh</v>
      </c>
      <c r="C1632" s="13" t="str">
        <f t="shared" si="2"/>
        <v>Magee</v>
      </c>
      <c r="D1632" s="13" t="str">
        <f t="shared" si="3"/>
        <v>#N/A</v>
      </c>
      <c r="E1632" s="1" t="s">
        <v>69</v>
      </c>
    </row>
    <row r="1633" ht="15.75" customHeight="1">
      <c r="A1633" s="1" t="s">
        <v>1922</v>
      </c>
      <c r="B1633" s="13" t="str">
        <f t="shared" si="1"/>
        <v>Josh</v>
      </c>
      <c r="C1633" s="13" t="str">
        <f t="shared" si="2"/>
        <v>Malone</v>
      </c>
      <c r="D1633" s="13" t="str">
        <f t="shared" si="3"/>
        <v>#N/A</v>
      </c>
      <c r="E1633" s="1" t="s">
        <v>69</v>
      </c>
    </row>
    <row r="1634" ht="15.75" customHeight="1">
      <c r="A1634" s="1" t="s">
        <v>1923</v>
      </c>
      <c r="B1634" s="13" t="str">
        <f t="shared" si="1"/>
        <v>Josh</v>
      </c>
      <c r="C1634" s="13" t="str">
        <f t="shared" si="2"/>
        <v>McCown</v>
      </c>
      <c r="D1634" s="13" t="str">
        <f t="shared" si="3"/>
        <v>#N/A</v>
      </c>
      <c r="E1634" s="1" t="s">
        <v>65</v>
      </c>
    </row>
    <row r="1635" ht="15.75" customHeight="1">
      <c r="A1635" s="1" t="s">
        <v>1924</v>
      </c>
      <c r="B1635" s="13" t="str">
        <f t="shared" si="1"/>
        <v>Josh</v>
      </c>
      <c r="C1635" s="13" t="str">
        <f t="shared" si="2"/>
        <v>Morgan</v>
      </c>
      <c r="D1635" s="13" t="str">
        <f t="shared" si="3"/>
        <v>#N/A</v>
      </c>
      <c r="E1635" s="1" t="s">
        <v>69</v>
      </c>
    </row>
    <row r="1636" ht="15.75" customHeight="1">
      <c r="A1636" s="1" t="s">
        <v>1925</v>
      </c>
      <c r="B1636" s="13" t="str">
        <f t="shared" si="1"/>
        <v>Josh</v>
      </c>
      <c r="C1636" s="13" t="str">
        <f t="shared" si="2"/>
        <v>Oliver</v>
      </c>
      <c r="D1636" s="13" t="str">
        <f t="shared" si="3"/>
        <v>#N/A</v>
      </c>
      <c r="E1636" s="1" t="s">
        <v>68</v>
      </c>
    </row>
    <row r="1637" ht="15.75" customHeight="1">
      <c r="A1637" s="1" t="s">
        <v>1926</v>
      </c>
      <c r="B1637" s="13" t="str">
        <f t="shared" si="1"/>
        <v>Josh</v>
      </c>
      <c r="C1637" s="13" t="str">
        <f t="shared" si="2"/>
        <v>Palmer</v>
      </c>
      <c r="D1637" s="13" t="str">
        <f t="shared" si="3"/>
        <v>#N/A</v>
      </c>
      <c r="E1637" s="1" t="s">
        <v>69</v>
      </c>
    </row>
    <row r="1638" ht="15.75" customHeight="1">
      <c r="A1638" s="1" t="s">
        <v>1927</v>
      </c>
      <c r="B1638" s="13" t="str">
        <f t="shared" si="1"/>
        <v>Josh</v>
      </c>
      <c r="C1638" s="13" t="str">
        <f t="shared" si="2"/>
        <v>Pederson</v>
      </c>
      <c r="D1638" s="13" t="str">
        <f t="shared" si="3"/>
        <v>#N/A</v>
      </c>
      <c r="E1638" s="1" t="s">
        <v>68</v>
      </c>
    </row>
    <row r="1639" ht="15.75" customHeight="1">
      <c r="A1639" s="1" t="s">
        <v>1928</v>
      </c>
      <c r="B1639" s="13" t="str">
        <f t="shared" si="1"/>
        <v>Josh</v>
      </c>
      <c r="C1639" s="13" t="str">
        <f t="shared" si="2"/>
        <v>Reynolds</v>
      </c>
      <c r="D1639" s="13" t="str">
        <f t="shared" si="3"/>
        <v>#N/A</v>
      </c>
      <c r="E1639" s="1" t="s">
        <v>69</v>
      </c>
    </row>
    <row r="1640" ht="15.75" customHeight="1">
      <c r="A1640" s="1" t="s">
        <v>1929</v>
      </c>
      <c r="B1640" s="13" t="str">
        <f t="shared" si="1"/>
        <v>Josh</v>
      </c>
      <c r="C1640" s="13" t="str">
        <f t="shared" si="2"/>
        <v>Robinson</v>
      </c>
      <c r="D1640" s="13" t="str">
        <f t="shared" si="3"/>
        <v>#N/A</v>
      </c>
      <c r="E1640" s="1" t="s">
        <v>66</v>
      </c>
    </row>
    <row r="1641" ht="15.75" customHeight="1">
      <c r="A1641" s="1" t="s">
        <v>1931</v>
      </c>
      <c r="B1641" s="13" t="str">
        <f t="shared" si="1"/>
        <v>Josh</v>
      </c>
      <c r="C1641" s="13" t="str">
        <f t="shared" si="2"/>
        <v>Rosen</v>
      </c>
      <c r="D1641" s="13" t="str">
        <f t="shared" si="3"/>
        <v>#N/A</v>
      </c>
      <c r="E1641" s="1" t="s">
        <v>65</v>
      </c>
    </row>
    <row r="1642" ht="15.75" customHeight="1">
      <c r="A1642" s="1" t="s">
        <v>1932</v>
      </c>
      <c r="B1642" s="13" t="str">
        <f t="shared" si="1"/>
        <v>Josh</v>
      </c>
      <c r="C1642" s="13" t="str">
        <f t="shared" si="2"/>
        <v>Rounds</v>
      </c>
      <c r="D1642" s="13" t="str">
        <f t="shared" si="3"/>
        <v>#N/A</v>
      </c>
      <c r="E1642" s="1" t="s">
        <v>66</v>
      </c>
    </row>
    <row r="1643" ht="15.75" customHeight="1">
      <c r="A1643" s="1" t="s">
        <v>1933</v>
      </c>
      <c r="B1643" s="13" t="str">
        <f t="shared" si="1"/>
        <v>Josh</v>
      </c>
      <c r="C1643" s="13" t="str">
        <f t="shared" si="2"/>
        <v>Stewart</v>
      </c>
      <c r="D1643" s="13" t="str">
        <f t="shared" si="3"/>
        <v>#N/A</v>
      </c>
      <c r="E1643" s="1" t="s">
        <v>69</v>
      </c>
    </row>
    <row r="1644" ht="15.75" customHeight="1">
      <c r="A1644" s="1" t="s">
        <v>1934</v>
      </c>
      <c r="B1644" s="13" t="str">
        <f t="shared" si="1"/>
        <v>Josh</v>
      </c>
      <c r="C1644" s="13" t="str">
        <f t="shared" si="2"/>
        <v>Vann</v>
      </c>
      <c r="D1644" s="13" t="str">
        <f t="shared" si="3"/>
        <v>#N/A</v>
      </c>
      <c r="E1644" s="1" t="s">
        <v>69</v>
      </c>
    </row>
    <row r="1645" ht="15.75" customHeight="1">
      <c r="A1645" s="1" t="s">
        <v>1936</v>
      </c>
      <c r="B1645" s="13" t="str">
        <f t="shared" si="1"/>
        <v>Josh</v>
      </c>
      <c r="C1645" s="13" t="str">
        <f t="shared" si="2"/>
        <v>Whyle</v>
      </c>
      <c r="D1645" s="13" t="str">
        <f t="shared" si="3"/>
        <v>#N/A</v>
      </c>
      <c r="E1645" s="1" t="s">
        <v>68</v>
      </c>
    </row>
    <row r="1646" ht="15.75" customHeight="1">
      <c r="A1646" s="1" t="s">
        <v>1937</v>
      </c>
      <c r="B1646" s="13" t="str">
        <f t="shared" si="1"/>
        <v>Josh</v>
      </c>
      <c r="C1646" s="13" t="str">
        <f t="shared" si="2"/>
        <v>Woodrum</v>
      </c>
      <c r="D1646" s="13" t="str">
        <f t="shared" si="3"/>
        <v>#N/A</v>
      </c>
      <c r="E1646" s="1" t="s">
        <v>65</v>
      </c>
    </row>
    <row r="1647" ht="15.75" customHeight="1">
      <c r="A1647" s="1" t="s">
        <v>1938</v>
      </c>
      <c r="B1647" s="13" t="str">
        <f t="shared" si="1"/>
        <v>Joshua</v>
      </c>
      <c r="C1647" s="13" t="str">
        <f t="shared" si="2"/>
        <v>Dobbs</v>
      </c>
      <c r="D1647" s="13" t="str">
        <f t="shared" si="3"/>
        <v>#N/A</v>
      </c>
      <c r="E1647" s="1" t="s">
        <v>65</v>
      </c>
    </row>
    <row r="1648" ht="15.75" customHeight="1">
      <c r="A1648" s="1" t="s">
        <v>1939</v>
      </c>
      <c r="B1648" s="13" t="str">
        <f t="shared" si="1"/>
        <v>Joshua</v>
      </c>
      <c r="C1648" s="13" t="str">
        <f t="shared" si="2"/>
        <v>Kelley</v>
      </c>
      <c r="D1648" s="13" t="str">
        <f t="shared" si="3"/>
        <v>#N/A</v>
      </c>
      <c r="E1648" s="1" t="s">
        <v>66</v>
      </c>
    </row>
    <row r="1649" ht="15.75" customHeight="1">
      <c r="A1649" s="1" t="s">
        <v>1940</v>
      </c>
      <c r="B1649" s="13" t="str">
        <f t="shared" si="1"/>
        <v>Joshua</v>
      </c>
      <c r="C1649" s="13" t="str">
        <f t="shared" si="2"/>
        <v>Mack</v>
      </c>
      <c r="D1649" s="13" t="str">
        <f t="shared" si="3"/>
        <v>#N/A</v>
      </c>
      <c r="E1649" s="1" t="s">
        <v>66</v>
      </c>
    </row>
    <row r="1650" ht="15.75" customHeight="1">
      <c r="A1650" s="1" t="s">
        <v>1941</v>
      </c>
      <c r="B1650" s="13" t="str">
        <f t="shared" si="1"/>
        <v>Joshua</v>
      </c>
      <c r="C1650" s="13" t="str">
        <f t="shared" si="2"/>
        <v>Perkins</v>
      </c>
      <c r="D1650" s="13" t="str">
        <f t="shared" si="3"/>
        <v>#N/A</v>
      </c>
      <c r="E1650" s="1" t="s">
        <v>68</v>
      </c>
    </row>
    <row r="1651" ht="15.75" customHeight="1">
      <c r="A1651" s="1" t="s">
        <v>1942</v>
      </c>
      <c r="B1651" s="13" t="str">
        <f t="shared" si="1"/>
        <v>Joshuwa</v>
      </c>
      <c r="C1651" s="13" t="str">
        <f t="shared" si="2"/>
        <v>Holloman</v>
      </c>
      <c r="D1651" s="13" t="str">
        <f t="shared" si="3"/>
        <v>#N/A</v>
      </c>
      <c r="E1651" s="1" t="s">
        <v>66</v>
      </c>
    </row>
    <row r="1652" ht="15.75" customHeight="1">
      <c r="A1652" s="1" t="s">
        <v>1943</v>
      </c>
      <c r="B1652" s="13" t="str">
        <f t="shared" si="1"/>
        <v>Josiah</v>
      </c>
      <c r="C1652" s="13" t="str">
        <f t="shared" si="2"/>
        <v>Deguara</v>
      </c>
      <c r="D1652" s="13" t="str">
        <f t="shared" si="3"/>
        <v>#N/A</v>
      </c>
      <c r="E1652" s="1" t="s">
        <v>68</v>
      </c>
    </row>
    <row r="1653" ht="15.75" customHeight="1">
      <c r="A1653" s="1" t="s">
        <v>1944</v>
      </c>
      <c r="B1653" s="13" t="str">
        <f t="shared" si="1"/>
        <v>Josiah</v>
      </c>
      <c r="C1653" s="13" t="str">
        <f t="shared" si="2"/>
        <v>Price</v>
      </c>
      <c r="D1653" s="13" t="str">
        <f t="shared" si="3"/>
        <v>#N/A</v>
      </c>
      <c r="E1653" s="1" t="s">
        <v>68</v>
      </c>
    </row>
    <row r="1654" ht="15.75" customHeight="1">
      <c r="A1654" s="1" t="s">
        <v>1945</v>
      </c>
      <c r="B1654" s="13" t="str">
        <f t="shared" si="1"/>
        <v>Jovon</v>
      </c>
      <c r="C1654" s="13" t="str">
        <f t="shared" si="2"/>
        <v>Durante</v>
      </c>
      <c r="D1654" s="13" t="str">
        <f t="shared" si="3"/>
        <v>#N/A</v>
      </c>
      <c r="E1654" s="1" t="s">
        <v>69</v>
      </c>
    </row>
    <row r="1655" ht="15.75" customHeight="1">
      <c r="A1655" s="1" t="s">
        <v>1946</v>
      </c>
      <c r="B1655" s="13" t="str">
        <f t="shared" si="1"/>
        <v>JT</v>
      </c>
      <c r="C1655" s="13" t="str">
        <f t="shared" si="2"/>
        <v>Daniels</v>
      </c>
      <c r="D1655" s="13" t="str">
        <f t="shared" si="3"/>
        <v>#N/A</v>
      </c>
      <c r="E1655" s="1" t="s">
        <v>65</v>
      </c>
    </row>
    <row r="1656" ht="15.75" customHeight="1">
      <c r="A1656" s="1" t="s">
        <v>435</v>
      </c>
      <c r="B1656" s="13" t="str">
        <f t="shared" si="1"/>
        <v>JuJu</v>
      </c>
      <c r="C1656" s="13" t="str">
        <f t="shared" si="2"/>
        <v>Smith-Schuster</v>
      </c>
      <c r="D1656" s="13" t="str">
        <f t="shared" si="3"/>
        <v>#N/A</v>
      </c>
      <c r="E1656" s="1" t="s">
        <v>69</v>
      </c>
    </row>
    <row r="1657" ht="15.75" customHeight="1">
      <c r="A1657" s="1" t="s">
        <v>618</v>
      </c>
      <c r="B1657" s="13" t="str">
        <f t="shared" si="1"/>
        <v>Julian</v>
      </c>
      <c r="C1657" s="13" t="str">
        <f t="shared" si="2"/>
        <v>Edelman</v>
      </c>
      <c r="D1657" s="13" t="str">
        <f t="shared" si="3"/>
        <v>#N/A</v>
      </c>
      <c r="E1657" s="1" t="s">
        <v>69</v>
      </c>
    </row>
    <row r="1658" ht="15.75" customHeight="1">
      <c r="A1658" s="1" t="s">
        <v>1947</v>
      </c>
      <c r="B1658" s="13" t="str">
        <f t="shared" si="1"/>
        <v>Julian</v>
      </c>
      <c r="C1658" s="13" t="str">
        <f t="shared" si="2"/>
        <v>Fleming</v>
      </c>
      <c r="D1658" s="13" t="str">
        <f t="shared" si="3"/>
        <v>#N/A</v>
      </c>
      <c r="E1658" s="1" t="s">
        <v>69</v>
      </c>
    </row>
    <row r="1659" ht="15.75" customHeight="1">
      <c r="A1659" s="1" t="s">
        <v>1948</v>
      </c>
      <c r="B1659" s="13" t="str">
        <f t="shared" si="1"/>
        <v>Julian</v>
      </c>
      <c r="C1659" s="13" t="str">
        <f t="shared" si="2"/>
        <v>Talley</v>
      </c>
      <c r="D1659" s="13" t="str">
        <f t="shared" si="3"/>
        <v>#N/A</v>
      </c>
      <c r="E1659" s="1" t="s">
        <v>69</v>
      </c>
    </row>
    <row r="1660" ht="15.75" customHeight="1">
      <c r="A1660" s="1" t="s">
        <v>1950</v>
      </c>
      <c r="B1660" s="13" t="str">
        <f t="shared" si="1"/>
        <v>Julian</v>
      </c>
      <c r="C1660" s="13" t="str">
        <f t="shared" si="2"/>
        <v>Williams</v>
      </c>
      <c r="D1660" s="13" t="str">
        <f t="shared" si="3"/>
        <v>#N/A</v>
      </c>
      <c r="E1660" s="1" t="s">
        <v>69</v>
      </c>
    </row>
    <row r="1661" ht="15.75" customHeight="1">
      <c r="A1661" s="1" t="s">
        <v>96</v>
      </c>
      <c r="B1661" s="13" t="str">
        <f t="shared" si="1"/>
        <v>Julio</v>
      </c>
      <c r="C1661" s="13" t="str">
        <f t="shared" si="2"/>
        <v>Jones</v>
      </c>
      <c r="D1661" s="13" t="str">
        <f t="shared" si="3"/>
        <v>#N/A</v>
      </c>
      <c r="E1661" s="1" t="s">
        <v>69</v>
      </c>
    </row>
    <row r="1662" ht="15.75" customHeight="1">
      <c r="A1662" s="1" t="s">
        <v>1951</v>
      </c>
      <c r="B1662" s="13" t="str">
        <f t="shared" si="1"/>
        <v>Julius</v>
      </c>
      <c r="C1662" s="13" t="str">
        <f t="shared" si="2"/>
        <v>Chestnut</v>
      </c>
      <c r="D1662" s="13" t="str">
        <f t="shared" si="3"/>
        <v>#N/A</v>
      </c>
      <c r="E1662" s="1" t="s">
        <v>66</v>
      </c>
    </row>
    <row r="1663" ht="15.75" customHeight="1">
      <c r="A1663" s="1" t="s">
        <v>1731</v>
      </c>
      <c r="B1663" s="13" t="str">
        <f t="shared" si="1"/>
        <v>Julius</v>
      </c>
      <c r="C1663" s="13" t="str">
        <f t="shared" si="2"/>
        <v>Thomas</v>
      </c>
      <c r="D1663" s="13" t="str">
        <f t="shared" si="3"/>
        <v>#N/A</v>
      </c>
      <c r="E1663" s="1" t="s">
        <v>68</v>
      </c>
    </row>
    <row r="1664" ht="15.75" customHeight="1">
      <c r="A1664" s="1" t="s">
        <v>1952</v>
      </c>
      <c r="B1664" s="13" t="str">
        <f t="shared" si="1"/>
        <v>Junior</v>
      </c>
      <c r="C1664" s="13" t="str">
        <f t="shared" si="2"/>
        <v>Hemingway</v>
      </c>
      <c r="D1664" s="13" t="str">
        <f t="shared" si="3"/>
        <v>#N/A</v>
      </c>
      <c r="E1664" s="1" t="s">
        <v>69</v>
      </c>
    </row>
    <row r="1665" ht="15.75" customHeight="1">
      <c r="A1665" s="1" t="s">
        <v>1953</v>
      </c>
      <c r="B1665" s="13" t="str">
        <f t="shared" si="1"/>
        <v>Juron</v>
      </c>
      <c r="C1665" s="13" t="str">
        <f t="shared" si="2"/>
        <v>Criner</v>
      </c>
      <c r="D1665" s="13" t="str">
        <f t="shared" si="3"/>
        <v>#N/A</v>
      </c>
      <c r="E1665" s="1" t="s">
        <v>69</v>
      </c>
    </row>
    <row r="1666" ht="15.75" customHeight="1">
      <c r="A1666" s="1" t="s">
        <v>1954</v>
      </c>
      <c r="B1666" s="13" t="str">
        <f t="shared" si="1"/>
        <v>Justice</v>
      </c>
      <c r="C1666" s="13" t="str">
        <f t="shared" si="2"/>
        <v>Cunningham</v>
      </c>
      <c r="D1666" s="13" t="str">
        <f t="shared" si="3"/>
        <v>#N/A</v>
      </c>
      <c r="E1666" s="1" t="s">
        <v>68</v>
      </c>
    </row>
    <row r="1667" ht="15.75" customHeight="1">
      <c r="A1667" s="1" t="s">
        <v>1955</v>
      </c>
      <c r="B1667" s="13" t="str">
        <f t="shared" si="1"/>
        <v>Justice</v>
      </c>
      <c r="C1667" s="13" t="str">
        <f t="shared" si="2"/>
        <v>Ellison</v>
      </c>
      <c r="D1667" s="13" t="str">
        <f t="shared" si="3"/>
        <v>#N/A</v>
      </c>
      <c r="E1667" s="1" t="s">
        <v>66</v>
      </c>
    </row>
    <row r="1668" ht="15.75" customHeight="1">
      <c r="A1668" s="1" t="s">
        <v>1154</v>
      </c>
      <c r="B1668" s="13" t="str">
        <f t="shared" si="1"/>
        <v>Justice</v>
      </c>
      <c r="C1668" s="13" t="str">
        <f t="shared" si="2"/>
        <v>Hill</v>
      </c>
      <c r="D1668" s="13" t="str">
        <f t="shared" si="3"/>
        <v>#N/A</v>
      </c>
      <c r="E1668" s="1" t="s">
        <v>66</v>
      </c>
    </row>
    <row r="1669" ht="15.75" customHeight="1">
      <c r="A1669" s="1" t="s">
        <v>1956</v>
      </c>
      <c r="B1669" s="13" t="str">
        <f t="shared" si="1"/>
        <v>Justice</v>
      </c>
      <c r="C1669" s="13" t="str">
        <f t="shared" si="2"/>
        <v>Liggins</v>
      </c>
      <c r="D1669" s="13" t="str">
        <f t="shared" si="3"/>
        <v>#N/A</v>
      </c>
      <c r="E1669" s="1" t="s">
        <v>69</v>
      </c>
    </row>
    <row r="1670" ht="15.75" customHeight="1">
      <c r="A1670" s="1" t="s">
        <v>1957</v>
      </c>
      <c r="B1670" s="13" t="str">
        <f t="shared" si="1"/>
        <v>Justin</v>
      </c>
      <c r="C1670" s="13" t="str">
        <f t="shared" si="2"/>
        <v>Blackmon</v>
      </c>
      <c r="D1670" s="13" t="str">
        <f t="shared" si="3"/>
        <v>#N/A</v>
      </c>
      <c r="E1670" s="1" t="s">
        <v>69</v>
      </c>
    </row>
    <row r="1671" ht="15.75" customHeight="1">
      <c r="A1671" s="1" t="s">
        <v>1958</v>
      </c>
      <c r="B1671" s="13" t="str">
        <f t="shared" si="1"/>
        <v>Justin</v>
      </c>
      <c r="C1671" s="13" t="str">
        <f t="shared" si="2"/>
        <v>Brown</v>
      </c>
      <c r="D1671" s="13" t="str">
        <f t="shared" si="3"/>
        <v>#N/A</v>
      </c>
      <c r="E1671" s="1" t="s">
        <v>69</v>
      </c>
    </row>
    <row r="1672" ht="15.75" customHeight="1">
      <c r="A1672" s="1" t="s">
        <v>1959</v>
      </c>
      <c r="B1672" s="13" t="str">
        <f t="shared" si="1"/>
        <v>Justin</v>
      </c>
      <c r="C1672" s="13" t="str">
        <f t="shared" si="2"/>
        <v>Crawford</v>
      </c>
      <c r="D1672" s="13" t="str">
        <f t="shared" si="3"/>
        <v>#N/A</v>
      </c>
      <c r="E1672" s="1" t="s">
        <v>66</v>
      </c>
    </row>
    <row r="1673" ht="15.75" customHeight="1">
      <c r="A1673" s="1" t="s">
        <v>1960</v>
      </c>
      <c r="B1673" s="13" t="str">
        <f t="shared" si="1"/>
        <v>Justin</v>
      </c>
      <c r="C1673" s="13" t="str">
        <f t="shared" si="2"/>
        <v>Davis</v>
      </c>
      <c r="D1673" s="13" t="str">
        <f t="shared" si="3"/>
        <v>#N/A</v>
      </c>
      <c r="E1673" s="1" t="s">
        <v>66</v>
      </c>
    </row>
    <row r="1674" ht="15.75" customHeight="1">
      <c r="A1674" s="1" t="s">
        <v>241</v>
      </c>
      <c r="B1674" s="13" t="str">
        <f t="shared" si="1"/>
        <v>Justin</v>
      </c>
      <c r="C1674" s="13" t="str">
        <f t="shared" si="2"/>
        <v>Fields</v>
      </c>
      <c r="D1674" s="13" t="str">
        <f t="shared" si="3"/>
        <v>#N/A</v>
      </c>
      <c r="E1674" s="1" t="s">
        <v>65</v>
      </c>
    </row>
    <row r="1675" ht="15.75" customHeight="1">
      <c r="A1675" s="1" t="s">
        <v>1961</v>
      </c>
      <c r="B1675" s="13" t="str">
        <f t="shared" si="1"/>
        <v>Justin</v>
      </c>
      <c r="C1675" s="13" t="str">
        <f t="shared" si="2"/>
        <v>Forsett</v>
      </c>
      <c r="D1675" s="13" t="str">
        <f t="shared" si="3"/>
        <v>#N/A</v>
      </c>
      <c r="E1675" s="1" t="s">
        <v>66</v>
      </c>
    </row>
    <row r="1676" ht="15.75" customHeight="1">
      <c r="A1676" s="1" t="s">
        <v>1962</v>
      </c>
      <c r="B1676" s="13" t="str">
        <f t="shared" si="1"/>
        <v>Justin</v>
      </c>
      <c r="C1676" s="13" t="str">
        <f t="shared" si="2"/>
        <v>Hardy</v>
      </c>
      <c r="D1676" s="13" t="str">
        <f t="shared" si="3"/>
        <v>#N/A</v>
      </c>
      <c r="E1676" s="1" t="s">
        <v>69</v>
      </c>
    </row>
    <row r="1677" ht="15.75" customHeight="1">
      <c r="A1677" s="1" t="s">
        <v>128</v>
      </c>
      <c r="B1677" s="13" t="str">
        <f t="shared" si="1"/>
        <v>Justin</v>
      </c>
      <c r="C1677" s="13" t="str">
        <f t="shared" si="2"/>
        <v>Herbert</v>
      </c>
      <c r="D1677" s="13" t="str">
        <f t="shared" si="3"/>
        <v>#N/A</v>
      </c>
      <c r="E1677" s="1" t="s">
        <v>65</v>
      </c>
    </row>
    <row r="1678" ht="15.75" customHeight="1">
      <c r="A1678" s="1" t="s">
        <v>1963</v>
      </c>
      <c r="B1678" s="13" t="str">
        <f t="shared" si="1"/>
        <v>Justin</v>
      </c>
      <c r="C1678" s="13" t="str">
        <f t="shared" si="2"/>
        <v>Hobbs</v>
      </c>
      <c r="D1678" s="13" t="str">
        <f t="shared" si="3"/>
        <v>#N/A</v>
      </c>
      <c r="E1678" s="1" t="s">
        <v>69</v>
      </c>
    </row>
    <row r="1679" ht="15.75" customHeight="1">
      <c r="A1679" s="1" t="s">
        <v>1964</v>
      </c>
      <c r="B1679" s="13" t="str">
        <f t="shared" si="1"/>
        <v>Justin</v>
      </c>
      <c r="C1679" s="13" t="str">
        <f t="shared" si="2"/>
        <v>Hunter</v>
      </c>
      <c r="D1679" s="13" t="str">
        <f t="shared" si="3"/>
        <v>#N/A</v>
      </c>
      <c r="E1679" s="1" t="s">
        <v>69</v>
      </c>
    </row>
    <row r="1680" ht="15.75" customHeight="1">
      <c r="A1680" s="1" t="s">
        <v>1110</v>
      </c>
      <c r="B1680" s="13" t="str">
        <f t="shared" si="1"/>
        <v>Justin</v>
      </c>
      <c r="C1680" s="13" t="str">
        <f t="shared" si="2"/>
        <v>Jackson</v>
      </c>
      <c r="D1680" s="13" t="str">
        <f t="shared" si="3"/>
        <v>#N/A</v>
      </c>
      <c r="E1680" s="1" t="s">
        <v>66</v>
      </c>
    </row>
    <row r="1681" ht="15.75" customHeight="1">
      <c r="A1681" s="1" t="s">
        <v>124</v>
      </c>
      <c r="B1681" s="13" t="str">
        <f t="shared" si="1"/>
        <v>Justin</v>
      </c>
      <c r="C1681" s="13" t="str">
        <f t="shared" si="2"/>
        <v>Jefferson</v>
      </c>
      <c r="D1681" s="13" t="str">
        <f t="shared" si="3"/>
        <v>#N/A</v>
      </c>
      <c r="E1681" s="1" t="s">
        <v>69</v>
      </c>
    </row>
    <row r="1682" ht="15.75" customHeight="1">
      <c r="A1682" s="1" t="s">
        <v>1965</v>
      </c>
      <c r="B1682" s="13" t="str">
        <f t="shared" si="1"/>
        <v>Justin</v>
      </c>
      <c r="C1682" s="13" t="str">
        <f t="shared" si="2"/>
        <v>Jones</v>
      </c>
      <c r="D1682" s="13" t="str">
        <f t="shared" si="3"/>
        <v>#N/A</v>
      </c>
      <c r="E1682" s="1" t="s">
        <v>68</v>
      </c>
    </row>
    <row r="1683" ht="15.75" customHeight="1">
      <c r="A1683" s="1" t="s">
        <v>1966</v>
      </c>
      <c r="B1683" s="13" t="str">
        <f t="shared" si="1"/>
        <v>Justin</v>
      </c>
      <c r="C1683" s="13" t="str">
        <f t="shared" si="2"/>
        <v>Perillo</v>
      </c>
      <c r="D1683" s="13" t="str">
        <f t="shared" si="3"/>
        <v>#N/A</v>
      </c>
      <c r="E1683" s="1" t="s">
        <v>68</v>
      </c>
    </row>
    <row r="1684" ht="15.75" customHeight="1">
      <c r="A1684" s="1" t="s">
        <v>1967</v>
      </c>
      <c r="B1684" s="13" t="str">
        <f t="shared" si="1"/>
        <v>Justin</v>
      </c>
      <c r="C1684" s="13" t="str">
        <f t="shared" si="2"/>
        <v>Shorter</v>
      </c>
      <c r="D1684" s="13" t="str">
        <f t="shared" si="3"/>
        <v>#N/A</v>
      </c>
      <c r="E1684" s="1" t="s">
        <v>69</v>
      </c>
    </row>
    <row r="1685" ht="15.75" customHeight="1">
      <c r="A1685" s="1" t="s">
        <v>1968</v>
      </c>
      <c r="B1685" s="13" t="str">
        <f t="shared" si="1"/>
        <v>Justin</v>
      </c>
      <c r="C1685" s="13" t="str">
        <f t="shared" si="2"/>
        <v>Stockton</v>
      </c>
      <c r="D1685" s="13" t="str">
        <f t="shared" si="3"/>
        <v>#N/A</v>
      </c>
      <c r="E1685" s="1" t="s">
        <v>66</v>
      </c>
    </row>
    <row r="1686" ht="15.75" customHeight="1">
      <c r="A1686" s="1" t="s">
        <v>1969</v>
      </c>
      <c r="B1686" s="13" t="str">
        <f t="shared" si="1"/>
        <v>Justin</v>
      </c>
      <c r="C1686" s="13" t="str">
        <f t="shared" si="2"/>
        <v>Thomas</v>
      </c>
      <c r="D1686" s="13" t="str">
        <f t="shared" si="3"/>
        <v>#N/A</v>
      </c>
      <c r="E1686" s="1" t="s">
        <v>69</v>
      </c>
    </row>
    <row r="1687" ht="15.75" customHeight="1">
      <c r="A1687" s="1" t="s">
        <v>190</v>
      </c>
      <c r="B1687" s="13" t="str">
        <f t="shared" si="1"/>
        <v>Justin</v>
      </c>
      <c r="C1687" s="13" t="str">
        <f t="shared" si="2"/>
        <v>Tucker</v>
      </c>
      <c r="D1687" s="13" t="str">
        <f t="shared" si="3"/>
        <v>#N/A</v>
      </c>
      <c r="E1687" s="1" t="s">
        <v>64</v>
      </c>
    </row>
    <row r="1688" ht="15.75" customHeight="1">
      <c r="A1688" s="1" t="s">
        <v>1970</v>
      </c>
      <c r="B1688" s="13" t="str">
        <f t="shared" si="1"/>
        <v>Justin</v>
      </c>
      <c r="C1688" s="13" t="str">
        <f t="shared" si="2"/>
        <v>Veltung</v>
      </c>
      <c r="D1688" s="13" t="str">
        <f t="shared" si="3"/>
        <v>#N/A</v>
      </c>
      <c r="E1688" s="1" t="s">
        <v>69</v>
      </c>
    </row>
    <row r="1689" ht="15.75" customHeight="1">
      <c r="A1689" s="1" t="s">
        <v>1971</v>
      </c>
      <c r="B1689" s="13" t="str">
        <f t="shared" si="1"/>
        <v>Justin</v>
      </c>
      <c r="C1689" s="13" t="str">
        <f t="shared" si="2"/>
        <v>Watson</v>
      </c>
      <c r="D1689" s="13" t="str">
        <f t="shared" si="3"/>
        <v>#N/A</v>
      </c>
      <c r="E1689" s="1" t="s">
        <v>69</v>
      </c>
    </row>
    <row r="1690" ht="15.75" customHeight="1">
      <c r="A1690" s="1" t="s">
        <v>1972</v>
      </c>
      <c r="B1690" s="13" t="str">
        <f t="shared" si="1"/>
        <v>Juston</v>
      </c>
      <c r="C1690" s="13" t="str">
        <f t="shared" si="2"/>
        <v>Christian</v>
      </c>
      <c r="D1690" s="13" t="str">
        <f t="shared" si="3"/>
        <v>#N/A</v>
      </c>
      <c r="E1690" s="1" t="s">
        <v>69</v>
      </c>
    </row>
    <row r="1691" ht="15.75" customHeight="1">
      <c r="A1691" s="1" t="s">
        <v>1973</v>
      </c>
      <c r="B1691" s="13" t="str">
        <f t="shared" si="1"/>
        <v>Justyn</v>
      </c>
      <c r="C1691" s="13" t="str">
        <f t="shared" si="2"/>
        <v>Ross</v>
      </c>
      <c r="D1691" s="13" t="str">
        <f t="shared" si="3"/>
        <v>#N/A</v>
      </c>
      <c r="E1691" s="1" t="s">
        <v>69</v>
      </c>
    </row>
    <row r="1692" ht="15.75" customHeight="1">
      <c r="A1692" s="1" t="s">
        <v>1974</v>
      </c>
      <c r="B1692" s="13" t="str">
        <f t="shared" si="1"/>
        <v>Juwan</v>
      </c>
      <c r="C1692" s="13" t="str">
        <f t="shared" si="2"/>
        <v>Johnson</v>
      </c>
      <c r="D1692" s="13" t="str">
        <f t="shared" si="3"/>
        <v>#N/A</v>
      </c>
      <c r="E1692" s="1" t="s">
        <v>68</v>
      </c>
    </row>
    <row r="1693" ht="15.75" customHeight="1">
      <c r="A1693" s="1" t="s">
        <v>1975</v>
      </c>
      <c r="B1693" s="13" t="str">
        <f t="shared" si="1"/>
        <v>Juwan</v>
      </c>
      <c r="C1693" s="13" t="str">
        <f t="shared" si="2"/>
        <v>Thompson</v>
      </c>
      <c r="D1693" s="13" t="str">
        <f t="shared" si="3"/>
        <v>#N/A</v>
      </c>
      <c r="E1693" s="1" t="s">
        <v>66</v>
      </c>
    </row>
    <row r="1694" ht="15.75" customHeight="1">
      <c r="A1694" s="1" t="s">
        <v>1976</v>
      </c>
      <c r="B1694" s="13" t="str">
        <f t="shared" si="1"/>
        <v>Juwan</v>
      </c>
      <c r="C1694" s="13" t="str">
        <f t="shared" si="2"/>
        <v>Washington</v>
      </c>
      <c r="D1694" s="13" t="str">
        <f t="shared" si="3"/>
        <v>#N/A</v>
      </c>
      <c r="E1694" s="1" t="s">
        <v>66</v>
      </c>
    </row>
    <row r="1695" ht="15.75" customHeight="1">
      <c r="A1695" s="1" t="s">
        <v>1978</v>
      </c>
      <c r="B1695" s="13" t="str">
        <f t="shared" si="1"/>
        <v>JuWann</v>
      </c>
      <c r="C1695" s="13" t="str">
        <f t="shared" si="2"/>
        <v>Winfree</v>
      </c>
      <c r="D1695" s="13" t="str">
        <f t="shared" si="3"/>
        <v>#N/A</v>
      </c>
      <c r="E1695" s="1" t="s">
        <v>69</v>
      </c>
    </row>
    <row r="1696" ht="15.75" customHeight="1">
      <c r="A1696" s="1" t="s">
        <v>1979</v>
      </c>
      <c r="B1696" s="13" t="str">
        <f t="shared" si="1"/>
        <v>KJ</v>
      </c>
      <c r="C1696" s="13" t="str">
        <f t="shared" si="2"/>
        <v>Brent</v>
      </c>
      <c r="D1696" s="13" t="str">
        <f t="shared" si="3"/>
        <v>#N/A</v>
      </c>
      <c r="E1696" s="1" t="s">
        <v>69</v>
      </c>
    </row>
    <row r="1697" ht="15.75" customHeight="1">
      <c r="A1697" s="1" t="s">
        <v>1981</v>
      </c>
      <c r="B1697" s="13" t="str">
        <f t="shared" si="1"/>
        <v>KJ</v>
      </c>
      <c r="C1697" s="13" t="str">
        <f t="shared" si="2"/>
        <v>Carta-Samuels</v>
      </c>
      <c r="D1697" s="13" t="str">
        <f t="shared" si="3"/>
        <v>#N/A</v>
      </c>
      <c r="E1697" s="1" t="s">
        <v>65</v>
      </c>
    </row>
    <row r="1698" ht="15.75" customHeight="1">
      <c r="A1698" s="1" t="s">
        <v>1982</v>
      </c>
      <c r="B1698" s="13" t="str">
        <f t="shared" si="1"/>
        <v>KJ</v>
      </c>
      <c r="C1698" s="13" t="str">
        <f t="shared" si="2"/>
        <v>Costello</v>
      </c>
      <c r="D1698" s="13" t="str">
        <f t="shared" si="3"/>
        <v>#N/A</v>
      </c>
      <c r="E1698" s="1" t="s">
        <v>65</v>
      </c>
    </row>
    <row r="1699" ht="15.75" customHeight="1">
      <c r="A1699" s="1" t="s">
        <v>1983</v>
      </c>
      <c r="B1699" s="13" t="str">
        <f t="shared" si="1"/>
        <v>KJ</v>
      </c>
      <c r="C1699" s="13" t="str">
        <f t="shared" si="2"/>
        <v>Hamler</v>
      </c>
      <c r="D1699" s="13" t="str">
        <f t="shared" si="3"/>
        <v>#N/A</v>
      </c>
      <c r="E1699" s="1" t="s">
        <v>69</v>
      </c>
    </row>
    <row r="1700" ht="15.75" customHeight="1">
      <c r="A1700" s="1" t="s">
        <v>1984</v>
      </c>
      <c r="B1700" s="13" t="str">
        <f t="shared" si="1"/>
        <v>KJ</v>
      </c>
      <c r="C1700" s="13" t="str">
        <f t="shared" si="2"/>
        <v>Hill</v>
      </c>
      <c r="D1700" s="13" t="str">
        <f t="shared" si="3"/>
        <v>#N/A</v>
      </c>
      <c r="E1700" s="1" t="s">
        <v>69</v>
      </c>
    </row>
    <row r="1701" ht="15.75" customHeight="1">
      <c r="A1701" s="1" t="s">
        <v>1985</v>
      </c>
      <c r="B1701" s="13" t="str">
        <f t="shared" si="1"/>
        <v>KJ</v>
      </c>
      <c r="C1701" s="13" t="str">
        <f t="shared" si="2"/>
        <v>Jefferson</v>
      </c>
      <c r="D1701" s="13" t="str">
        <f t="shared" si="3"/>
        <v>#N/A</v>
      </c>
      <c r="E1701" s="1" t="s">
        <v>65</v>
      </c>
    </row>
    <row r="1702" ht="15.75" customHeight="1">
      <c r="A1702" s="1" t="s">
        <v>1986</v>
      </c>
      <c r="B1702" s="13" t="str">
        <f t="shared" si="1"/>
        <v>KJ</v>
      </c>
      <c r="C1702" s="13" t="str">
        <f t="shared" si="2"/>
        <v>Maye</v>
      </c>
      <c r="D1702" s="13" t="str">
        <f t="shared" si="3"/>
        <v>#N/A</v>
      </c>
      <c r="E1702" s="1" t="s">
        <v>69</v>
      </c>
    </row>
    <row r="1703" ht="15.75" customHeight="1">
      <c r="A1703" s="1" t="s">
        <v>1987</v>
      </c>
      <c r="B1703" s="13" t="str">
        <f t="shared" si="1"/>
        <v>KJ</v>
      </c>
      <c r="C1703" s="13" t="str">
        <f t="shared" si="2"/>
        <v>Osborn</v>
      </c>
      <c r="D1703" s="13" t="str">
        <f t="shared" si="3"/>
        <v>#N/A</v>
      </c>
      <c r="E1703" s="1" t="s">
        <v>69</v>
      </c>
    </row>
    <row r="1704" ht="15.75" customHeight="1">
      <c r="A1704" s="1" t="s">
        <v>1988</v>
      </c>
      <c r="B1704" s="13" t="str">
        <f t="shared" si="1"/>
        <v>Kadarius</v>
      </c>
      <c r="C1704" s="13" t="str">
        <f t="shared" si="2"/>
        <v>Toney</v>
      </c>
      <c r="D1704" s="13" t="str">
        <f t="shared" si="3"/>
        <v>#N/A</v>
      </c>
      <c r="E1704" s="1" t="s">
        <v>69</v>
      </c>
    </row>
    <row r="1705" ht="15.75" customHeight="1">
      <c r="A1705" s="1" t="s">
        <v>1989</v>
      </c>
      <c r="B1705" s="13" t="str">
        <f t="shared" si="1"/>
        <v>Ka'Deem</v>
      </c>
      <c r="C1705" s="13" t="str">
        <f t="shared" si="2"/>
        <v>Carey</v>
      </c>
      <c r="D1705" s="13" t="str">
        <f t="shared" si="3"/>
        <v>#N/A</v>
      </c>
      <c r="E1705" s="1" t="s">
        <v>66</v>
      </c>
    </row>
    <row r="1706" ht="15.75" customHeight="1">
      <c r="A1706" s="1" t="s">
        <v>1990</v>
      </c>
      <c r="B1706" s="13" t="str">
        <f t="shared" si="1"/>
        <v>Kaden</v>
      </c>
      <c r="C1706" s="13" t="str">
        <f t="shared" si="2"/>
        <v>Smith</v>
      </c>
      <c r="D1706" s="13" t="str">
        <f t="shared" si="3"/>
        <v>#N/A</v>
      </c>
      <c r="E1706" s="1" t="s">
        <v>68</v>
      </c>
    </row>
    <row r="1707" ht="15.75" customHeight="1">
      <c r="A1707" s="1" t="s">
        <v>1991</v>
      </c>
      <c r="B1707" s="13" t="str">
        <f t="shared" si="1"/>
        <v>Kadron</v>
      </c>
      <c r="C1707" s="13" t="str">
        <f t="shared" si="2"/>
        <v>Boone</v>
      </c>
      <c r="D1707" s="13" t="str">
        <f t="shared" si="3"/>
        <v>#N/A</v>
      </c>
      <c r="E1707" s="1" t="s">
        <v>69</v>
      </c>
    </row>
    <row r="1708" ht="15.75" customHeight="1">
      <c r="A1708" s="1" t="s">
        <v>1992</v>
      </c>
      <c r="B1708" s="13" t="str">
        <f t="shared" si="1"/>
        <v>Kaelin</v>
      </c>
      <c r="C1708" s="13" t="str">
        <f t="shared" si="2"/>
        <v>Clay</v>
      </c>
      <c r="D1708" s="13" t="str">
        <f t="shared" si="3"/>
        <v>#N/A</v>
      </c>
      <c r="E1708" s="1" t="s">
        <v>69</v>
      </c>
    </row>
    <row r="1709" ht="15.75" customHeight="1">
      <c r="A1709" s="1" t="s">
        <v>1994</v>
      </c>
      <c r="B1709" s="13" t="str">
        <f t="shared" si="1"/>
        <v>Kahale</v>
      </c>
      <c r="C1709" s="13" t="str">
        <f t="shared" si="2"/>
        <v>Warring</v>
      </c>
      <c r="D1709" s="13" t="str">
        <f t="shared" si="3"/>
        <v>#N/A</v>
      </c>
      <c r="E1709" s="1" t="s">
        <v>68</v>
      </c>
    </row>
    <row r="1710" ht="15.75" customHeight="1">
      <c r="A1710" s="1" t="s">
        <v>1995</v>
      </c>
      <c r="B1710" s="13" t="str">
        <f t="shared" si="1"/>
        <v>Kahlil</v>
      </c>
      <c r="C1710" s="13" t="str">
        <f t="shared" si="2"/>
        <v>Bell</v>
      </c>
      <c r="D1710" s="13" t="str">
        <f t="shared" si="3"/>
        <v>#N/A</v>
      </c>
      <c r="E1710" s="1" t="s">
        <v>66</v>
      </c>
    </row>
    <row r="1711" ht="15.75" customHeight="1">
      <c r="A1711" s="1" t="s">
        <v>1996</v>
      </c>
      <c r="B1711" s="13" t="str">
        <f t="shared" si="1"/>
        <v>Kahlil</v>
      </c>
      <c r="C1711" s="13" t="str">
        <f t="shared" si="2"/>
        <v>Lewis</v>
      </c>
      <c r="D1711" s="13" t="str">
        <f t="shared" si="3"/>
        <v>#N/A</v>
      </c>
      <c r="E1711" s="1" t="s">
        <v>69</v>
      </c>
    </row>
    <row r="1712" ht="15.75" customHeight="1">
      <c r="A1712" s="1" t="s">
        <v>923</v>
      </c>
      <c r="B1712" s="13" t="str">
        <f t="shared" si="1"/>
        <v>Ka'imi</v>
      </c>
      <c r="C1712" s="13" t="str">
        <f t="shared" si="2"/>
        <v>Fairbairn</v>
      </c>
      <c r="D1712" s="13" t="str">
        <f t="shared" si="3"/>
        <v>#N/A</v>
      </c>
      <c r="E1712" s="1" t="s">
        <v>64</v>
      </c>
    </row>
    <row r="1713" ht="15.75" customHeight="1">
      <c r="A1713" s="1" t="s">
        <v>1997</v>
      </c>
      <c r="B1713" s="13" t="str">
        <f t="shared" si="1"/>
        <v>Kain</v>
      </c>
      <c r="C1713" s="13" t="str">
        <f t="shared" si="2"/>
        <v>Colter</v>
      </c>
      <c r="D1713" s="13" t="str">
        <f t="shared" si="3"/>
        <v>#N/A</v>
      </c>
      <c r="E1713" s="1" t="s">
        <v>69</v>
      </c>
    </row>
    <row r="1714" ht="15.75" customHeight="1">
      <c r="A1714" s="1" t="s">
        <v>1998</v>
      </c>
      <c r="B1714" s="13" t="str">
        <f t="shared" si="1"/>
        <v>Kaleb</v>
      </c>
      <c r="C1714" s="13" t="str">
        <f t="shared" si="2"/>
        <v>Eleby</v>
      </c>
      <c r="D1714" s="13" t="str">
        <f t="shared" si="3"/>
        <v>#N/A</v>
      </c>
      <c r="E1714" s="1" t="s">
        <v>65</v>
      </c>
    </row>
    <row r="1715" ht="15.75" customHeight="1">
      <c r="A1715" s="1" t="s">
        <v>2000</v>
      </c>
      <c r="B1715" s="13" t="str">
        <f t="shared" si="1"/>
        <v>Kaleb</v>
      </c>
      <c r="C1715" s="13" t="str">
        <f t="shared" si="2"/>
        <v>Smith</v>
      </c>
      <c r="D1715" s="13" t="str">
        <f t="shared" si="3"/>
        <v>#N/A</v>
      </c>
      <c r="E1715" s="1" t="s">
        <v>69</v>
      </c>
    </row>
    <row r="1716" ht="15.75" customHeight="1">
      <c r="A1716" s="1" t="s">
        <v>910</v>
      </c>
      <c r="B1716" s="13" t="str">
        <f t="shared" si="1"/>
        <v>Kalen</v>
      </c>
      <c r="C1716" s="13" t="str">
        <f t="shared" si="2"/>
        <v>Ballage</v>
      </c>
      <c r="D1716" s="13" t="str">
        <f t="shared" si="3"/>
        <v>#N/A</v>
      </c>
      <c r="E1716" s="1" t="s">
        <v>66</v>
      </c>
    </row>
    <row r="1717" ht="15.75" customHeight="1">
      <c r="A1717" s="1" t="s">
        <v>2001</v>
      </c>
      <c r="B1717" s="13" t="str">
        <f t="shared" si="1"/>
        <v>Kalif</v>
      </c>
      <c r="C1717" s="13" t="str">
        <f t="shared" si="2"/>
        <v>Raymond</v>
      </c>
      <c r="D1717" s="13" t="str">
        <f t="shared" si="3"/>
        <v>#N/A</v>
      </c>
      <c r="E1717" s="1" t="s">
        <v>69</v>
      </c>
    </row>
    <row r="1718" ht="15.75" customHeight="1">
      <c r="A1718" s="1" t="s">
        <v>2002</v>
      </c>
      <c r="B1718" s="13" t="str">
        <f t="shared" si="1"/>
        <v>Kalija</v>
      </c>
      <c r="C1718" s="13" t="str">
        <f t="shared" si="2"/>
        <v>Lipscomb</v>
      </c>
      <c r="D1718" s="13" t="str">
        <f t="shared" si="3"/>
        <v>#N/A</v>
      </c>
      <c r="E1718" s="1" t="s">
        <v>69</v>
      </c>
    </row>
    <row r="1719" ht="15.75" customHeight="1">
      <c r="A1719" s="1" t="s">
        <v>2003</v>
      </c>
      <c r="B1719" s="13" t="str">
        <f t="shared" si="1"/>
        <v>Kamar</v>
      </c>
      <c r="C1719" s="13" t="str">
        <f t="shared" si="2"/>
        <v>Aiken</v>
      </c>
      <c r="D1719" s="13" t="str">
        <f t="shared" si="3"/>
        <v>#N/A</v>
      </c>
      <c r="E1719" s="1" t="s">
        <v>69</v>
      </c>
    </row>
    <row r="1720" ht="15.75" customHeight="1">
      <c r="A1720" s="1" t="s">
        <v>2004</v>
      </c>
      <c r="B1720" s="13" t="str">
        <f t="shared" si="1"/>
        <v>Kano</v>
      </c>
      <c r="C1720" s="13" t="str">
        <f t="shared" si="2"/>
        <v>Dillon</v>
      </c>
      <c r="D1720" s="13" t="str">
        <f t="shared" si="3"/>
        <v>#N/A</v>
      </c>
      <c r="E1720" s="1" t="s">
        <v>68</v>
      </c>
    </row>
    <row r="1721" ht="15.75" customHeight="1">
      <c r="A1721" s="1" t="s">
        <v>331</v>
      </c>
      <c r="B1721" s="13" t="str">
        <f t="shared" si="1"/>
        <v>Kansas</v>
      </c>
      <c r="C1721" s="13" t="str">
        <f t="shared" si="2"/>
        <v>City</v>
      </c>
      <c r="D1721" s="13" t="str">
        <f t="shared" si="3"/>
        <v>#N/A</v>
      </c>
      <c r="E1721" s="1" t="s">
        <v>63</v>
      </c>
    </row>
    <row r="1722" ht="15.75" customHeight="1">
      <c r="A1722" s="1" t="s">
        <v>2005</v>
      </c>
      <c r="B1722" s="13" t="str">
        <f t="shared" si="1"/>
        <v>Kapri</v>
      </c>
      <c r="C1722" s="13" t="str">
        <f t="shared" si="2"/>
        <v>Bibbs</v>
      </c>
      <c r="D1722" s="13" t="str">
        <f t="shared" si="3"/>
        <v>#N/A</v>
      </c>
      <c r="E1722" s="1" t="s">
        <v>66</v>
      </c>
    </row>
    <row r="1723" ht="15.75" customHeight="1">
      <c r="A1723" s="1" t="s">
        <v>2006</v>
      </c>
      <c r="B1723" s="13" t="str">
        <f t="shared" si="1"/>
        <v>Karan</v>
      </c>
      <c r="C1723" s="13" t="str">
        <f t="shared" si="2"/>
        <v>Higdon</v>
      </c>
      <c r="D1723" s="13" t="str">
        <f t="shared" si="3"/>
        <v>#N/A</v>
      </c>
      <c r="E1723" s="1" t="s">
        <v>66</v>
      </c>
    </row>
    <row r="1724" ht="15.75" customHeight="1">
      <c r="A1724" s="1" t="s">
        <v>2007</v>
      </c>
      <c r="B1724" s="13" t="str">
        <f t="shared" si="1"/>
        <v>Ka'Raun</v>
      </c>
      <c r="C1724" s="13" t="str">
        <f t="shared" si="2"/>
        <v>White</v>
      </c>
      <c r="D1724" s="13" t="str">
        <f t="shared" si="3"/>
        <v>#N/A</v>
      </c>
      <c r="E1724" s="1" t="s">
        <v>69</v>
      </c>
    </row>
    <row r="1725" ht="15.75" customHeight="1">
      <c r="A1725" s="1" t="s">
        <v>113</v>
      </c>
      <c r="B1725" s="13" t="str">
        <f t="shared" si="1"/>
        <v>Kareem</v>
      </c>
      <c r="C1725" s="13" t="str">
        <f t="shared" si="2"/>
        <v>Hunt</v>
      </c>
      <c r="D1725" s="13" t="str">
        <f t="shared" si="3"/>
        <v>#N/A</v>
      </c>
      <c r="E1725" s="1" t="s">
        <v>66</v>
      </c>
    </row>
    <row r="1726" ht="15.75" customHeight="1">
      <c r="A1726" s="1" t="s">
        <v>2009</v>
      </c>
      <c r="B1726" s="13" t="str">
        <f t="shared" si="1"/>
        <v>Karel</v>
      </c>
      <c r="C1726" s="13" t="str">
        <f t="shared" si="2"/>
        <v>Hamilton</v>
      </c>
      <c r="D1726" s="13" t="str">
        <f t="shared" si="3"/>
        <v>#N/A</v>
      </c>
      <c r="E1726" s="1" t="s">
        <v>69</v>
      </c>
    </row>
    <row r="1727" ht="15.75" customHeight="1">
      <c r="A1727" s="1" t="s">
        <v>2010</v>
      </c>
      <c r="B1727" s="13" t="str">
        <f t="shared" si="1"/>
        <v>Karlos</v>
      </c>
      <c r="C1727" s="13" t="str">
        <f t="shared" si="2"/>
        <v>Williams</v>
      </c>
      <c r="D1727" s="13" t="str">
        <f t="shared" si="3"/>
        <v>#N/A</v>
      </c>
      <c r="E1727" s="1" t="s">
        <v>66</v>
      </c>
    </row>
    <row r="1728" ht="15.75" customHeight="1">
      <c r="A1728" s="1" t="s">
        <v>2011</v>
      </c>
      <c r="B1728" s="13" t="str">
        <f t="shared" si="1"/>
        <v>Kasen</v>
      </c>
      <c r="C1728" s="13" t="str">
        <f t="shared" si="2"/>
        <v>Williams</v>
      </c>
      <c r="D1728" s="13" t="str">
        <f t="shared" si="3"/>
        <v>#N/A</v>
      </c>
      <c r="E1728" s="1" t="s">
        <v>69</v>
      </c>
    </row>
    <row r="1729" ht="15.75" customHeight="1">
      <c r="A1729" s="1" t="s">
        <v>2012</v>
      </c>
      <c r="B1729" s="13" t="str">
        <f t="shared" si="1"/>
        <v>Kashif</v>
      </c>
      <c r="C1729" s="13" t="str">
        <f t="shared" si="2"/>
        <v>Moore</v>
      </c>
      <c r="D1729" s="13" t="str">
        <f t="shared" si="3"/>
        <v>#N/A</v>
      </c>
      <c r="E1729" s="1" t="s">
        <v>69</v>
      </c>
    </row>
    <row r="1730" ht="15.75" customHeight="1">
      <c r="A1730" s="1" t="s">
        <v>2013</v>
      </c>
      <c r="B1730" s="13" t="str">
        <f t="shared" si="1"/>
        <v>Kassim</v>
      </c>
      <c r="C1730" s="13" t="str">
        <f t="shared" si="2"/>
        <v>Osgood</v>
      </c>
      <c r="D1730" s="13" t="str">
        <f t="shared" si="3"/>
        <v>#N/A</v>
      </c>
      <c r="E1730" s="1" t="s">
        <v>69</v>
      </c>
    </row>
    <row r="1731" ht="15.75" customHeight="1">
      <c r="A1731" s="1" t="s">
        <v>2014</v>
      </c>
      <c r="B1731" s="13" t="str">
        <f t="shared" si="1"/>
        <v>Kawaan</v>
      </c>
      <c r="C1731" s="13" t="str">
        <f t="shared" si="2"/>
        <v>Baker</v>
      </c>
      <c r="D1731" s="13" t="str">
        <f t="shared" si="3"/>
        <v>#N/A</v>
      </c>
      <c r="E1731" s="1" t="s">
        <v>69</v>
      </c>
    </row>
    <row r="1732" ht="15.75" customHeight="1">
      <c r="A1732" s="1" t="s">
        <v>2015</v>
      </c>
      <c r="B1732" s="13" t="str">
        <f t="shared" si="1"/>
        <v>Kaylon</v>
      </c>
      <c r="C1732" s="13" t="str">
        <f t="shared" si="2"/>
        <v>Geiger</v>
      </c>
      <c r="D1732" s="13" t="str">
        <f t="shared" si="3"/>
        <v>#N/A</v>
      </c>
      <c r="E1732" s="1" t="s">
        <v>69</v>
      </c>
    </row>
    <row r="1733" ht="15.75" customHeight="1">
      <c r="A1733" s="1" t="s">
        <v>2016</v>
      </c>
      <c r="B1733" s="13" t="str">
        <f t="shared" si="1"/>
        <v>Kayshon</v>
      </c>
      <c r="C1733" s="13" t="str">
        <f t="shared" si="2"/>
        <v>Boutte</v>
      </c>
      <c r="D1733" s="13" t="str">
        <f t="shared" si="3"/>
        <v>#N/A</v>
      </c>
      <c r="E1733" s="1" t="s">
        <v>69</v>
      </c>
    </row>
    <row r="1734" ht="15.75" customHeight="1">
      <c r="A1734" s="1" t="s">
        <v>2017</v>
      </c>
      <c r="B1734" s="13" t="str">
        <f t="shared" si="1"/>
        <v>KD</v>
      </c>
      <c r="C1734" s="13" t="str">
        <f t="shared" si="2"/>
        <v>Cannon</v>
      </c>
      <c r="D1734" s="13" t="str">
        <f t="shared" si="3"/>
        <v>#N/A</v>
      </c>
      <c r="E1734" s="1" t="s">
        <v>69</v>
      </c>
    </row>
    <row r="1735" ht="15.75" customHeight="1">
      <c r="A1735" s="1" t="s">
        <v>2018</v>
      </c>
      <c r="B1735" s="13" t="str">
        <f t="shared" si="1"/>
        <v>Keagan</v>
      </c>
      <c r="C1735" s="13" t="str">
        <f t="shared" si="2"/>
        <v>Johnson</v>
      </c>
      <c r="D1735" s="13" t="str">
        <f t="shared" si="3"/>
        <v>#N/A</v>
      </c>
      <c r="E1735" s="1" t="s">
        <v>69</v>
      </c>
    </row>
    <row r="1736" ht="15.75" customHeight="1">
      <c r="A1736" s="1" t="s">
        <v>2019</v>
      </c>
      <c r="B1736" s="13" t="str">
        <f t="shared" si="1"/>
        <v>Kealoha</v>
      </c>
      <c r="C1736" s="13" t="str">
        <f t="shared" si="2"/>
        <v>Pilares</v>
      </c>
      <c r="D1736" s="13" t="str">
        <f t="shared" si="3"/>
        <v>#N/A</v>
      </c>
      <c r="E1736" s="1" t="s">
        <v>69</v>
      </c>
    </row>
    <row r="1737" ht="15.75" customHeight="1">
      <c r="A1737" s="1" t="s">
        <v>2021</v>
      </c>
      <c r="B1737" s="13" t="str">
        <f t="shared" si="1"/>
        <v>Keaontay</v>
      </c>
      <c r="C1737" s="13" t="str">
        <f t="shared" si="2"/>
        <v>Ingram</v>
      </c>
      <c r="D1737" s="13" t="str">
        <f t="shared" si="3"/>
        <v>#N/A</v>
      </c>
      <c r="E1737" s="1" t="s">
        <v>66</v>
      </c>
    </row>
    <row r="1738" ht="15.75" customHeight="1">
      <c r="A1738" s="1" t="s">
        <v>2023</v>
      </c>
      <c r="B1738" s="13" t="str">
        <f t="shared" si="1"/>
        <v>Kearis</v>
      </c>
      <c r="C1738" s="13" t="str">
        <f t="shared" si="2"/>
        <v>Jackson</v>
      </c>
      <c r="D1738" s="13" t="str">
        <f t="shared" si="3"/>
        <v>#N/A</v>
      </c>
      <c r="E1738" s="1" t="s">
        <v>69</v>
      </c>
    </row>
    <row r="1739" ht="15.75" customHeight="1">
      <c r="A1739" s="1" t="s">
        <v>2024</v>
      </c>
      <c r="B1739" s="13" t="str">
        <f t="shared" si="1"/>
        <v>Kedon</v>
      </c>
      <c r="C1739" s="13" t="str">
        <f t="shared" si="2"/>
        <v>Slovis</v>
      </c>
      <c r="D1739" s="13" t="str">
        <f t="shared" si="3"/>
        <v>#N/A</v>
      </c>
      <c r="E1739" s="1" t="s">
        <v>65</v>
      </c>
    </row>
    <row r="1740" ht="15.75" customHeight="1">
      <c r="A1740" s="1" t="s">
        <v>2025</v>
      </c>
      <c r="B1740" s="13" t="str">
        <f t="shared" si="1"/>
        <v>Keelan</v>
      </c>
      <c r="C1740" s="13" t="str">
        <f t="shared" si="2"/>
        <v>Cole</v>
      </c>
      <c r="D1740" s="13" t="str">
        <f t="shared" si="3"/>
        <v>#N/A</v>
      </c>
      <c r="E1740" s="1" t="s">
        <v>69</v>
      </c>
    </row>
    <row r="1741" ht="15.75" customHeight="1">
      <c r="A1741" s="1" t="s">
        <v>2026</v>
      </c>
      <c r="B1741" s="13" t="str">
        <f t="shared" si="1"/>
        <v>Keelan</v>
      </c>
      <c r="C1741" s="13" t="str">
        <f t="shared" si="2"/>
        <v>Doss</v>
      </c>
      <c r="D1741" s="13" t="str">
        <f t="shared" si="3"/>
        <v>#N/A</v>
      </c>
      <c r="E1741" s="1" t="s">
        <v>69</v>
      </c>
    </row>
    <row r="1742" ht="15.75" customHeight="1">
      <c r="A1742" s="1" t="s">
        <v>80</v>
      </c>
      <c r="B1742" s="13" t="str">
        <f t="shared" si="1"/>
        <v>Keenan</v>
      </c>
      <c r="C1742" s="13" t="str">
        <f t="shared" si="2"/>
        <v>Allen</v>
      </c>
      <c r="D1742" s="13" t="str">
        <f t="shared" si="3"/>
        <v>#N/A</v>
      </c>
      <c r="E1742" s="1" t="s">
        <v>69</v>
      </c>
    </row>
    <row r="1743" ht="15.75" customHeight="1">
      <c r="A1743" s="1" t="s">
        <v>2027</v>
      </c>
      <c r="B1743" s="13" t="str">
        <f t="shared" si="1"/>
        <v>Keenan</v>
      </c>
      <c r="C1743" s="13" t="str">
        <f t="shared" si="2"/>
        <v>Reynolds</v>
      </c>
      <c r="D1743" s="13" t="str">
        <f t="shared" si="3"/>
        <v>#N/A</v>
      </c>
      <c r="E1743" s="1" t="s">
        <v>69</v>
      </c>
    </row>
    <row r="1744" ht="15.75" customHeight="1">
      <c r="A1744" s="1" t="s">
        <v>2028</v>
      </c>
      <c r="B1744" s="13" t="str">
        <f t="shared" si="1"/>
        <v>Keenen</v>
      </c>
      <c r="C1744" s="13" t="str">
        <f t="shared" si="2"/>
        <v>Brown</v>
      </c>
      <c r="D1744" s="13" t="str">
        <f t="shared" si="3"/>
        <v>#N/A</v>
      </c>
      <c r="E1744" s="1" t="s">
        <v>68</v>
      </c>
    </row>
    <row r="1745" ht="15.75" customHeight="1">
      <c r="A1745" s="1" t="s">
        <v>2029</v>
      </c>
      <c r="B1745" s="13" t="str">
        <f t="shared" si="1"/>
        <v>Keeon</v>
      </c>
      <c r="C1745" s="13" t="str">
        <f t="shared" si="2"/>
        <v>Johnson</v>
      </c>
      <c r="D1745" s="13" t="str">
        <f t="shared" si="3"/>
        <v>#N/A</v>
      </c>
      <c r="E1745" s="1" t="s">
        <v>69</v>
      </c>
    </row>
    <row r="1746" ht="15.75" customHeight="1">
      <c r="A1746" s="1" t="s">
        <v>2030</v>
      </c>
      <c r="B1746" s="13" t="str">
        <f t="shared" si="1"/>
        <v>KeeSean</v>
      </c>
      <c r="C1746" s="13" t="str">
        <f t="shared" si="2"/>
        <v>Johnson</v>
      </c>
      <c r="D1746" s="13" t="str">
        <f t="shared" si="3"/>
        <v>#N/A</v>
      </c>
      <c r="E1746" s="1" t="s">
        <v>69</v>
      </c>
    </row>
    <row r="1747" ht="15.75" customHeight="1">
      <c r="A1747" s="1" t="s">
        <v>2031</v>
      </c>
      <c r="B1747" s="13" t="str">
        <f t="shared" si="1"/>
        <v>Keevan</v>
      </c>
      <c r="C1747" s="13" t="str">
        <f t="shared" si="2"/>
        <v>Lucas</v>
      </c>
      <c r="D1747" s="13" t="str">
        <f t="shared" si="3"/>
        <v>#N/A</v>
      </c>
      <c r="E1747" s="1" t="s">
        <v>69</v>
      </c>
    </row>
    <row r="1748" ht="15.75" customHeight="1">
      <c r="A1748" s="1" t="s">
        <v>2032</v>
      </c>
      <c r="B1748" s="13" t="str">
        <f t="shared" si="1"/>
        <v>Keilan</v>
      </c>
      <c r="C1748" s="13" t="str">
        <f t="shared" si="2"/>
        <v>Robinson</v>
      </c>
      <c r="D1748" s="13" t="str">
        <f t="shared" si="3"/>
        <v>#N/A</v>
      </c>
      <c r="E1748" s="1" t="s">
        <v>66</v>
      </c>
    </row>
    <row r="1749" ht="15.75" customHeight="1">
      <c r="A1749" s="1" t="s">
        <v>2033</v>
      </c>
      <c r="B1749" s="13" t="str">
        <f t="shared" si="1"/>
        <v>Keith</v>
      </c>
      <c r="C1749" s="13" t="str">
        <f t="shared" si="2"/>
        <v>Corbin</v>
      </c>
      <c r="D1749" s="13" t="str">
        <f t="shared" si="3"/>
        <v>#N/A</v>
      </c>
      <c r="E1749" s="1" t="s">
        <v>69</v>
      </c>
    </row>
    <row r="1750" ht="15.75" customHeight="1">
      <c r="A1750" s="1" t="s">
        <v>2034</v>
      </c>
      <c r="B1750" s="13" t="str">
        <f t="shared" si="1"/>
        <v>Keith</v>
      </c>
      <c r="C1750" s="13" t="str">
        <f t="shared" si="2"/>
        <v>Ford</v>
      </c>
      <c r="D1750" s="13" t="str">
        <f t="shared" si="3"/>
        <v>#N/A</v>
      </c>
      <c r="E1750" s="1" t="s">
        <v>66</v>
      </c>
    </row>
    <row r="1751" ht="15.75" customHeight="1">
      <c r="A1751" s="1" t="s">
        <v>2035</v>
      </c>
      <c r="B1751" s="13" t="str">
        <f t="shared" si="1"/>
        <v>Keith</v>
      </c>
      <c r="C1751" s="13" t="str">
        <f t="shared" si="2"/>
        <v>Kirkwood</v>
      </c>
      <c r="D1751" s="13" t="str">
        <f t="shared" si="3"/>
        <v>#N/A</v>
      </c>
      <c r="E1751" s="1" t="s">
        <v>69</v>
      </c>
    </row>
    <row r="1752" ht="15.75" customHeight="1">
      <c r="A1752" s="1" t="s">
        <v>2036</v>
      </c>
      <c r="B1752" s="13" t="str">
        <f t="shared" si="1"/>
        <v>Keith</v>
      </c>
      <c r="C1752" s="13" t="str">
        <f t="shared" si="2"/>
        <v>Marshall</v>
      </c>
      <c r="D1752" s="13" t="str">
        <f t="shared" si="3"/>
        <v>#N/A</v>
      </c>
      <c r="E1752" s="1" t="s">
        <v>66</v>
      </c>
    </row>
    <row r="1753" ht="15.75" customHeight="1">
      <c r="A1753" s="1" t="s">
        <v>2037</v>
      </c>
      <c r="B1753" s="13" t="str">
        <f t="shared" si="1"/>
        <v>Keith</v>
      </c>
      <c r="C1753" s="13" t="str">
        <f t="shared" si="2"/>
        <v>Mumphery</v>
      </c>
      <c r="D1753" s="13" t="str">
        <f t="shared" si="3"/>
        <v>#N/A</v>
      </c>
      <c r="E1753" s="1" t="s">
        <v>69</v>
      </c>
    </row>
    <row r="1754" ht="15.75" customHeight="1">
      <c r="A1754" s="1" t="s">
        <v>2038</v>
      </c>
      <c r="B1754" s="13" t="str">
        <f t="shared" si="1"/>
        <v>Keith</v>
      </c>
      <c r="C1754" s="13" t="str">
        <f t="shared" si="2"/>
        <v>Price</v>
      </c>
      <c r="D1754" s="13" t="str">
        <f t="shared" si="3"/>
        <v>#N/A</v>
      </c>
      <c r="E1754" s="1" t="s">
        <v>65</v>
      </c>
    </row>
    <row r="1755" ht="15.75" customHeight="1">
      <c r="A1755" s="1" t="s">
        <v>2039</v>
      </c>
      <c r="B1755" s="13" t="str">
        <f t="shared" si="1"/>
        <v>Keith</v>
      </c>
      <c r="C1755" s="13" t="str">
        <f t="shared" si="2"/>
        <v>Smith</v>
      </c>
      <c r="D1755" s="13" t="str">
        <f t="shared" si="3"/>
        <v>#N/A</v>
      </c>
      <c r="E1755" s="1" t="s">
        <v>66</v>
      </c>
    </row>
    <row r="1756" ht="15.75" customHeight="1">
      <c r="A1756" s="1" t="s">
        <v>2040</v>
      </c>
      <c r="B1756" s="13" t="str">
        <f t="shared" si="1"/>
        <v>Keith</v>
      </c>
      <c r="C1756" s="13" t="str">
        <f t="shared" si="2"/>
        <v>Towbridge</v>
      </c>
      <c r="D1756" s="13" t="str">
        <f t="shared" si="3"/>
        <v>#N/A</v>
      </c>
      <c r="E1756" s="1" t="s">
        <v>68</v>
      </c>
    </row>
    <row r="1757" ht="15.75" customHeight="1">
      <c r="A1757" s="1" t="s">
        <v>2041</v>
      </c>
      <c r="B1757" s="13" t="str">
        <f t="shared" si="1"/>
        <v>Keith</v>
      </c>
      <c r="C1757" s="13" t="str">
        <f t="shared" si="2"/>
        <v>Wenning</v>
      </c>
      <c r="D1757" s="13" t="str">
        <f t="shared" si="3"/>
        <v>#N/A</v>
      </c>
      <c r="E1757" s="1" t="s">
        <v>65</v>
      </c>
    </row>
    <row r="1758" ht="15.75" customHeight="1">
      <c r="A1758" s="1" t="s">
        <v>982</v>
      </c>
      <c r="B1758" s="13" t="str">
        <f t="shared" si="1"/>
        <v>Keke</v>
      </c>
      <c r="C1758" s="13" t="str">
        <f t="shared" si="2"/>
        <v>Coutee</v>
      </c>
      <c r="D1758" s="13" t="str">
        <f t="shared" si="3"/>
        <v>#N/A</v>
      </c>
      <c r="E1758" s="1" t="s">
        <v>69</v>
      </c>
    </row>
    <row r="1759" ht="15.75" customHeight="1">
      <c r="A1759" s="1" t="s">
        <v>2042</v>
      </c>
      <c r="B1759" s="13" t="str">
        <f t="shared" si="1"/>
        <v>Kellen</v>
      </c>
      <c r="C1759" s="13" t="str">
        <f t="shared" si="2"/>
        <v>Clemens</v>
      </c>
      <c r="D1759" s="13" t="str">
        <f t="shared" si="3"/>
        <v>#N/A</v>
      </c>
      <c r="E1759" s="1" t="s">
        <v>65</v>
      </c>
    </row>
    <row r="1760" ht="15.75" customHeight="1">
      <c r="A1760" s="1" t="s">
        <v>2043</v>
      </c>
      <c r="B1760" s="13" t="str">
        <f t="shared" si="1"/>
        <v>Kellen</v>
      </c>
      <c r="C1760" s="13" t="str">
        <f t="shared" si="2"/>
        <v>Davis</v>
      </c>
      <c r="D1760" s="13" t="str">
        <f t="shared" si="3"/>
        <v>#N/A</v>
      </c>
      <c r="E1760" s="1" t="s">
        <v>68</v>
      </c>
    </row>
    <row r="1761" ht="15.75" customHeight="1">
      <c r="A1761" s="1" t="s">
        <v>2044</v>
      </c>
      <c r="B1761" s="13" t="str">
        <f t="shared" si="1"/>
        <v>Kellen</v>
      </c>
      <c r="C1761" s="13" t="str">
        <f t="shared" si="2"/>
        <v>Mond</v>
      </c>
      <c r="D1761" s="13" t="str">
        <f t="shared" si="3"/>
        <v>#N/A</v>
      </c>
      <c r="E1761" s="1" t="s">
        <v>65</v>
      </c>
    </row>
    <row r="1762" ht="15.75" customHeight="1">
      <c r="A1762" s="1" t="s">
        <v>2045</v>
      </c>
      <c r="B1762" s="13" t="str">
        <f t="shared" si="1"/>
        <v>Kellen</v>
      </c>
      <c r="C1762" s="13" t="str">
        <f t="shared" si="2"/>
        <v>Moore</v>
      </c>
      <c r="D1762" s="13" t="str">
        <f t="shared" si="3"/>
        <v>#N/A</v>
      </c>
      <c r="E1762" s="1" t="s">
        <v>65</v>
      </c>
    </row>
    <row r="1763" ht="15.75" customHeight="1">
      <c r="A1763" s="1" t="s">
        <v>2046</v>
      </c>
      <c r="B1763" s="13" t="str">
        <f t="shared" si="1"/>
        <v>Kelly</v>
      </c>
      <c r="C1763" s="13" t="str">
        <f t="shared" si="2"/>
        <v>Bryant</v>
      </c>
      <c r="D1763" s="13" t="str">
        <f t="shared" si="3"/>
        <v>#N/A</v>
      </c>
      <c r="E1763" s="1" t="s">
        <v>65</v>
      </c>
    </row>
    <row r="1764" ht="15.75" customHeight="1">
      <c r="A1764" s="1" t="s">
        <v>2047</v>
      </c>
      <c r="B1764" s="13" t="str">
        <f t="shared" si="1"/>
        <v>Kelton</v>
      </c>
      <c r="C1764" s="13" t="str">
        <f t="shared" si="2"/>
        <v>Moore</v>
      </c>
      <c r="D1764" s="13" t="str">
        <f t="shared" si="3"/>
        <v>#N/A</v>
      </c>
      <c r="E1764" s="1" t="s">
        <v>66</v>
      </c>
    </row>
    <row r="1765" ht="15.75" customHeight="1">
      <c r="A1765" s="1" t="s">
        <v>1315</v>
      </c>
      <c r="B1765" s="13" t="str">
        <f t="shared" si="1"/>
        <v>Kelvin</v>
      </c>
      <c r="C1765" s="13" t="str">
        <f t="shared" si="2"/>
        <v>Benjamin</v>
      </c>
      <c r="D1765" s="13" t="str">
        <f t="shared" si="3"/>
        <v>#N/A</v>
      </c>
      <c r="E1765" s="1" t="s">
        <v>69</v>
      </c>
    </row>
    <row r="1766" ht="15.75" customHeight="1">
      <c r="A1766" s="1" t="s">
        <v>2049</v>
      </c>
      <c r="B1766" s="13" t="str">
        <f t="shared" si="1"/>
        <v>Kelvin</v>
      </c>
      <c r="C1766" s="13" t="str">
        <f t="shared" si="2"/>
        <v>Harmon</v>
      </c>
      <c r="D1766" s="13" t="str">
        <f t="shared" si="3"/>
        <v>#N/A</v>
      </c>
      <c r="E1766" s="1" t="s">
        <v>69</v>
      </c>
    </row>
    <row r="1767" ht="15.75" customHeight="1">
      <c r="A1767" s="1" t="s">
        <v>2050</v>
      </c>
      <c r="B1767" s="13" t="str">
        <f t="shared" si="1"/>
        <v>Kelvin</v>
      </c>
      <c r="C1767" s="13" t="str">
        <f t="shared" si="2"/>
        <v>McKnight</v>
      </c>
      <c r="D1767" s="13" t="str">
        <f t="shared" si="3"/>
        <v>#N/A</v>
      </c>
      <c r="E1767" s="1" t="s">
        <v>69</v>
      </c>
    </row>
    <row r="1768" ht="15.75" customHeight="1">
      <c r="A1768" s="1" t="s">
        <v>2051</v>
      </c>
      <c r="B1768" s="13" t="str">
        <f t="shared" si="1"/>
        <v>Kelvin</v>
      </c>
      <c r="C1768" s="13" t="str">
        <f t="shared" si="2"/>
        <v>Taylor</v>
      </c>
      <c r="D1768" s="13" t="str">
        <f t="shared" si="3"/>
        <v>#N/A</v>
      </c>
      <c r="E1768" s="1" t="s">
        <v>66</v>
      </c>
    </row>
    <row r="1769" ht="15.75" customHeight="1">
      <c r="A1769" s="1" t="s">
        <v>2052</v>
      </c>
      <c r="B1769" s="13" t="str">
        <f t="shared" si="1"/>
        <v>Kenbrell</v>
      </c>
      <c r="C1769" s="13" t="str">
        <f t="shared" si="2"/>
        <v>Thompkins</v>
      </c>
      <c r="D1769" s="13" t="str">
        <f t="shared" si="3"/>
        <v>#N/A</v>
      </c>
      <c r="E1769" s="1" t="s">
        <v>69</v>
      </c>
    </row>
    <row r="1770" ht="15.75" customHeight="1">
      <c r="A1770" s="1" t="s">
        <v>2053</v>
      </c>
      <c r="B1770" s="13" t="str">
        <f t="shared" si="1"/>
        <v>Kendall</v>
      </c>
      <c r="C1770" s="13" t="str">
        <f t="shared" si="2"/>
        <v>Blanton</v>
      </c>
      <c r="D1770" s="13" t="str">
        <f t="shared" si="3"/>
        <v>#N/A</v>
      </c>
      <c r="E1770" s="1" t="s">
        <v>68</v>
      </c>
    </row>
    <row r="1771" ht="15.75" customHeight="1">
      <c r="A1771" s="1" t="s">
        <v>2054</v>
      </c>
      <c r="B1771" s="13" t="str">
        <f t="shared" si="1"/>
        <v>Kendall</v>
      </c>
      <c r="C1771" s="13" t="str">
        <f t="shared" si="2"/>
        <v>Gaskins</v>
      </c>
      <c r="D1771" s="13" t="str">
        <f t="shared" si="3"/>
        <v>#N/A</v>
      </c>
      <c r="E1771" s="1" t="s">
        <v>66</v>
      </c>
    </row>
    <row r="1772" ht="15.75" customHeight="1">
      <c r="A1772" s="1" t="s">
        <v>2055</v>
      </c>
      <c r="B1772" s="13" t="str">
        <f t="shared" si="1"/>
        <v>Kendall</v>
      </c>
      <c r="C1772" s="13" t="str">
        <f t="shared" si="2"/>
        <v>Hinton</v>
      </c>
      <c r="D1772" s="13" t="str">
        <f t="shared" si="3"/>
        <v>#N/A</v>
      </c>
      <c r="E1772" s="1" t="s">
        <v>65</v>
      </c>
    </row>
    <row r="1773" ht="15.75" customHeight="1">
      <c r="A1773" s="1" t="s">
        <v>2057</v>
      </c>
      <c r="B1773" s="13" t="str">
        <f t="shared" si="1"/>
        <v>Kendall</v>
      </c>
      <c r="C1773" s="13" t="str">
        <f t="shared" si="2"/>
        <v>Hunter</v>
      </c>
      <c r="D1773" s="13" t="str">
        <f t="shared" si="3"/>
        <v>#N/A</v>
      </c>
      <c r="E1773" s="1" t="s">
        <v>66</v>
      </c>
    </row>
    <row r="1774" ht="15.75" customHeight="1">
      <c r="A1774" s="1" t="s">
        <v>2058</v>
      </c>
      <c r="B1774" s="13" t="str">
        <f t="shared" si="1"/>
        <v>Kendall</v>
      </c>
      <c r="C1774" s="13" t="str">
        <f t="shared" si="2"/>
        <v>Milton</v>
      </c>
      <c r="D1774" s="13" t="str">
        <f t="shared" si="3"/>
        <v>#N/A</v>
      </c>
      <c r="E1774" s="1" t="s">
        <v>66</v>
      </c>
    </row>
    <row r="1775" ht="15.75" customHeight="1">
      <c r="A1775" s="1" t="s">
        <v>2059</v>
      </c>
      <c r="B1775" s="13" t="str">
        <f t="shared" si="1"/>
        <v>Kendall</v>
      </c>
      <c r="C1775" s="13" t="str">
        <f t="shared" si="2"/>
        <v>Wright</v>
      </c>
      <c r="D1775" s="13" t="str">
        <f t="shared" si="3"/>
        <v>#N/A</v>
      </c>
      <c r="E1775" s="1" t="s">
        <v>69</v>
      </c>
    </row>
    <row r="1776" ht="15.75" customHeight="1">
      <c r="A1776" s="1" t="s">
        <v>2060</v>
      </c>
      <c r="B1776" s="13" t="str">
        <f t="shared" si="1"/>
        <v>Kendre</v>
      </c>
      <c r="C1776" s="13" t="str">
        <f t="shared" si="2"/>
        <v>Miller</v>
      </c>
      <c r="D1776" s="13" t="str">
        <f t="shared" si="3"/>
        <v>#N/A</v>
      </c>
      <c r="E1776" s="1" t="s">
        <v>66</v>
      </c>
    </row>
    <row r="1777" ht="15.75" customHeight="1">
      <c r="A1777" s="1" t="s">
        <v>2061</v>
      </c>
      <c r="B1777" s="13" t="str">
        <f t="shared" si="1"/>
        <v>Kendric</v>
      </c>
      <c r="C1777" s="13" t="str">
        <f t="shared" si="2"/>
        <v>Pryor</v>
      </c>
      <c r="D1777" s="13" t="str">
        <f t="shared" si="3"/>
        <v>#N/A</v>
      </c>
      <c r="E1777" s="1" t="s">
        <v>69</v>
      </c>
    </row>
    <row r="1778" ht="15.75" customHeight="1">
      <c r="A1778" s="1" t="s">
        <v>2062</v>
      </c>
      <c r="B1778" s="13" t="str">
        <f t="shared" si="1"/>
        <v>Kendrick</v>
      </c>
      <c r="C1778" s="13" t="str">
        <f t="shared" si="2"/>
        <v>Bourne</v>
      </c>
      <c r="D1778" s="13" t="str">
        <f t="shared" si="3"/>
        <v>#N/A</v>
      </c>
      <c r="E1778" s="1" t="s">
        <v>69</v>
      </c>
    </row>
    <row r="1779" ht="15.75" customHeight="1">
      <c r="A1779" s="1" t="s">
        <v>2063</v>
      </c>
      <c r="B1779" s="13" t="str">
        <f t="shared" si="1"/>
        <v>Kendrick</v>
      </c>
      <c r="C1779" s="13" t="str">
        <f t="shared" si="2"/>
        <v>Rogers</v>
      </c>
      <c r="D1779" s="13" t="str">
        <f t="shared" si="3"/>
        <v>#N/A</v>
      </c>
      <c r="E1779" s="1" t="s">
        <v>69</v>
      </c>
    </row>
    <row r="1780" ht="15.75" customHeight="1">
      <c r="A1780" s="1" t="s">
        <v>2064</v>
      </c>
      <c r="B1780" s="13" t="str">
        <f t="shared" si="1"/>
        <v>Kene</v>
      </c>
      <c r="C1780" s="13" t="str">
        <f t="shared" si="2"/>
        <v>Nwangwu</v>
      </c>
      <c r="D1780" s="13" t="str">
        <f t="shared" si="3"/>
        <v>#N/A</v>
      </c>
      <c r="E1780" s="1" t="s">
        <v>66</v>
      </c>
    </row>
    <row r="1781" ht="15.75" customHeight="1">
      <c r="A1781" s="1" t="s">
        <v>2065</v>
      </c>
      <c r="B1781" s="13" t="str">
        <f t="shared" si="1"/>
        <v>Kenjon</v>
      </c>
      <c r="C1781" s="13" t="str">
        <f t="shared" si="2"/>
        <v>Barner</v>
      </c>
      <c r="D1781" s="13" t="str">
        <f t="shared" si="3"/>
        <v>#N/A</v>
      </c>
      <c r="E1781" s="1" t="s">
        <v>66</v>
      </c>
    </row>
    <row r="1782" ht="15.75" customHeight="1">
      <c r="A1782" s="1" t="s">
        <v>2066</v>
      </c>
      <c r="B1782" s="13" t="str">
        <f t="shared" si="1"/>
        <v>Kennard</v>
      </c>
      <c r="C1782" s="13" t="str">
        <f t="shared" si="2"/>
        <v>Backman</v>
      </c>
      <c r="D1782" s="13" t="str">
        <f t="shared" si="3"/>
        <v>#N/A</v>
      </c>
      <c r="E1782" s="1" t="s">
        <v>68</v>
      </c>
    </row>
    <row r="1783" ht="15.75" customHeight="1">
      <c r="A1783" s="1" t="s">
        <v>2067</v>
      </c>
      <c r="B1783" s="13" t="str">
        <f t="shared" si="1"/>
        <v>Kennedy</v>
      </c>
      <c r="C1783" s="13" t="str">
        <f t="shared" si="2"/>
        <v>Brooks</v>
      </c>
      <c r="D1783" s="13" t="str">
        <f t="shared" si="3"/>
        <v>#N/A</v>
      </c>
      <c r="E1783" s="1" t="s">
        <v>66</v>
      </c>
    </row>
    <row r="1784" ht="15.75" customHeight="1">
      <c r="A1784" s="1" t="s">
        <v>2068</v>
      </c>
      <c r="B1784" s="13" t="str">
        <f t="shared" si="1"/>
        <v>Kennedy</v>
      </c>
      <c r="C1784" s="13" t="str">
        <f t="shared" si="2"/>
        <v>McKoy</v>
      </c>
      <c r="D1784" s="13" t="str">
        <f t="shared" si="3"/>
        <v>#N/A</v>
      </c>
      <c r="E1784" s="1" t="s">
        <v>66</v>
      </c>
    </row>
    <row r="1785" ht="15.75" customHeight="1">
      <c r="A1785" s="1" t="s">
        <v>2069</v>
      </c>
      <c r="B1785" s="13" t="str">
        <f t="shared" si="1"/>
        <v>Kenneth</v>
      </c>
      <c r="C1785" s="13" t="str">
        <f t="shared" si="2"/>
        <v>Dixon</v>
      </c>
      <c r="D1785" s="13" t="str">
        <f t="shared" si="3"/>
        <v>#N/A</v>
      </c>
      <c r="E1785" s="1" t="s">
        <v>66</v>
      </c>
    </row>
    <row r="1786" ht="15.75" customHeight="1">
      <c r="A1786" s="1" t="s">
        <v>2070</v>
      </c>
      <c r="B1786" s="13" t="str">
        <f t="shared" si="1"/>
        <v>Kenneth</v>
      </c>
      <c r="C1786" s="13" t="str">
        <f t="shared" si="2"/>
        <v>Farrow</v>
      </c>
      <c r="D1786" s="13" t="str">
        <f t="shared" si="3"/>
        <v>#N/A</v>
      </c>
      <c r="E1786" s="1" t="s">
        <v>66</v>
      </c>
    </row>
    <row r="1787" ht="15.75" customHeight="1">
      <c r="A1787" s="1" t="s">
        <v>2071</v>
      </c>
      <c r="B1787" s="13" t="str">
        <f t="shared" si="1"/>
        <v>Kenneth</v>
      </c>
      <c r="C1787" s="13" t="str">
        <f t="shared" si="2"/>
        <v>Gainwell</v>
      </c>
      <c r="D1787" s="13" t="str">
        <f t="shared" si="3"/>
        <v>#N/A</v>
      </c>
      <c r="E1787" s="1" t="s">
        <v>66</v>
      </c>
    </row>
    <row r="1788" ht="15.75" customHeight="1">
      <c r="A1788" s="1" t="s">
        <v>2072</v>
      </c>
      <c r="B1788" s="13" t="str">
        <f t="shared" si="1"/>
        <v>Kenneth</v>
      </c>
      <c r="C1788" s="13" t="str">
        <f t="shared" si="2"/>
        <v>Walker</v>
      </c>
      <c r="D1788" s="13" t="str">
        <f t="shared" si="3"/>
        <v>#N/A</v>
      </c>
      <c r="E1788" s="1" t="s">
        <v>69</v>
      </c>
    </row>
    <row r="1789" ht="15.75" customHeight="1">
      <c r="A1789" s="1" t="s">
        <v>2072</v>
      </c>
      <c r="B1789" s="13" t="str">
        <f t="shared" si="1"/>
        <v>Kenneth</v>
      </c>
      <c r="C1789" s="13" t="str">
        <f t="shared" si="2"/>
        <v>Walker</v>
      </c>
      <c r="D1789" s="13" t="str">
        <f t="shared" si="3"/>
        <v>#N/A</v>
      </c>
      <c r="E1789" s="1" t="s">
        <v>66</v>
      </c>
    </row>
    <row r="1790" ht="15.75" customHeight="1">
      <c r="A1790" s="1" t="s">
        <v>2073</v>
      </c>
      <c r="B1790" s="13" t="str">
        <f t="shared" si="1"/>
        <v>Kenny</v>
      </c>
      <c r="C1790" s="13" t="str">
        <f t="shared" si="2"/>
        <v>Bell</v>
      </c>
      <c r="D1790" s="13" t="str">
        <f t="shared" si="3"/>
        <v>#N/A</v>
      </c>
      <c r="E1790" s="1" t="s">
        <v>69</v>
      </c>
    </row>
    <row r="1791" ht="15.75" customHeight="1">
      <c r="A1791" s="1" t="s">
        <v>1541</v>
      </c>
      <c r="B1791" s="13" t="str">
        <f t="shared" si="1"/>
        <v>Kenny</v>
      </c>
      <c r="C1791" s="13" t="str">
        <f t="shared" si="2"/>
        <v>Britt</v>
      </c>
      <c r="D1791" s="13" t="str">
        <f t="shared" si="3"/>
        <v>#N/A</v>
      </c>
      <c r="E1791" s="1" t="s">
        <v>69</v>
      </c>
    </row>
    <row r="1792" ht="15.75" customHeight="1">
      <c r="A1792" s="1" t="s">
        <v>2074</v>
      </c>
      <c r="B1792" s="13" t="str">
        <f t="shared" si="1"/>
        <v>Kenny</v>
      </c>
      <c r="C1792" s="13" t="str">
        <f t="shared" si="2"/>
        <v>Cook</v>
      </c>
      <c r="D1792" s="13" t="str">
        <f t="shared" si="3"/>
        <v>#N/A</v>
      </c>
      <c r="E1792" s="1" t="s">
        <v>69</v>
      </c>
    </row>
    <row r="1793" ht="15.75" customHeight="1">
      <c r="A1793" s="1" t="s">
        <v>130</v>
      </c>
      <c r="B1793" s="13" t="str">
        <f t="shared" si="1"/>
        <v>Kenny</v>
      </c>
      <c r="C1793" s="13" t="str">
        <f t="shared" si="2"/>
        <v>Golladay</v>
      </c>
      <c r="D1793" s="13" t="str">
        <f t="shared" si="3"/>
        <v>#N/A</v>
      </c>
      <c r="E1793" s="1" t="s">
        <v>69</v>
      </c>
    </row>
    <row r="1794" ht="15.75" customHeight="1">
      <c r="A1794" s="1" t="s">
        <v>2075</v>
      </c>
      <c r="B1794" s="13" t="str">
        <f t="shared" si="1"/>
        <v>Kenny</v>
      </c>
      <c r="C1794" s="13" t="str">
        <f t="shared" si="2"/>
        <v>Hilliard</v>
      </c>
      <c r="D1794" s="13" t="str">
        <f t="shared" si="3"/>
        <v>#N/A</v>
      </c>
      <c r="E1794" s="1" t="s">
        <v>66</v>
      </c>
    </row>
    <row r="1795" ht="15.75" customHeight="1">
      <c r="A1795" s="1" t="s">
        <v>2076</v>
      </c>
      <c r="B1795" s="13" t="str">
        <f t="shared" si="1"/>
        <v>Kenny</v>
      </c>
      <c r="C1795" s="13" t="str">
        <f t="shared" si="2"/>
        <v>Lawler</v>
      </c>
      <c r="D1795" s="13" t="str">
        <f t="shared" si="3"/>
        <v>#N/A</v>
      </c>
      <c r="E1795" s="1" t="s">
        <v>69</v>
      </c>
    </row>
    <row r="1796" ht="15.75" customHeight="1">
      <c r="A1796" s="1" t="s">
        <v>2077</v>
      </c>
      <c r="B1796" s="13" t="str">
        <f t="shared" si="1"/>
        <v>Kenny</v>
      </c>
      <c r="C1796" s="13" t="str">
        <f t="shared" si="2"/>
        <v>McIntosh</v>
      </c>
      <c r="D1796" s="13" t="str">
        <f t="shared" si="3"/>
        <v>#N/A</v>
      </c>
      <c r="E1796" s="1" t="s">
        <v>66</v>
      </c>
    </row>
    <row r="1797" ht="15.75" customHeight="1">
      <c r="A1797" s="1" t="s">
        <v>2078</v>
      </c>
      <c r="B1797" s="13" t="str">
        <f t="shared" si="1"/>
        <v>Kenny</v>
      </c>
      <c r="C1797" s="13" t="str">
        <f t="shared" si="2"/>
        <v>Pickett</v>
      </c>
      <c r="D1797" s="13" t="str">
        <f t="shared" si="3"/>
        <v>#N/A</v>
      </c>
      <c r="E1797" s="1" t="s">
        <v>65</v>
      </c>
    </row>
    <row r="1798" ht="15.75" customHeight="1">
      <c r="A1798" s="1" t="s">
        <v>2079</v>
      </c>
      <c r="B1798" s="13" t="str">
        <f t="shared" si="1"/>
        <v>Kenny</v>
      </c>
      <c r="C1798" s="13" t="str">
        <f t="shared" si="2"/>
        <v>Shaw</v>
      </c>
      <c r="D1798" s="13" t="str">
        <f t="shared" si="3"/>
        <v>#N/A</v>
      </c>
      <c r="E1798" s="1" t="s">
        <v>69</v>
      </c>
    </row>
    <row r="1799" ht="15.75" customHeight="1">
      <c r="A1799" s="1" t="s">
        <v>1131</v>
      </c>
      <c r="B1799" s="13" t="str">
        <f t="shared" si="1"/>
        <v>Kenny</v>
      </c>
      <c r="C1799" s="13" t="str">
        <f t="shared" si="2"/>
        <v>Stills</v>
      </c>
      <c r="D1799" s="13" t="str">
        <f t="shared" si="3"/>
        <v>#N/A</v>
      </c>
      <c r="E1799" s="1" t="s">
        <v>69</v>
      </c>
    </row>
    <row r="1800" ht="15.75" customHeight="1">
      <c r="A1800" s="1" t="s">
        <v>2080</v>
      </c>
      <c r="B1800" s="13" t="str">
        <f t="shared" si="1"/>
        <v>Kenny</v>
      </c>
      <c r="C1800" s="13" t="str">
        <f t="shared" si="2"/>
        <v>Yeboah</v>
      </c>
      <c r="D1800" s="13" t="str">
        <f t="shared" si="3"/>
        <v>#N/A</v>
      </c>
      <c r="E1800" s="1" t="s">
        <v>68</v>
      </c>
    </row>
    <row r="1801" ht="15.75" customHeight="1">
      <c r="A1801" s="1" t="s">
        <v>2081</v>
      </c>
      <c r="B1801" s="13" t="str">
        <f t="shared" si="1"/>
        <v>Kenny</v>
      </c>
      <c r="C1801" s="13" t="str">
        <f t="shared" si="2"/>
        <v>Young</v>
      </c>
      <c r="D1801" s="13" t="str">
        <f t="shared" si="3"/>
        <v>#N/A</v>
      </c>
      <c r="E1801" s="1" t="s">
        <v>66</v>
      </c>
    </row>
    <row r="1802" ht="15.75" customHeight="1">
      <c r="A1802" s="1" t="s">
        <v>2082</v>
      </c>
      <c r="B1802" s="13" t="str">
        <f t="shared" si="1"/>
        <v>Kent</v>
      </c>
      <c r="C1802" s="13" t="str">
        <f t="shared" si="2"/>
        <v>Taylor</v>
      </c>
      <c r="D1802" s="13" t="str">
        <f t="shared" si="3"/>
        <v>#N/A</v>
      </c>
      <c r="E1802" s="1" t="s">
        <v>68</v>
      </c>
    </row>
    <row r="1803" ht="15.75" customHeight="1">
      <c r="A1803" s="1" t="s">
        <v>362</v>
      </c>
      <c r="B1803" s="13" t="str">
        <f t="shared" si="1"/>
        <v>Kenyan</v>
      </c>
      <c r="C1803" s="13" t="str">
        <f t="shared" si="2"/>
        <v>Drake</v>
      </c>
      <c r="D1803" s="13" t="str">
        <f t="shared" si="3"/>
        <v>#N/A</v>
      </c>
      <c r="E1803" s="1" t="s">
        <v>66</v>
      </c>
    </row>
    <row r="1804" ht="15.75" customHeight="1">
      <c r="A1804" s="1" t="s">
        <v>2083</v>
      </c>
      <c r="B1804" s="13" t="str">
        <f t="shared" si="1"/>
        <v>Keon</v>
      </c>
      <c r="C1804" s="13" t="str">
        <f t="shared" si="2"/>
        <v>Hatcher</v>
      </c>
      <c r="D1804" s="13" t="str">
        <f t="shared" si="3"/>
        <v>#N/A</v>
      </c>
      <c r="E1804" s="1" t="s">
        <v>69</v>
      </c>
    </row>
    <row r="1805" ht="15.75" customHeight="1">
      <c r="A1805" s="1" t="s">
        <v>2084</v>
      </c>
      <c r="B1805" s="13" t="str">
        <f t="shared" si="1"/>
        <v>Kermit</v>
      </c>
      <c r="C1805" s="13" t="str">
        <f t="shared" si="2"/>
        <v>Whitfield</v>
      </c>
      <c r="D1805" s="13" t="str">
        <f t="shared" si="3"/>
        <v>#N/A</v>
      </c>
      <c r="E1805" s="1" t="s">
        <v>69</v>
      </c>
    </row>
    <row r="1806" ht="15.75" customHeight="1">
      <c r="A1806" s="1" t="s">
        <v>2085</v>
      </c>
      <c r="B1806" s="13" t="str">
        <f t="shared" si="1"/>
        <v>Kerrith</v>
      </c>
      <c r="C1806" s="13" t="str">
        <f t="shared" si="2"/>
        <v>Whyte</v>
      </c>
      <c r="D1806" s="13" t="str">
        <f t="shared" si="3"/>
        <v>#N/A</v>
      </c>
      <c r="E1806" s="1" t="s">
        <v>66</v>
      </c>
    </row>
    <row r="1807" ht="15.75" customHeight="1">
      <c r="A1807" s="1" t="s">
        <v>2086</v>
      </c>
      <c r="B1807" s="13" t="str">
        <f t="shared" si="1"/>
        <v>Kerry</v>
      </c>
      <c r="C1807" s="13" t="str">
        <f t="shared" si="2"/>
        <v>Taylor</v>
      </c>
      <c r="D1807" s="13" t="str">
        <f t="shared" si="3"/>
        <v>#N/A</v>
      </c>
      <c r="E1807" s="1" t="s">
        <v>69</v>
      </c>
    </row>
    <row r="1808" ht="15.75" customHeight="1">
      <c r="A1808" s="1" t="s">
        <v>491</v>
      </c>
      <c r="B1808" s="13" t="str">
        <f t="shared" si="1"/>
        <v>Kerryon</v>
      </c>
      <c r="C1808" s="13" t="str">
        <f t="shared" si="2"/>
        <v>Johnson</v>
      </c>
      <c r="D1808" s="13" t="str">
        <f t="shared" si="3"/>
        <v>#N/A</v>
      </c>
      <c r="E1808" s="1" t="s">
        <v>66</v>
      </c>
    </row>
    <row r="1809" ht="15.75" customHeight="1">
      <c r="A1809" s="1" t="s">
        <v>2087</v>
      </c>
      <c r="B1809" s="13" t="str">
        <f t="shared" si="1"/>
        <v>Kerwynn</v>
      </c>
      <c r="C1809" s="13" t="str">
        <f t="shared" si="2"/>
        <v>Williams</v>
      </c>
      <c r="D1809" s="13" t="str">
        <f t="shared" si="3"/>
        <v>#N/A</v>
      </c>
      <c r="E1809" s="1" t="s">
        <v>66</v>
      </c>
    </row>
    <row r="1810" ht="15.75" customHeight="1">
      <c r="A1810" s="1" t="s">
        <v>2088</v>
      </c>
      <c r="B1810" s="13" t="str">
        <f t="shared" si="1"/>
        <v>Kesean</v>
      </c>
      <c r="C1810" s="13" t="str">
        <f t="shared" si="2"/>
        <v>Strong</v>
      </c>
      <c r="D1810" s="13" t="str">
        <f t="shared" si="3"/>
        <v>#N/A</v>
      </c>
      <c r="E1810" s="1" t="s">
        <v>66</v>
      </c>
    </row>
    <row r="1811" ht="15.75" customHeight="1">
      <c r="A1811" s="1" t="s">
        <v>2089</v>
      </c>
      <c r="B1811" s="13" t="str">
        <f t="shared" si="1"/>
        <v>Keshawn</v>
      </c>
      <c r="C1811" s="13" t="str">
        <f t="shared" si="2"/>
        <v>Hill</v>
      </c>
      <c r="D1811" s="13" t="str">
        <f t="shared" si="3"/>
        <v>#N/A</v>
      </c>
      <c r="E1811" s="1" t="s">
        <v>66</v>
      </c>
    </row>
    <row r="1812" ht="15.75" customHeight="1">
      <c r="A1812" s="1" t="s">
        <v>2090</v>
      </c>
      <c r="B1812" s="13" t="str">
        <f t="shared" si="1"/>
        <v>Keshawn</v>
      </c>
      <c r="C1812" s="13" t="str">
        <f t="shared" si="2"/>
        <v>Martin</v>
      </c>
      <c r="D1812" s="13" t="str">
        <f t="shared" si="3"/>
        <v>#N/A</v>
      </c>
      <c r="E1812" s="1" t="s">
        <v>69</v>
      </c>
    </row>
    <row r="1813" ht="15.75" customHeight="1">
      <c r="A1813" s="1" t="s">
        <v>2091</v>
      </c>
      <c r="B1813" s="13" t="str">
        <f t="shared" si="1"/>
        <v>Ke'Shawn</v>
      </c>
      <c r="C1813" s="13" t="str">
        <f t="shared" si="2"/>
        <v>Vaughn</v>
      </c>
      <c r="D1813" s="13" t="str">
        <f t="shared" si="3"/>
        <v>#N/A</v>
      </c>
      <c r="E1813" s="1" t="s">
        <v>66</v>
      </c>
    </row>
    <row r="1814" ht="15.75" customHeight="1">
      <c r="A1814" s="1" t="s">
        <v>2092</v>
      </c>
      <c r="B1814" s="13" t="str">
        <f t="shared" si="1"/>
        <v>Ketron</v>
      </c>
      <c r="C1814" s="13" t="str">
        <f t="shared" si="2"/>
        <v>Jackson</v>
      </c>
      <c r="D1814" s="13" t="str">
        <f t="shared" si="3"/>
        <v>#N/A</v>
      </c>
      <c r="E1814" s="1" t="s">
        <v>69</v>
      </c>
    </row>
    <row r="1815" ht="15.75" customHeight="1">
      <c r="A1815" s="1" t="s">
        <v>2093</v>
      </c>
      <c r="B1815" s="13" t="str">
        <f t="shared" si="1"/>
        <v>Kevin</v>
      </c>
      <c r="C1815" s="13" t="str">
        <f t="shared" si="2"/>
        <v>Austin</v>
      </c>
      <c r="D1815" s="13" t="str">
        <f t="shared" si="3"/>
        <v>#N/A</v>
      </c>
      <c r="E1815" s="1" t="s">
        <v>69</v>
      </c>
    </row>
    <row r="1816" ht="15.75" customHeight="1">
      <c r="A1816" s="1" t="s">
        <v>2094</v>
      </c>
      <c r="B1816" s="13" t="str">
        <f t="shared" si="1"/>
        <v>Kevin</v>
      </c>
      <c r="C1816" s="13" t="str">
        <f t="shared" si="2"/>
        <v>Brown</v>
      </c>
      <c r="D1816" s="13" t="str">
        <f t="shared" si="3"/>
        <v>#N/A</v>
      </c>
      <c r="E1816" s="1" t="s">
        <v>66</v>
      </c>
    </row>
    <row r="1817" ht="15.75" customHeight="1">
      <c r="A1817" s="1" t="s">
        <v>2095</v>
      </c>
      <c r="B1817" s="13" t="str">
        <f t="shared" si="1"/>
        <v>Kevin</v>
      </c>
      <c r="C1817" s="13" t="str">
        <f t="shared" si="2"/>
        <v>Coleman</v>
      </c>
      <c r="D1817" s="13" t="str">
        <f t="shared" si="3"/>
        <v>#N/A</v>
      </c>
      <c r="E1817" s="1" t="s">
        <v>69</v>
      </c>
    </row>
    <row r="1818" ht="15.75" customHeight="1">
      <c r="A1818" s="1" t="s">
        <v>2096</v>
      </c>
      <c r="B1818" s="13" t="str">
        <f t="shared" si="1"/>
        <v>Kevin</v>
      </c>
      <c r="C1818" s="13" t="str">
        <f t="shared" si="2"/>
        <v>Cone</v>
      </c>
      <c r="D1818" s="13" t="str">
        <f t="shared" si="3"/>
        <v>#N/A</v>
      </c>
      <c r="E1818" s="1" t="s">
        <v>69</v>
      </c>
    </row>
    <row r="1819" ht="15.75" customHeight="1">
      <c r="A1819" s="1" t="s">
        <v>2097</v>
      </c>
      <c r="B1819" s="13" t="str">
        <f t="shared" si="1"/>
        <v>Kevin</v>
      </c>
      <c r="C1819" s="13" t="str">
        <f t="shared" si="2"/>
        <v>Davidson</v>
      </c>
      <c r="D1819" s="13" t="str">
        <f t="shared" si="3"/>
        <v>#N/A</v>
      </c>
      <c r="E1819" s="1" t="s">
        <v>65</v>
      </c>
    </row>
    <row r="1820" ht="15.75" customHeight="1">
      <c r="A1820" s="1" t="s">
        <v>2098</v>
      </c>
      <c r="B1820" s="13" t="str">
        <f t="shared" si="1"/>
        <v>Kevin</v>
      </c>
      <c r="C1820" s="13" t="str">
        <f t="shared" si="2"/>
        <v>Dorsey</v>
      </c>
      <c r="D1820" s="13" t="str">
        <f t="shared" si="3"/>
        <v>#N/A</v>
      </c>
      <c r="E1820" s="1" t="s">
        <v>69</v>
      </c>
    </row>
    <row r="1821" ht="15.75" customHeight="1">
      <c r="A1821" s="1" t="s">
        <v>2099</v>
      </c>
      <c r="B1821" s="13" t="str">
        <f t="shared" si="1"/>
        <v>Kevin</v>
      </c>
      <c r="C1821" s="13" t="str">
        <f t="shared" si="2"/>
        <v>Elliott</v>
      </c>
      <c r="D1821" s="13" t="str">
        <f t="shared" si="3"/>
        <v>#N/A</v>
      </c>
      <c r="E1821" s="1" t="s">
        <v>69</v>
      </c>
    </row>
    <row r="1822" ht="15.75" customHeight="1">
      <c r="A1822" s="1" t="s">
        <v>2100</v>
      </c>
      <c r="B1822" s="13" t="str">
        <f t="shared" si="1"/>
        <v>Kevin</v>
      </c>
      <c r="C1822" s="13" t="str">
        <f t="shared" si="2"/>
        <v>Harris</v>
      </c>
      <c r="D1822" s="13" t="str">
        <f t="shared" si="3"/>
        <v>#N/A</v>
      </c>
      <c r="E1822" s="1" t="s">
        <v>66</v>
      </c>
    </row>
    <row r="1823" ht="15.75" customHeight="1">
      <c r="A1823" s="1" t="s">
        <v>2101</v>
      </c>
      <c r="B1823" s="13" t="str">
        <f t="shared" si="1"/>
        <v>Kevin</v>
      </c>
      <c r="C1823" s="13" t="str">
        <f t="shared" si="2"/>
        <v>Hogan</v>
      </c>
      <c r="D1823" s="13" t="str">
        <f t="shared" si="3"/>
        <v>#N/A</v>
      </c>
      <c r="E1823" s="1" t="s">
        <v>65</v>
      </c>
    </row>
    <row r="1824" ht="15.75" customHeight="1">
      <c r="A1824" s="1" t="s">
        <v>2102</v>
      </c>
      <c r="B1824" s="13" t="str">
        <f t="shared" si="1"/>
        <v>Kevin</v>
      </c>
      <c r="C1824" s="13" t="str">
        <f t="shared" si="2"/>
        <v>Kolb</v>
      </c>
      <c r="D1824" s="13" t="str">
        <f t="shared" si="3"/>
        <v>#N/A</v>
      </c>
      <c r="E1824" s="1" t="s">
        <v>65</v>
      </c>
    </row>
    <row r="1825" ht="15.75" customHeight="1">
      <c r="A1825" s="1" t="s">
        <v>2103</v>
      </c>
      <c r="B1825" s="13" t="str">
        <f t="shared" si="1"/>
        <v>Kevin</v>
      </c>
      <c r="C1825" s="13" t="str">
        <f t="shared" si="2"/>
        <v>Marks</v>
      </c>
      <c r="D1825" s="13" t="str">
        <f t="shared" si="3"/>
        <v>#N/A</v>
      </c>
      <c r="E1825" s="1" t="s">
        <v>66</v>
      </c>
    </row>
    <row r="1826" ht="15.75" customHeight="1">
      <c r="A1826" s="1" t="s">
        <v>2104</v>
      </c>
      <c r="B1826" s="13" t="str">
        <f t="shared" si="1"/>
        <v>Kevin</v>
      </c>
      <c r="C1826" s="13" t="str">
        <f t="shared" si="2"/>
        <v>Norwood</v>
      </c>
      <c r="D1826" s="13" t="str">
        <f t="shared" si="3"/>
        <v>#N/A</v>
      </c>
      <c r="E1826" s="1" t="s">
        <v>69</v>
      </c>
    </row>
    <row r="1827" ht="15.75" customHeight="1">
      <c r="A1827" s="1" t="s">
        <v>2105</v>
      </c>
      <c r="B1827" s="13" t="str">
        <f t="shared" si="1"/>
        <v>Kevin</v>
      </c>
      <c r="C1827" s="13" t="str">
        <f t="shared" si="2"/>
        <v>Ogletree</v>
      </c>
      <c r="D1827" s="13" t="str">
        <f t="shared" si="3"/>
        <v>#N/A</v>
      </c>
      <c r="E1827" s="1" t="s">
        <v>69</v>
      </c>
    </row>
    <row r="1828" ht="15.75" customHeight="1">
      <c r="A1828" s="1" t="s">
        <v>2106</v>
      </c>
      <c r="B1828" s="13" t="str">
        <f t="shared" si="1"/>
        <v>Kevin</v>
      </c>
      <c r="C1828" s="13" t="str">
        <f t="shared" si="2"/>
        <v>Rader</v>
      </c>
      <c r="D1828" s="13" t="str">
        <f t="shared" si="3"/>
        <v>#N/A</v>
      </c>
      <c r="E1828" s="1" t="s">
        <v>68</v>
      </c>
    </row>
    <row r="1829" ht="15.75" customHeight="1">
      <c r="A1829" s="1" t="s">
        <v>2107</v>
      </c>
      <c r="B1829" s="13" t="str">
        <f t="shared" si="1"/>
        <v>Kevin</v>
      </c>
      <c r="C1829" s="13" t="str">
        <f t="shared" si="2"/>
        <v>Rodgers</v>
      </c>
      <c r="D1829" s="13" t="str">
        <f t="shared" si="3"/>
        <v>#N/A</v>
      </c>
      <c r="E1829" s="1" t="s">
        <v>65</v>
      </c>
    </row>
    <row r="1830" ht="15.75" customHeight="1">
      <c r="A1830" s="1" t="s">
        <v>2108</v>
      </c>
      <c r="B1830" s="13" t="str">
        <f t="shared" si="1"/>
        <v>Kevin</v>
      </c>
      <c r="C1830" s="13" t="str">
        <f t="shared" si="2"/>
        <v>Smith</v>
      </c>
      <c r="D1830" s="13" t="str">
        <f t="shared" si="3"/>
        <v>#N/A</v>
      </c>
      <c r="E1830" s="1" t="s">
        <v>69</v>
      </c>
    </row>
    <row r="1831" ht="15.75" customHeight="1">
      <c r="A1831" s="1" t="s">
        <v>2109</v>
      </c>
      <c r="B1831" s="13" t="str">
        <f t="shared" si="1"/>
        <v>Kevin</v>
      </c>
      <c r="C1831" s="13" t="str">
        <f t="shared" si="2"/>
        <v>Thomson</v>
      </c>
      <c r="D1831" s="13" t="str">
        <f t="shared" si="3"/>
        <v>#N/A</v>
      </c>
      <c r="E1831" s="1" t="s">
        <v>65</v>
      </c>
    </row>
    <row r="1832" ht="15.75" customHeight="1">
      <c r="A1832" s="1" t="s">
        <v>1566</v>
      </c>
      <c r="B1832" s="13" t="str">
        <f t="shared" si="1"/>
        <v>Kevin</v>
      </c>
      <c r="C1832" s="13" t="str">
        <f t="shared" si="2"/>
        <v>White</v>
      </c>
      <c r="D1832" s="13" t="str">
        <f t="shared" si="3"/>
        <v>#N/A</v>
      </c>
      <c r="E1832" s="1" t="s">
        <v>69</v>
      </c>
    </row>
    <row r="1833" ht="15.75" customHeight="1">
      <c r="A1833" s="1" t="s">
        <v>2110</v>
      </c>
      <c r="B1833" s="13" t="str">
        <f t="shared" si="1"/>
        <v>KeVonn</v>
      </c>
      <c r="C1833" s="13" t="str">
        <f t="shared" si="2"/>
        <v>Mabon</v>
      </c>
      <c r="D1833" s="13" t="str">
        <f t="shared" si="3"/>
        <v>#N/A</v>
      </c>
      <c r="E1833" s="1" t="s">
        <v>69</v>
      </c>
    </row>
    <row r="1834" ht="15.75" customHeight="1">
      <c r="A1834" s="1" t="s">
        <v>2111</v>
      </c>
      <c r="B1834" s="13" t="str">
        <f t="shared" si="1"/>
        <v>Kevonte</v>
      </c>
      <c r="C1834" s="13" t="str">
        <f t="shared" si="2"/>
        <v>Martin-Manley</v>
      </c>
      <c r="D1834" s="13" t="str">
        <f t="shared" si="3"/>
        <v>#N/A</v>
      </c>
      <c r="E1834" s="1" t="s">
        <v>69</v>
      </c>
    </row>
    <row r="1835" ht="15.75" customHeight="1">
      <c r="A1835" s="1" t="s">
        <v>2112</v>
      </c>
      <c r="B1835" s="13" t="str">
        <f t="shared" si="1"/>
        <v>Keyan</v>
      </c>
      <c r="C1835" s="13" t="str">
        <f t="shared" si="2"/>
        <v>Burnett</v>
      </c>
      <c r="D1835" s="13" t="str">
        <f t="shared" si="3"/>
        <v>#N/A</v>
      </c>
      <c r="E1835" s="1" t="s">
        <v>68</v>
      </c>
    </row>
    <row r="1836" ht="15.75" customHeight="1">
      <c r="A1836" s="1" t="s">
        <v>2113</v>
      </c>
      <c r="B1836" s="13" t="str">
        <f t="shared" si="1"/>
        <v>Keyarris</v>
      </c>
      <c r="C1836" s="13" t="str">
        <f t="shared" si="2"/>
        <v>Garrett</v>
      </c>
      <c r="D1836" s="13" t="str">
        <f t="shared" si="3"/>
        <v>#N/A</v>
      </c>
      <c r="E1836" s="1" t="s">
        <v>69</v>
      </c>
    </row>
    <row r="1837" ht="15.75" customHeight="1">
      <c r="A1837" s="1" t="s">
        <v>2114</v>
      </c>
      <c r="B1837" s="13" t="str">
        <f t="shared" si="1"/>
        <v>Keyion</v>
      </c>
      <c r="C1837" s="13" t="str">
        <f t="shared" si="2"/>
        <v>Dixon</v>
      </c>
      <c r="D1837" s="13" t="str">
        <f t="shared" si="3"/>
        <v>#N/A</v>
      </c>
      <c r="E1837" s="1" t="s">
        <v>69</v>
      </c>
    </row>
    <row r="1838" ht="15.75" customHeight="1">
      <c r="A1838" s="1" t="s">
        <v>2115</v>
      </c>
      <c r="B1838" s="13" t="str">
        <f t="shared" si="1"/>
        <v>Key'Shawn</v>
      </c>
      <c r="C1838" s="13" t="str">
        <f t="shared" si="2"/>
        <v>Smith</v>
      </c>
      <c r="D1838" s="13" t="str">
        <f t="shared" si="3"/>
        <v>#N/A</v>
      </c>
      <c r="E1838" s="1" t="s">
        <v>69</v>
      </c>
    </row>
    <row r="1839" ht="15.75" customHeight="1">
      <c r="A1839" s="1" t="s">
        <v>2116</v>
      </c>
      <c r="B1839" s="13" t="str">
        <f t="shared" si="1"/>
        <v>Keyvone</v>
      </c>
      <c r="C1839" s="13" t="str">
        <f t="shared" si="2"/>
        <v>Lee</v>
      </c>
      <c r="D1839" s="13" t="str">
        <f t="shared" si="3"/>
        <v>#N/A</v>
      </c>
      <c r="E1839" s="1" t="s">
        <v>66</v>
      </c>
    </row>
    <row r="1840" ht="15.75" customHeight="1">
      <c r="A1840" s="1" t="s">
        <v>2117</v>
      </c>
      <c r="B1840" s="13" t="str">
        <f t="shared" si="1"/>
        <v>Khadarel</v>
      </c>
      <c r="C1840" s="13" t="str">
        <f t="shared" si="2"/>
        <v>Hodge</v>
      </c>
      <c r="D1840" s="13" t="str">
        <f t="shared" si="3"/>
        <v>#N/A</v>
      </c>
      <c r="E1840" s="1" t="s">
        <v>69</v>
      </c>
    </row>
    <row r="1841" ht="15.75" customHeight="1">
      <c r="A1841" s="1" t="s">
        <v>2118</v>
      </c>
      <c r="B1841" s="13" t="str">
        <f t="shared" si="1"/>
        <v>Khalfani</v>
      </c>
      <c r="C1841" s="13" t="str">
        <f t="shared" si="2"/>
        <v>Muhammad</v>
      </c>
      <c r="D1841" s="13" t="str">
        <f t="shared" si="3"/>
        <v>#N/A</v>
      </c>
      <c r="E1841" s="1" t="s">
        <v>66</v>
      </c>
    </row>
    <row r="1842" ht="15.75" customHeight="1">
      <c r="A1842" s="1" t="s">
        <v>2119</v>
      </c>
      <c r="B1842" s="13" t="str">
        <f t="shared" si="1"/>
        <v>Khalid</v>
      </c>
      <c r="C1842" s="13" t="str">
        <f t="shared" si="2"/>
        <v>Hill</v>
      </c>
      <c r="D1842" s="13" t="str">
        <f t="shared" si="3"/>
        <v>#N/A</v>
      </c>
      <c r="E1842" s="1" t="s">
        <v>66</v>
      </c>
    </row>
    <row r="1843" ht="15.75" customHeight="1">
      <c r="A1843" s="1" t="s">
        <v>2120</v>
      </c>
      <c r="B1843" s="13" t="str">
        <f t="shared" si="1"/>
        <v>Khalil</v>
      </c>
      <c r="C1843" s="13" t="str">
        <f t="shared" si="2"/>
        <v>Herbert</v>
      </c>
      <c r="D1843" s="13" t="str">
        <f t="shared" si="3"/>
        <v>#N/A</v>
      </c>
      <c r="E1843" s="1" t="s">
        <v>66</v>
      </c>
    </row>
    <row r="1844" ht="15.75" customHeight="1">
      <c r="A1844" s="1" t="s">
        <v>2121</v>
      </c>
      <c r="B1844" s="13" t="str">
        <f t="shared" si="1"/>
        <v>Khalil</v>
      </c>
      <c r="C1844" s="13" t="str">
        <f t="shared" si="2"/>
        <v>McClain</v>
      </c>
      <c r="D1844" s="13" t="str">
        <f t="shared" si="3"/>
        <v>#N/A</v>
      </c>
      <c r="E1844" s="1" t="s">
        <v>69</v>
      </c>
    </row>
    <row r="1845" ht="15.75" customHeight="1">
      <c r="A1845" s="1" t="s">
        <v>2122</v>
      </c>
      <c r="B1845" s="13" t="str">
        <f t="shared" si="1"/>
        <v>Khalil</v>
      </c>
      <c r="C1845" s="13" t="str">
        <f t="shared" si="2"/>
        <v>Shakir</v>
      </c>
      <c r="D1845" s="13" t="str">
        <f t="shared" si="3"/>
        <v>#N/A</v>
      </c>
      <c r="E1845" s="1" t="s">
        <v>69</v>
      </c>
    </row>
    <row r="1846" ht="15.75" customHeight="1">
      <c r="A1846" s="1" t="s">
        <v>2123</v>
      </c>
      <c r="B1846" s="13" t="str">
        <f t="shared" si="1"/>
        <v>Khari</v>
      </c>
      <c r="C1846" s="13" t="str">
        <f t="shared" si="2"/>
        <v>Blasingame</v>
      </c>
      <c r="D1846" s="13" t="str">
        <f t="shared" si="3"/>
        <v>#N/A</v>
      </c>
      <c r="E1846" s="1" t="s">
        <v>66</v>
      </c>
    </row>
    <row r="1847" ht="15.75" customHeight="1">
      <c r="A1847" s="1" t="s">
        <v>2124</v>
      </c>
      <c r="B1847" s="13" t="str">
        <f t="shared" si="1"/>
        <v>Khari</v>
      </c>
      <c r="C1847" s="13" t="str">
        <f t="shared" si="2"/>
        <v>Lee</v>
      </c>
      <c r="D1847" s="13" t="str">
        <f t="shared" si="3"/>
        <v>#N/A</v>
      </c>
      <c r="E1847" s="1" t="s">
        <v>68</v>
      </c>
    </row>
    <row r="1848" ht="15.75" customHeight="1">
      <c r="A1848" s="1" t="s">
        <v>2125</v>
      </c>
      <c r="B1848" s="13" t="str">
        <f t="shared" si="1"/>
        <v>Khiry</v>
      </c>
      <c r="C1848" s="13" t="str">
        <f t="shared" si="2"/>
        <v>Robinson</v>
      </c>
      <c r="D1848" s="13" t="str">
        <f t="shared" si="3"/>
        <v>#N/A</v>
      </c>
      <c r="E1848" s="1" t="s">
        <v>66</v>
      </c>
    </row>
    <row r="1849" ht="15.75" customHeight="1">
      <c r="A1849" s="1" t="s">
        <v>2126</v>
      </c>
      <c r="B1849" s="13" t="str">
        <f t="shared" si="1"/>
        <v>Kiel</v>
      </c>
      <c r="C1849" s="13" t="str">
        <f t="shared" si="2"/>
        <v>Pollard</v>
      </c>
      <c r="D1849" s="13" t="str">
        <f t="shared" si="3"/>
        <v>#N/A</v>
      </c>
      <c r="E1849" s="1" t="s">
        <v>66</v>
      </c>
    </row>
    <row r="1850" ht="15.75" customHeight="1">
      <c r="A1850" s="1" t="s">
        <v>412</v>
      </c>
      <c r="B1850" s="13" t="str">
        <f t="shared" si="1"/>
        <v>Kirk</v>
      </c>
      <c r="C1850" s="13" t="str">
        <f t="shared" si="2"/>
        <v>Cousins</v>
      </c>
      <c r="D1850" s="13" t="str">
        <f t="shared" si="3"/>
        <v>#N/A</v>
      </c>
      <c r="E1850" s="1" t="s">
        <v>65</v>
      </c>
    </row>
    <row r="1851" ht="15.75" customHeight="1">
      <c r="A1851" s="1" t="s">
        <v>2127</v>
      </c>
      <c r="B1851" s="13" t="str">
        <f t="shared" si="1"/>
        <v>Kirk</v>
      </c>
      <c r="C1851" s="13" t="str">
        <f t="shared" si="2"/>
        <v>Merritt</v>
      </c>
      <c r="D1851" s="13" t="str">
        <f t="shared" si="3"/>
        <v>#N/A</v>
      </c>
      <c r="E1851" s="1" t="s">
        <v>69</v>
      </c>
    </row>
    <row r="1852" ht="15.75" customHeight="1">
      <c r="A1852" s="1" t="s">
        <v>2128</v>
      </c>
      <c r="B1852" s="13" t="str">
        <f t="shared" si="1"/>
        <v>Knile</v>
      </c>
      <c r="C1852" s="13" t="str">
        <f t="shared" si="2"/>
        <v>Davis</v>
      </c>
      <c r="D1852" s="13" t="str">
        <f t="shared" si="3"/>
        <v>#N/A</v>
      </c>
      <c r="E1852" s="1" t="s">
        <v>66</v>
      </c>
    </row>
    <row r="1853" ht="15.75" customHeight="1">
      <c r="A1853" s="1" t="s">
        <v>2129</v>
      </c>
      <c r="B1853" s="13" t="str">
        <f t="shared" si="1"/>
        <v>Knowshon</v>
      </c>
      <c r="C1853" s="13" t="str">
        <f t="shared" si="2"/>
        <v>Moreno</v>
      </c>
      <c r="D1853" s="13" t="str">
        <f t="shared" si="3"/>
        <v>#N/A</v>
      </c>
      <c r="E1853" s="1" t="s">
        <v>66</v>
      </c>
    </row>
    <row r="1854" ht="15.75" customHeight="1">
      <c r="A1854" s="1" t="s">
        <v>2130</v>
      </c>
      <c r="B1854" s="13" t="str">
        <f t="shared" si="1"/>
        <v>Ko</v>
      </c>
      <c r="C1854" s="13" t="str">
        <f t="shared" si="2"/>
        <v>Kieft</v>
      </c>
      <c r="D1854" s="13" t="str">
        <f t="shared" si="3"/>
        <v>#N/A</v>
      </c>
      <c r="E1854" s="1" t="s">
        <v>68</v>
      </c>
    </row>
    <row r="1855" ht="15.75" customHeight="1">
      <c r="A1855" s="1" t="s">
        <v>2131</v>
      </c>
      <c r="B1855" s="13" t="str">
        <f t="shared" si="1"/>
        <v>Kofi</v>
      </c>
      <c r="C1855" s="13" t="str">
        <f t="shared" si="2"/>
        <v>Hughes</v>
      </c>
      <c r="D1855" s="13" t="str">
        <f t="shared" si="3"/>
        <v>#N/A</v>
      </c>
      <c r="E1855" s="1" t="s">
        <v>69</v>
      </c>
    </row>
    <row r="1856" ht="15.75" customHeight="1">
      <c r="A1856" s="1" t="s">
        <v>2132</v>
      </c>
      <c r="B1856" s="13" t="str">
        <f t="shared" si="1"/>
        <v>Kolby</v>
      </c>
      <c r="C1856" s="13" t="str">
        <f t="shared" si="2"/>
        <v>Listenbee</v>
      </c>
      <c r="D1856" s="13" t="str">
        <f t="shared" si="3"/>
        <v>#N/A</v>
      </c>
      <c r="E1856" s="1" t="s">
        <v>69</v>
      </c>
    </row>
    <row r="1857" ht="15.75" customHeight="1">
      <c r="A1857" s="1" t="s">
        <v>2133</v>
      </c>
      <c r="B1857" s="13" t="str">
        <f t="shared" si="1"/>
        <v>Kolton</v>
      </c>
      <c r="C1857" s="13" t="str">
        <f t="shared" si="2"/>
        <v>Browning</v>
      </c>
      <c r="D1857" s="13" t="str">
        <f t="shared" si="3"/>
        <v>#N/A</v>
      </c>
      <c r="E1857" s="1" t="s">
        <v>65</v>
      </c>
    </row>
    <row r="1858" ht="15.75" customHeight="1">
      <c r="A1858" s="1" t="s">
        <v>2134</v>
      </c>
      <c r="B1858" s="13" t="str">
        <f t="shared" si="1"/>
        <v>Konata</v>
      </c>
      <c r="C1858" s="13" t="str">
        <f t="shared" si="2"/>
        <v>Mumpfield</v>
      </c>
      <c r="D1858" s="13" t="str">
        <f t="shared" si="3"/>
        <v>#N/A</v>
      </c>
      <c r="E1858" s="1" t="s">
        <v>69</v>
      </c>
    </row>
    <row r="1859" ht="15.75" customHeight="1">
      <c r="A1859" s="1" t="s">
        <v>2135</v>
      </c>
      <c r="B1859" s="13" t="str">
        <f t="shared" si="1"/>
        <v>Koren</v>
      </c>
      <c r="C1859" s="13" t="str">
        <f t="shared" si="2"/>
        <v>Robinson</v>
      </c>
      <c r="D1859" s="13" t="str">
        <f t="shared" si="3"/>
        <v>#N/A</v>
      </c>
      <c r="E1859" s="1" t="s">
        <v>69</v>
      </c>
    </row>
    <row r="1860" ht="15.75" customHeight="1">
      <c r="A1860" s="1" t="s">
        <v>2136</v>
      </c>
      <c r="B1860" s="13" t="str">
        <f t="shared" si="1"/>
        <v>Korey</v>
      </c>
      <c r="C1860" s="13" t="str">
        <f t="shared" si="2"/>
        <v>Robertson</v>
      </c>
      <c r="D1860" s="13" t="str">
        <f t="shared" si="3"/>
        <v>#N/A</v>
      </c>
      <c r="E1860" s="1" t="s">
        <v>69</v>
      </c>
    </row>
    <row r="1861" ht="15.75" customHeight="1">
      <c r="A1861" s="1" t="s">
        <v>2137</v>
      </c>
      <c r="B1861" s="13" t="str">
        <f t="shared" si="1"/>
        <v>Kory</v>
      </c>
      <c r="C1861" s="13" t="str">
        <f t="shared" si="2"/>
        <v>Faulkner</v>
      </c>
      <c r="D1861" s="13" t="str">
        <f t="shared" si="3"/>
        <v>#N/A</v>
      </c>
      <c r="E1861" s="1" t="s">
        <v>65</v>
      </c>
    </row>
    <row r="1862" ht="15.75" customHeight="1">
      <c r="A1862" s="1" t="s">
        <v>2138</v>
      </c>
      <c r="B1862" s="13" t="str">
        <f t="shared" si="1"/>
        <v>Kory</v>
      </c>
      <c r="C1862" s="13" t="str">
        <f t="shared" si="2"/>
        <v>Sheets</v>
      </c>
      <c r="D1862" s="13" t="str">
        <f t="shared" si="3"/>
        <v>#N/A</v>
      </c>
      <c r="E1862" s="1" t="s">
        <v>66</v>
      </c>
    </row>
    <row r="1863" ht="15.75" customHeight="1">
      <c r="A1863" s="1" t="s">
        <v>2139</v>
      </c>
      <c r="B1863" s="13" t="str">
        <f t="shared" si="1"/>
        <v>Kris</v>
      </c>
      <c r="C1863" s="13" t="str">
        <f t="shared" si="2"/>
        <v>Durham</v>
      </c>
      <c r="D1863" s="13" t="str">
        <f t="shared" si="3"/>
        <v>#N/A</v>
      </c>
      <c r="E1863" s="1" t="s">
        <v>69</v>
      </c>
    </row>
    <row r="1864" ht="15.75" customHeight="1">
      <c r="A1864" s="1" t="s">
        <v>2140</v>
      </c>
      <c r="B1864" s="13" t="str">
        <f t="shared" si="1"/>
        <v>Krishawn</v>
      </c>
      <c r="C1864" s="13" t="str">
        <f t="shared" si="2"/>
        <v>Hogan</v>
      </c>
      <c r="D1864" s="13" t="str">
        <f t="shared" si="3"/>
        <v>#N/A</v>
      </c>
      <c r="E1864" s="1" t="s">
        <v>69</v>
      </c>
    </row>
    <row r="1865" ht="15.75" customHeight="1">
      <c r="A1865" s="1" t="s">
        <v>2141</v>
      </c>
      <c r="B1865" s="13" t="str">
        <f t="shared" si="1"/>
        <v>Kristian</v>
      </c>
      <c r="C1865" s="13" t="str">
        <f t="shared" si="2"/>
        <v>Wilkerson</v>
      </c>
      <c r="D1865" s="13" t="str">
        <f t="shared" si="3"/>
        <v>#N/A</v>
      </c>
      <c r="E1865" s="1" t="s">
        <v>69</v>
      </c>
    </row>
    <row r="1866" ht="15.75" customHeight="1">
      <c r="A1866" s="1" t="s">
        <v>2142</v>
      </c>
      <c r="B1866" s="13" t="str">
        <f t="shared" si="1"/>
        <v>Kurt</v>
      </c>
      <c r="C1866" s="13" t="str">
        <f t="shared" si="2"/>
        <v>Benkert</v>
      </c>
      <c r="D1866" s="13" t="str">
        <f t="shared" si="3"/>
        <v>#N/A</v>
      </c>
      <c r="E1866" s="1" t="s">
        <v>65</v>
      </c>
    </row>
    <row r="1867" ht="15.75" customHeight="1">
      <c r="A1867" s="1" t="s">
        <v>2143</v>
      </c>
      <c r="B1867" s="13" t="str">
        <f t="shared" si="1"/>
        <v>Kyle</v>
      </c>
      <c r="C1867" s="13" t="str">
        <f t="shared" si="2"/>
        <v>Allen</v>
      </c>
      <c r="D1867" s="13" t="str">
        <f t="shared" si="3"/>
        <v>#N/A</v>
      </c>
      <c r="E1867" s="1" t="s">
        <v>65</v>
      </c>
    </row>
    <row r="1868" ht="15.75" customHeight="1">
      <c r="A1868" s="1" t="s">
        <v>2144</v>
      </c>
      <c r="B1868" s="13" t="str">
        <f t="shared" si="1"/>
        <v>Kyle</v>
      </c>
      <c r="C1868" s="13" t="str">
        <f t="shared" si="2"/>
        <v>Carter</v>
      </c>
      <c r="D1868" s="13" t="str">
        <f t="shared" si="3"/>
        <v>#N/A</v>
      </c>
      <c r="E1868" s="1" t="s">
        <v>68</v>
      </c>
    </row>
    <row r="1869" ht="15.75" customHeight="1">
      <c r="A1869" s="1" t="s">
        <v>2145</v>
      </c>
      <c r="B1869" s="13" t="str">
        <f t="shared" si="1"/>
        <v>Kyle</v>
      </c>
      <c r="C1869" s="13" t="str">
        <f t="shared" si="2"/>
        <v>Juszczyk</v>
      </c>
      <c r="D1869" s="13" t="str">
        <f t="shared" si="3"/>
        <v>#N/A</v>
      </c>
      <c r="E1869" s="1" t="s">
        <v>66</v>
      </c>
    </row>
    <row r="1870" ht="15.75" customHeight="1">
      <c r="A1870" s="1" t="s">
        <v>2146</v>
      </c>
      <c r="B1870" s="13" t="str">
        <f t="shared" si="1"/>
        <v>Kyle</v>
      </c>
      <c r="C1870" s="13" t="str">
        <f t="shared" si="2"/>
        <v>Kempt</v>
      </c>
      <c r="D1870" s="13" t="str">
        <f t="shared" si="3"/>
        <v>#N/A</v>
      </c>
      <c r="E1870" s="1" t="s">
        <v>65</v>
      </c>
    </row>
    <row r="1871" ht="15.75" customHeight="1">
      <c r="A1871" s="1" t="s">
        <v>2147</v>
      </c>
      <c r="B1871" s="13" t="str">
        <f t="shared" si="1"/>
        <v>Kyle</v>
      </c>
      <c r="C1871" s="13" t="str">
        <f t="shared" si="2"/>
        <v>Lauletta</v>
      </c>
      <c r="D1871" s="13" t="str">
        <f t="shared" si="3"/>
        <v>#N/A</v>
      </c>
      <c r="E1871" s="1" t="s">
        <v>65</v>
      </c>
    </row>
    <row r="1872" ht="15.75" customHeight="1">
      <c r="A1872" s="1" t="s">
        <v>2148</v>
      </c>
      <c r="B1872" s="13" t="str">
        <f t="shared" si="1"/>
        <v>Kyle</v>
      </c>
      <c r="C1872" s="13" t="str">
        <f t="shared" si="2"/>
        <v>Markway</v>
      </c>
      <c r="D1872" s="13" t="str">
        <f t="shared" si="3"/>
        <v>#N/A</v>
      </c>
      <c r="E1872" s="1" t="s">
        <v>68</v>
      </c>
    </row>
    <row r="1873" ht="15.75" customHeight="1">
      <c r="A1873" s="1" t="s">
        <v>2149</v>
      </c>
      <c r="B1873" s="13" t="str">
        <f t="shared" si="1"/>
        <v>Kyle</v>
      </c>
      <c r="C1873" s="13" t="str">
        <f t="shared" si="2"/>
        <v>McCord</v>
      </c>
      <c r="D1873" s="13" t="str">
        <f t="shared" si="3"/>
        <v>#N/A</v>
      </c>
      <c r="E1873" s="1" t="s">
        <v>65</v>
      </c>
    </row>
    <row r="1874" ht="15.75" customHeight="1">
      <c r="A1874" s="1" t="s">
        <v>2150</v>
      </c>
      <c r="B1874" s="13" t="str">
        <f t="shared" si="1"/>
        <v>Kyle</v>
      </c>
      <c r="C1874" s="13" t="str">
        <f t="shared" si="2"/>
        <v>Nelson</v>
      </c>
      <c r="D1874" s="13" t="str">
        <f t="shared" si="3"/>
        <v>#N/A</v>
      </c>
      <c r="E1874" s="1" t="s">
        <v>68</v>
      </c>
    </row>
    <row r="1875" ht="15.75" customHeight="1">
      <c r="A1875" s="1" t="s">
        <v>2151</v>
      </c>
      <c r="B1875" s="13" t="str">
        <f t="shared" si="1"/>
        <v>Kyle</v>
      </c>
      <c r="C1875" s="13" t="str">
        <f t="shared" si="2"/>
        <v>Orton</v>
      </c>
      <c r="D1875" s="13" t="str">
        <f t="shared" si="3"/>
        <v>#N/A</v>
      </c>
      <c r="E1875" s="1" t="s">
        <v>65</v>
      </c>
    </row>
    <row r="1876" ht="15.75" customHeight="1">
      <c r="A1876" s="1" t="s">
        <v>2152</v>
      </c>
      <c r="B1876" s="13" t="str">
        <f t="shared" si="1"/>
        <v>Kyle</v>
      </c>
      <c r="C1876" s="13" t="str">
        <f t="shared" si="2"/>
        <v>Philips</v>
      </c>
      <c r="D1876" s="13" t="str">
        <f t="shared" si="3"/>
        <v>#N/A</v>
      </c>
      <c r="E1876" s="1" t="s">
        <v>69</v>
      </c>
    </row>
    <row r="1877" ht="15.75" customHeight="1">
      <c r="A1877" s="1" t="s">
        <v>126</v>
      </c>
      <c r="B1877" s="13" t="str">
        <f t="shared" si="1"/>
        <v>Kyle</v>
      </c>
      <c r="C1877" s="13" t="str">
        <f t="shared" si="2"/>
        <v>Pitts</v>
      </c>
      <c r="D1877" s="13" t="str">
        <f t="shared" si="3"/>
        <v>#N/A</v>
      </c>
      <c r="E1877" s="1" t="s">
        <v>68</v>
      </c>
    </row>
    <row r="1878" ht="15.75" customHeight="1">
      <c r="A1878" s="1" t="s">
        <v>2153</v>
      </c>
      <c r="B1878" s="13" t="str">
        <f t="shared" si="1"/>
        <v>Kyle</v>
      </c>
      <c r="C1878" s="13" t="str">
        <f t="shared" si="2"/>
        <v>Prater</v>
      </c>
      <c r="D1878" s="13" t="str">
        <f t="shared" si="3"/>
        <v>#N/A</v>
      </c>
      <c r="E1878" s="1" t="s">
        <v>69</v>
      </c>
    </row>
    <row r="1879" ht="15.75" customHeight="1">
      <c r="A1879" s="1" t="s">
        <v>1308</v>
      </c>
      <c r="B1879" s="13" t="str">
        <f t="shared" si="1"/>
        <v>Kyle</v>
      </c>
      <c r="C1879" s="13" t="str">
        <f t="shared" si="2"/>
        <v>Rudolph</v>
      </c>
      <c r="D1879" s="13" t="str">
        <f t="shared" si="3"/>
        <v>#N/A</v>
      </c>
      <c r="E1879" s="1" t="s">
        <v>68</v>
      </c>
    </row>
    <row r="1880" ht="15.75" customHeight="1">
      <c r="A1880" s="1" t="s">
        <v>2154</v>
      </c>
      <c r="B1880" s="13" t="str">
        <f t="shared" si="1"/>
        <v>Kyle</v>
      </c>
      <c r="C1880" s="13" t="str">
        <f t="shared" si="2"/>
        <v>Shurmur</v>
      </c>
      <c r="D1880" s="13" t="str">
        <f t="shared" si="3"/>
        <v>#N/A</v>
      </c>
      <c r="E1880" s="1" t="s">
        <v>65</v>
      </c>
    </row>
    <row r="1881" ht="15.75" customHeight="1">
      <c r="A1881" s="1" t="s">
        <v>2155</v>
      </c>
      <c r="B1881" s="13" t="str">
        <f t="shared" si="1"/>
        <v>Kyle</v>
      </c>
      <c r="C1881" s="13" t="str">
        <f t="shared" si="2"/>
        <v>Sloter</v>
      </c>
      <c r="D1881" s="13" t="str">
        <f t="shared" si="3"/>
        <v>#N/A</v>
      </c>
      <c r="E1881" s="1" t="s">
        <v>65</v>
      </c>
    </row>
    <row r="1882" ht="15.75" customHeight="1">
      <c r="A1882" s="1" t="s">
        <v>2156</v>
      </c>
      <c r="B1882" s="13" t="str">
        <f t="shared" si="1"/>
        <v>Kyle</v>
      </c>
      <c r="C1882" s="13" t="str">
        <f t="shared" si="2"/>
        <v>Trask</v>
      </c>
      <c r="D1882" s="13" t="str">
        <f t="shared" si="3"/>
        <v>#N/A</v>
      </c>
      <c r="E1882" s="1" t="s">
        <v>65</v>
      </c>
    </row>
    <row r="1883" ht="15.75" customHeight="1">
      <c r="A1883" s="1" t="s">
        <v>2157</v>
      </c>
      <c r="B1883" s="13" t="str">
        <f t="shared" si="1"/>
        <v>Kyle</v>
      </c>
      <c r="C1883" s="13" t="str">
        <f t="shared" si="2"/>
        <v>Williams</v>
      </c>
      <c r="D1883" s="13" t="str">
        <f t="shared" si="3"/>
        <v>#N/A</v>
      </c>
      <c r="E1883" s="1" t="s">
        <v>69</v>
      </c>
    </row>
    <row r="1884" ht="15.75" customHeight="1">
      <c r="A1884" s="1" t="s">
        <v>2158</v>
      </c>
      <c r="B1884" s="13" t="str">
        <f t="shared" si="1"/>
        <v>Kylen</v>
      </c>
      <c r="C1884" s="13" t="str">
        <f t="shared" si="2"/>
        <v>Granson</v>
      </c>
      <c r="D1884" s="13" t="str">
        <f t="shared" si="3"/>
        <v>#N/A</v>
      </c>
      <c r="E1884" s="1" t="s">
        <v>68</v>
      </c>
    </row>
    <row r="1885" ht="15.75" customHeight="1">
      <c r="A1885" s="1" t="s">
        <v>178</v>
      </c>
      <c r="B1885" s="13" t="str">
        <f t="shared" si="1"/>
        <v>Kyler</v>
      </c>
      <c r="C1885" s="13" t="str">
        <f t="shared" si="2"/>
        <v>Murray</v>
      </c>
      <c r="D1885" s="13" t="str">
        <f t="shared" si="3"/>
        <v>#N/A</v>
      </c>
      <c r="E1885" s="1" t="s">
        <v>65</v>
      </c>
    </row>
    <row r="1886" ht="15.75" customHeight="1">
      <c r="A1886" s="1" t="s">
        <v>2159</v>
      </c>
      <c r="B1886" s="13" t="str">
        <f t="shared" si="1"/>
        <v>Kylin</v>
      </c>
      <c r="C1886" s="13" t="str">
        <f t="shared" si="2"/>
        <v>Hill</v>
      </c>
      <c r="D1886" s="13" t="str">
        <f t="shared" si="3"/>
        <v>#N/A</v>
      </c>
      <c r="E1886" s="1" t="s">
        <v>66</v>
      </c>
    </row>
    <row r="1887" ht="15.75" customHeight="1">
      <c r="A1887" s="1" t="s">
        <v>2160</v>
      </c>
      <c r="B1887" s="13" t="str">
        <f t="shared" si="1"/>
        <v>Kyren</v>
      </c>
      <c r="C1887" s="13" t="str">
        <f t="shared" si="2"/>
        <v>Williams</v>
      </c>
      <c r="D1887" s="13" t="str">
        <f t="shared" si="3"/>
        <v>#N/A</v>
      </c>
      <c r="E1887" s="1" t="s">
        <v>66</v>
      </c>
    </row>
    <row r="1888" ht="15.75" customHeight="1">
      <c r="A1888" s="1" t="s">
        <v>2161</v>
      </c>
      <c r="B1888" s="13" t="str">
        <f t="shared" si="1"/>
        <v>LD</v>
      </c>
      <c r="C1888" s="13" t="str">
        <f t="shared" si="2"/>
        <v>Brown</v>
      </c>
      <c r="D1888" s="13" t="str">
        <f t="shared" si="3"/>
        <v>#N/A</v>
      </c>
      <c r="E1888" s="1" t="s">
        <v>66</v>
      </c>
    </row>
    <row r="1889" ht="15.75" customHeight="1">
      <c r="A1889" s="1" t="s">
        <v>2162</v>
      </c>
      <c r="B1889" s="13" t="str">
        <f t="shared" si="1"/>
        <v>LJ</v>
      </c>
      <c r="C1889" s="13" t="str">
        <f t="shared" si="2"/>
        <v>Johnson</v>
      </c>
      <c r="D1889" s="13" t="str">
        <f t="shared" si="3"/>
        <v>#N/A</v>
      </c>
      <c r="E1889" s="1" t="s">
        <v>66</v>
      </c>
    </row>
    <row r="1890" ht="15.75" customHeight="1">
      <c r="A1890" s="1" t="s">
        <v>2163</v>
      </c>
      <c r="B1890" s="13" t="str">
        <f t="shared" si="1"/>
        <v>LJ</v>
      </c>
      <c r="C1890" s="13" t="str">
        <f t="shared" si="2"/>
        <v>Scott</v>
      </c>
      <c r="D1890" s="13" t="str">
        <f t="shared" si="3"/>
        <v>#N/A</v>
      </c>
      <c r="E1890" s="1" t="s">
        <v>66</v>
      </c>
    </row>
    <row r="1891" ht="15.75" customHeight="1">
      <c r="A1891" s="1" t="s">
        <v>2164</v>
      </c>
      <c r="B1891" s="13" t="str">
        <f t="shared" si="1"/>
        <v>Lache</v>
      </c>
      <c r="C1891" s="13" t="str">
        <f t="shared" si="2"/>
        <v>Seastrunk</v>
      </c>
      <c r="D1891" s="13" t="str">
        <f t="shared" si="3"/>
        <v>#N/A</v>
      </c>
      <c r="E1891" s="1" t="s">
        <v>66</v>
      </c>
    </row>
    <row r="1892" ht="15.75" customHeight="1">
      <c r="A1892" s="1" t="s">
        <v>2165</v>
      </c>
      <c r="B1892" s="13" t="str">
        <f t="shared" si="1"/>
        <v>LaDainian</v>
      </c>
      <c r="C1892" s="13" t="str">
        <f t="shared" si="2"/>
        <v>Tomlinson</v>
      </c>
      <c r="D1892" s="13" t="str">
        <f t="shared" si="3"/>
        <v>#N/A</v>
      </c>
      <c r="E1892" s="1" t="s">
        <v>66</v>
      </c>
    </row>
    <row r="1893" ht="15.75" customHeight="1">
      <c r="A1893" s="1" t="s">
        <v>1935</v>
      </c>
      <c r="B1893" s="13" t="str">
        <f t="shared" si="1"/>
        <v>Ladarius</v>
      </c>
      <c r="C1893" s="13" t="str">
        <f t="shared" si="2"/>
        <v>Green</v>
      </c>
      <c r="D1893" s="13" t="str">
        <f t="shared" si="3"/>
        <v>#N/A</v>
      </c>
      <c r="E1893" s="1" t="s">
        <v>68</v>
      </c>
    </row>
    <row r="1894" ht="15.75" customHeight="1">
      <c r="A1894" s="1" t="s">
        <v>2166</v>
      </c>
      <c r="B1894" s="13" t="str">
        <f t="shared" si="1"/>
        <v>LaDarius</v>
      </c>
      <c r="C1894" s="13" t="str">
        <f t="shared" si="2"/>
        <v>Perkins</v>
      </c>
      <c r="D1894" s="13" t="str">
        <f t="shared" si="3"/>
        <v>#N/A</v>
      </c>
      <c r="E1894" s="1" t="s">
        <v>66</v>
      </c>
    </row>
    <row r="1895" ht="15.75" customHeight="1">
      <c r="A1895" s="1" t="s">
        <v>2167</v>
      </c>
      <c r="B1895" s="13" t="str">
        <f t="shared" si="1"/>
        <v>Ladd</v>
      </c>
      <c r="C1895" s="13" t="str">
        <f t="shared" si="2"/>
        <v>McConkey</v>
      </c>
      <c r="D1895" s="13" t="str">
        <f t="shared" si="3"/>
        <v>#N/A</v>
      </c>
      <c r="E1895" s="1" t="s">
        <v>69</v>
      </c>
    </row>
    <row r="1896" ht="15.75" customHeight="1">
      <c r="A1896" s="1" t="s">
        <v>2168</v>
      </c>
      <c r="B1896" s="13" t="str">
        <f t="shared" si="1"/>
        <v>Lamaar</v>
      </c>
      <c r="C1896" s="13" t="str">
        <f t="shared" si="2"/>
        <v>Thomas</v>
      </c>
      <c r="D1896" s="13" t="str">
        <f t="shared" si="3"/>
        <v>#N/A</v>
      </c>
      <c r="E1896" s="1" t="s">
        <v>69</v>
      </c>
    </row>
    <row r="1897" ht="15.75" customHeight="1">
      <c r="A1897" s="1" t="s">
        <v>225</v>
      </c>
      <c r="B1897" s="13" t="str">
        <f t="shared" si="1"/>
        <v>Lamar</v>
      </c>
      <c r="C1897" s="13" t="str">
        <f t="shared" si="2"/>
        <v>Jackson</v>
      </c>
      <c r="D1897" s="13" t="str">
        <f t="shared" si="3"/>
        <v>#N/A</v>
      </c>
      <c r="E1897" s="1" t="s">
        <v>65</v>
      </c>
    </row>
    <row r="1898" ht="15.75" customHeight="1">
      <c r="A1898" s="1" t="s">
        <v>1465</v>
      </c>
      <c r="B1898" s="13" t="str">
        <f t="shared" si="1"/>
        <v>Lamar</v>
      </c>
      <c r="C1898" s="13" t="str">
        <f t="shared" si="2"/>
        <v>Miller</v>
      </c>
      <c r="D1898" s="13" t="str">
        <f t="shared" si="3"/>
        <v>#N/A</v>
      </c>
      <c r="E1898" s="1" t="s">
        <v>66</v>
      </c>
    </row>
    <row r="1899" ht="15.75" customHeight="1">
      <c r="A1899" s="1" t="s">
        <v>2169</v>
      </c>
      <c r="B1899" s="13" t="str">
        <f t="shared" si="1"/>
        <v>Lamar</v>
      </c>
      <c r="C1899" s="13" t="str">
        <f t="shared" si="2"/>
        <v>Raynard</v>
      </c>
      <c r="D1899" s="13" t="str">
        <f t="shared" si="3"/>
        <v>#N/A</v>
      </c>
      <c r="E1899" s="1" t="s">
        <v>65</v>
      </c>
    </row>
    <row r="1900" ht="15.75" customHeight="1">
      <c r="A1900" s="1" t="s">
        <v>2170</v>
      </c>
      <c r="B1900" s="13" t="str">
        <f t="shared" si="1"/>
        <v>Lamical</v>
      </c>
      <c r="C1900" s="13" t="str">
        <f t="shared" si="2"/>
        <v>Perine</v>
      </c>
      <c r="D1900" s="13" t="str">
        <f t="shared" si="3"/>
        <v>#N/A</v>
      </c>
      <c r="E1900" s="1" t="s">
        <v>66</v>
      </c>
    </row>
    <row r="1901" ht="15.75" customHeight="1">
      <c r="A1901" s="1" t="s">
        <v>2171</v>
      </c>
      <c r="B1901" s="13" t="str">
        <f t="shared" si="1"/>
        <v>LaMichael</v>
      </c>
      <c r="C1901" s="13" t="str">
        <f t="shared" si="2"/>
        <v>James</v>
      </c>
      <c r="D1901" s="13" t="str">
        <f t="shared" si="3"/>
        <v>#N/A</v>
      </c>
      <c r="E1901" s="1" t="s">
        <v>66</v>
      </c>
    </row>
    <row r="1902" ht="15.75" customHeight="1">
      <c r="A1902" s="1" t="s">
        <v>2172</v>
      </c>
      <c r="B1902" s="13" t="str">
        <f t="shared" si="1"/>
        <v>Lamont</v>
      </c>
      <c r="C1902" s="13" t="str">
        <f t="shared" si="2"/>
        <v>Bryant</v>
      </c>
      <c r="D1902" s="13" t="str">
        <f t="shared" si="3"/>
        <v>#N/A</v>
      </c>
      <c r="E1902" s="1" t="s">
        <v>69</v>
      </c>
    </row>
    <row r="1903" ht="15.75" customHeight="1">
      <c r="A1903" s="1" t="s">
        <v>2173</v>
      </c>
      <c r="B1903" s="13" t="str">
        <f t="shared" si="1"/>
        <v>Lance</v>
      </c>
      <c r="C1903" s="13" t="str">
        <f t="shared" si="2"/>
        <v>Dunbar</v>
      </c>
      <c r="D1903" s="13" t="str">
        <f t="shared" si="3"/>
        <v>#N/A</v>
      </c>
      <c r="E1903" s="1" t="s">
        <v>66</v>
      </c>
    </row>
    <row r="1904" ht="15.75" customHeight="1">
      <c r="A1904" s="1" t="s">
        <v>2174</v>
      </c>
      <c r="B1904" s="13" t="str">
        <f t="shared" si="1"/>
        <v>Lance</v>
      </c>
      <c r="C1904" s="13" t="str">
        <f t="shared" si="2"/>
        <v>Kendricks</v>
      </c>
      <c r="D1904" s="13" t="str">
        <f t="shared" si="3"/>
        <v>#N/A</v>
      </c>
      <c r="E1904" s="1" t="s">
        <v>68</v>
      </c>
    </row>
    <row r="1905" ht="15.75" customHeight="1">
      <c r="A1905" s="1" t="s">
        <v>2175</v>
      </c>
      <c r="B1905" s="13" t="str">
        <f t="shared" si="1"/>
        <v>Lance</v>
      </c>
      <c r="C1905" s="13" t="str">
        <f t="shared" si="2"/>
        <v>Lenoir</v>
      </c>
      <c r="D1905" s="13" t="str">
        <f t="shared" si="3"/>
        <v>#N/A</v>
      </c>
      <c r="E1905" s="1" t="s">
        <v>69</v>
      </c>
    </row>
    <row r="1906" ht="15.75" customHeight="1">
      <c r="A1906" s="1" t="s">
        <v>2176</v>
      </c>
      <c r="B1906" s="13" t="str">
        <f t="shared" si="1"/>
        <v>Lance</v>
      </c>
      <c r="C1906" s="13" t="str">
        <f t="shared" si="2"/>
        <v>Moore</v>
      </c>
      <c r="D1906" s="13" t="str">
        <f t="shared" si="3"/>
        <v>#N/A</v>
      </c>
      <c r="E1906" s="1" t="s">
        <v>69</v>
      </c>
    </row>
    <row r="1907" ht="15.75" customHeight="1">
      <c r="A1907" s="1" t="s">
        <v>2177</v>
      </c>
      <c r="B1907" s="13" t="str">
        <f t="shared" si="1"/>
        <v>Landon</v>
      </c>
      <c r="C1907" s="13" t="str">
        <f t="shared" si="2"/>
        <v>Jones</v>
      </c>
      <c r="D1907" s="13" t="str">
        <f t="shared" si="3"/>
        <v>#N/A</v>
      </c>
      <c r="E1907" s="1" t="s">
        <v>69</v>
      </c>
    </row>
    <row r="1908" ht="15.75" customHeight="1">
      <c r="A1908" s="1" t="s">
        <v>2178</v>
      </c>
      <c r="B1908" s="13" t="str">
        <f t="shared" si="1"/>
        <v>Landry</v>
      </c>
      <c r="C1908" s="13" t="str">
        <f t="shared" si="2"/>
        <v>Jones</v>
      </c>
      <c r="D1908" s="13" t="str">
        <f t="shared" si="3"/>
        <v>#N/A</v>
      </c>
      <c r="E1908" s="1" t="s">
        <v>65</v>
      </c>
    </row>
    <row r="1909" ht="15.75" customHeight="1">
      <c r="A1909" s="1" t="s">
        <v>2179</v>
      </c>
      <c r="B1909" s="13" t="str">
        <f t="shared" si="1"/>
        <v>Laquon</v>
      </c>
      <c r="C1909" s="13" t="str">
        <f t="shared" si="2"/>
        <v>Treadwell</v>
      </c>
      <c r="D1909" s="13" t="str">
        <f t="shared" si="3"/>
        <v>#N/A</v>
      </c>
      <c r="E1909" s="1" t="s">
        <v>69</v>
      </c>
    </row>
    <row r="1910" ht="15.75" customHeight="1">
      <c r="A1910" s="1" t="s">
        <v>2180</v>
      </c>
      <c r="B1910" s="13" t="str">
        <f t="shared" si="1"/>
        <v>LaRod</v>
      </c>
      <c r="C1910" s="13" t="str">
        <f t="shared" si="2"/>
        <v>Stephens-Howling</v>
      </c>
      <c r="D1910" s="13" t="str">
        <f t="shared" si="3"/>
        <v>#N/A</v>
      </c>
      <c r="E1910" s="1" t="s">
        <v>66</v>
      </c>
    </row>
    <row r="1911" ht="15.75" customHeight="1">
      <c r="A1911" s="1" t="s">
        <v>2181</v>
      </c>
      <c r="B1911" s="13" t="str">
        <f t="shared" si="1"/>
        <v>LaRon</v>
      </c>
      <c r="C1911" s="13" t="str">
        <f t="shared" si="2"/>
        <v>Byrd</v>
      </c>
      <c r="D1911" s="13" t="str">
        <f t="shared" si="3"/>
        <v>#N/A</v>
      </c>
      <c r="E1911" s="1" t="s">
        <v>69</v>
      </c>
    </row>
    <row r="1912" ht="15.75" customHeight="1">
      <c r="A1912" s="1" t="s">
        <v>2182</v>
      </c>
      <c r="B1912" s="13" t="str">
        <f t="shared" si="1"/>
        <v>Larry</v>
      </c>
      <c r="C1912" s="13" t="str">
        <f t="shared" si="2"/>
        <v>Donnell</v>
      </c>
      <c r="D1912" s="13" t="str">
        <f t="shared" si="3"/>
        <v>#N/A</v>
      </c>
      <c r="E1912" s="1" t="s">
        <v>68</v>
      </c>
    </row>
    <row r="1913" ht="15.75" customHeight="1">
      <c r="A1913" s="1" t="s">
        <v>775</v>
      </c>
      <c r="B1913" s="13" t="str">
        <f t="shared" si="1"/>
        <v>Larry</v>
      </c>
      <c r="C1913" s="13" t="str">
        <f t="shared" si="2"/>
        <v>Fitzgerald</v>
      </c>
      <c r="D1913" s="13" t="str">
        <f t="shared" si="3"/>
        <v>#N/A</v>
      </c>
      <c r="E1913" s="1" t="s">
        <v>69</v>
      </c>
    </row>
    <row r="1914" ht="15.75" customHeight="1">
      <c r="A1914" s="1" t="s">
        <v>2183</v>
      </c>
      <c r="B1914" s="13" t="str">
        <f t="shared" si="1"/>
        <v>Larry</v>
      </c>
      <c r="C1914" s="13" t="str">
        <f t="shared" si="2"/>
        <v>Pinkard</v>
      </c>
      <c r="D1914" s="13" t="str">
        <f t="shared" si="3"/>
        <v>#N/A</v>
      </c>
      <c r="E1914" s="1" t="s">
        <v>69</v>
      </c>
    </row>
    <row r="1915" ht="15.75" customHeight="1">
      <c r="A1915" s="1" t="s">
        <v>2184</v>
      </c>
      <c r="B1915" s="13" t="str">
        <f t="shared" si="1"/>
        <v>Larry</v>
      </c>
      <c r="C1915" s="13" t="str">
        <f t="shared" si="2"/>
        <v>Rountree</v>
      </c>
      <c r="D1915" s="13" t="str">
        <f t="shared" si="3"/>
        <v>#N/A</v>
      </c>
      <c r="E1915" s="1" t="s">
        <v>66</v>
      </c>
    </row>
    <row r="1916" ht="15.75" customHeight="1">
      <c r="A1916" s="1" t="s">
        <v>1571</v>
      </c>
      <c r="B1916" s="13" t="str">
        <f t="shared" si="1"/>
        <v>Las</v>
      </c>
      <c r="C1916" s="13" t="str">
        <f t="shared" si="2"/>
        <v>Vegas</v>
      </c>
      <c r="D1916" s="13" t="str">
        <f t="shared" si="3"/>
        <v>#N/A</v>
      </c>
      <c r="E1916" s="1" t="s">
        <v>63</v>
      </c>
    </row>
    <row r="1917" ht="15.75" customHeight="1">
      <c r="A1917" s="1" t="s">
        <v>1841</v>
      </c>
      <c r="B1917" s="13" t="str">
        <f t="shared" si="1"/>
        <v>Las</v>
      </c>
      <c r="C1917" s="13" t="str">
        <f t="shared" si="2"/>
        <v>Vegas</v>
      </c>
      <c r="D1917" s="13" t="str">
        <f t="shared" si="3"/>
        <v>#N/A</v>
      </c>
      <c r="E1917" s="1" t="s">
        <v>63</v>
      </c>
    </row>
    <row r="1918" ht="15.75" customHeight="1">
      <c r="A1918" s="1" t="s">
        <v>749</v>
      </c>
      <c r="B1918" s="13" t="str">
        <f t="shared" si="1"/>
        <v>Latavius</v>
      </c>
      <c r="C1918" s="13" t="str">
        <f t="shared" si="2"/>
        <v>Murray</v>
      </c>
      <c r="D1918" s="13" t="str">
        <f t="shared" si="3"/>
        <v>#N/A</v>
      </c>
      <c r="E1918" s="1" t="s">
        <v>66</v>
      </c>
    </row>
    <row r="1919" ht="15.75" customHeight="1">
      <c r="A1919" s="1" t="s">
        <v>2185</v>
      </c>
      <c r="B1919" s="13" t="str">
        <f t="shared" si="1"/>
        <v>Lavel</v>
      </c>
      <c r="C1919" s="13" t="str">
        <f t="shared" si="2"/>
        <v>Davis</v>
      </c>
      <c r="D1919" s="13" t="str">
        <f t="shared" si="3"/>
        <v>#N/A</v>
      </c>
      <c r="E1919" s="1" t="s">
        <v>69</v>
      </c>
    </row>
    <row r="1920" ht="15.75" customHeight="1">
      <c r="A1920" s="1" t="s">
        <v>2186</v>
      </c>
      <c r="B1920" s="13" t="str">
        <f t="shared" si="1"/>
        <v>Lavelle</v>
      </c>
      <c r="C1920" s="13" t="str">
        <f t="shared" si="2"/>
        <v>Hawkins</v>
      </c>
      <c r="D1920" s="13" t="str">
        <f t="shared" si="3"/>
        <v>#N/A</v>
      </c>
      <c r="E1920" s="1" t="s">
        <v>69</v>
      </c>
    </row>
    <row r="1921" ht="15.75" customHeight="1">
      <c r="A1921" s="1" t="s">
        <v>2187</v>
      </c>
      <c r="B1921" s="13" t="str">
        <f t="shared" si="1"/>
        <v>Laveranues</v>
      </c>
      <c r="C1921" s="13" t="str">
        <f t="shared" si="2"/>
        <v>Coles</v>
      </c>
      <c r="D1921" s="13" t="str">
        <f t="shared" si="3"/>
        <v>#N/A</v>
      </c>
      <c r="E1921" s="1" t="s">
        <v>69</v>
      </c>
    </row>
    <row r="1922" ht="15.75" customHeight="1">
      <c r="A1922" s="1" t="s">
        <v>2188</v>
      </c>
      <c r="B1922" s="13" t="str">
        <f t="shared" si="1"/>
        <v>Laviska</v>
      </c>
      <c r="C1922" s="13" t="str">
        <f t="shared" si="2"/>
        <v>Shenault</v>
      </c>
      <c r="D1922" s="13" t="str">
        <f t="shared" si="3"/>
        <v>#N/A</v>
      </c>
      <c r="E1922" s="1" t="s">
        <v>69</v>
      </c>
    </row>
    <row r="1923" ht="15.75" customHeight="1">
      <c r="A1923" s="1" t="s">
        <v>2189</v>
      </c>
      <c r="B1923" s="13" t="str">
        <f t="shared" si="1"/>
        <v>LaVon</v>
      </c>
      <c r="C1923" s="13" t="str">
        <f t="shared" si="2"/>
        <v>Brazill</v>
      </c>
      <c r="D1923" s="13" t="str">
        <f t="shared" si="3"/>
        <v>#N/A</v>
      </c>
      <c r="E1923" s="1" t="s">
        <v>69</v>
      </c>
    </row>
    <row r="1924" ht="15.75" customHeight="1">
      <c r="A1924" s="1" t="s">
        <v>2190</v>
      </c>
      <c r="B1924" s="13" t="str">
        <f t="shared" si="1"/>
        <v>Lavon</v>
      </c>
      <c r="C1924" s="13" t="str">
        <f t="shared" si="2"/>
        <v>Coleman</v>
      </c>
      <c r="D1924" s="13" t="str">
        <f t="shared" si="3"/>
        <v>#N/A</v>
      </c>
      <c r="E1924" s="1" t="s">
        <v>66</v>
      </c>
    </row>
    <row r="1925" ht="15.75" customHeight="1">
      <c r="A1925" s="1" t="s">
        <v>2191</v>
      </c>
      <c r="B1925" s="13" t="str">
        <f t="shared" si="1"/>
        <v>Lawrence</v>
      </c>
      <c r="C1925" s="13" t="str">
        <f t="shared" si="2"/>
        <v>Cager</v>
      </c>
      <c r="D1925" s="13" t="str">
        <f t="shared" si="3"/>
        <v>#N/A</v>
      </c>
      <c r="E1925" s="1" t="s">
        <v>69</v>
      </c>
    </row>
    <row r="1926" ht="15.75" customHeight="1">
      <c r="A1926" s="1" t="s">
        <v>2192</v>
      </c>
      <c r="B1926" s="13" t="str">
        <f t="shared" si="1"/>
        <v>Lawrence</v>
      </c>
      <c r="C1926" s="13" t="str">
        <f t="shared" si="2"/>
        <v>Thomas</v>
      </c>
      <c r="D1926" s="13" t="str">
        <f t="shared" si="3"/>
        <v>#N/A</v>
      </c>
      <c r="E1926" s="1" t="s">
        <v>66</v>
      </c>
    </row>
    <row r="1927" ht="15.75" customHeight="1">
      <c r="A1927" s="1" t="s">
        <v>2193</v>
      </c>
      <c r="B1927" s="13" t="str">
        <f t="shared" si="1"/>
        <v>L'Damian</v>
      </c>
      <c r="C1927" s="13" t="str">
        <f t="shared" si="2"/>
        <v>Washington</v>
      </c>
      <c r="D1927" s="13" t="str">
        <f t="shared" si="3"/>
        <v>#N/A</v>
      </c>
      <c r="E1927" s="1" t="s">
        <v>69</v>
      </c>
    </row>
    <row r="1928" ht="15.75" customHeight="1">
      <c r="A1928" s="1" t="s">
        <v>2194</v>
      </c>
      <c r="B1928" s="13" t="str">
        <f t="shared" si="1"/>
        <v>Leddie</v>
      </c>
      <c r="C1928" s="13" t="str">
        <f t="shared" si="2"/>
        <v>Brown</v>
      </c>
      <c r="D1928" s="13" t="str">
        <f t="shared" si="3"/>
        <v>#N/A</v>
      </c>
      <c r="E1928" s="1" t="s">
        <v>66</v>
      </c>
    </row>
    <row r="1929" ht="15.75" customHeight="1">
      <c r="A1929" s="1" t="s">
        <v>2195</v>
      </c>
      <c r="B1929" s="13" t="str">
        <f t="shared" si="1"/>
        <v>Lee</v>
      </c>
      <c r="C1929" s="13" t="str">
        <f t="shared" si="2"/>
        <v>Doss</v>
      </c>
      <c r="D1929" s="13" t="str">
        <f t="shared" si="3"/>
        <v>#N/A</v>
      </c>
      <c r="E1929" s="1" t="s">
        <v>69</v>
      </c>
    </row>
    <row r="1930" ht="15.75" customHeight="1">
      <c r="A1930" s="1" t="s">
        <v>2196</v>
      </c>
      <c r="B1930" s="13" t="str">
        <f t="shared" si="1"/>
        <v>Lee</v>
      </c>
      <c r="C1930" s="13" t="str">
        <f t="shared" si="2"/>
        <v>Evans</v>
      </c>
      <c r="D1930" s="13" t="str">
        <f t="shared" si="3"/>
        <v>#N/A</v>
      </c>
      <c r="E1930" s="1" t="s">
        <v>69</v>
      </c>
    </row>
    <row r="1931" ht="15.75" customHeight="1">
      <c r="A1931" s="1" t="s">
        <v>2197</v>
      </c>
      <c r="B1931" s="13" t="str">
        <f t="shared" si="1"/>
        <v>Lee</v>
      </c>
      <c r="C1931" s="13" t="str">
        <f t="shared" si="2"/>
        <v>Smith</v>
      </c>
      <c r="D1931" s="13" t="str">
        <f t="shared" si="3"/>
        <v>#N/A</v>
      </c>
      <c r="E1931" s="1" t="s">
        <v>68</v>
      </c>
    </row>
    <row r="1932" ht="15.75" customHeight="1">
      <c r="A1932" s="1" t="s">
        <v>1351</v>
      </c>
      <c r="B1932" s="13" t="str">
        <f t="shared" si="1"/>
        <v>LeGarrette</v>
      </c>
      <c r="C1932" s="13" t="str">
        <f t="shared" si="2"/>
        <v>Blount</v>
      </c>
      <c r="D1932" s="13" t="str">
        <f t="shared" si="3"/>
        <v>#N/A</v>
      </c>
      <c r="E1932" s="1" t="s">
        <v>66</v>
      </c>
    </row>
    <row r="1933" ht="15.75" customHeight="1">
      <c r="A1933" s="1" t="s">
        <v>2198</v>
      </c>
      <c r="B1933" s="13" t="str">
        <f t="shared" si="1"/>
        <v>Lemar</v>
      </c>
      <c r="C1933" s="13" t="str">
        <f t="shared" si="2"/>
        <v>Durant</v>
      </c>
      <c r="D1933" s="13" t="str">
        <f t="shared" si="3"/>
        <v>#N/A</v>
      </c>
      <c r="E1933" s="1" t="s">
        <v>69</v>
      </c>
    </row>
    <row r="1934" ht="15.75" customHeight="1">
      <c r="A1934" s="1" t="s">
        <v>2199</v>
      </c>
      <c r="B1934" s="13" t="str">
        <f t="shared" si="1"/>
        <v>Lenard</v>
      </c>
      <c r="C1934" s="13" t="str">
        <f t="shared" si="2"/>
        <v>Tillery</v>
      </c>
      <c r="D1934" s="13" t="str">
        <f t="shared" si="3"/>
        <v>#N/A</v>
      </c>
      <c r="E1934" s="1" t="s">
        <v>66</v>
      </c>
    </row>
    <row r="1935" ht="15.75" customHeight="1">
      <c r="A1935" s="1" t="s">
        <v>402</v>
      </c>
      <c r="B1935" s="13" t="str">
        <f t="shared" si="1"/>
        <v>Leonard</v>
      </c>
      <c r="C1935" s="13" t="str">
        <f t="shared" si="2"/>
        <v>Fournette</v>
      </c>
      <c r="D1935" s="13" t="str">
        <f t="shared" si="3"/>
        <v>#N/A</v>
      </c>
      <c r="E1935" s="1" t="s">
        <v>66</v>
      </c>
    </row>
    <row r="1936" ht="15.75" customHeight="1">
      <c r="A1936" s="1" t="s">
        <v>2200</v>
      </c>
      <c r="B1936" s="13" t="str">
        <f t="shared" si="1"/>
        <v>Leonard</v>
      </c>
      <c r="C1936" s="13" t="str">
        <f t="shared" si="2"/>
        <v>Hankerson</v>
      </c>
      <c r="D1936" s="13" t="str">
        <f t="shared" si="3"/>
        <v>#N/A</v>
      </c>
      <c r="E1936" s="1" t="s">
        <v>69</v>
      </c>
    </row>
    <row r="1937" ht="15.75" customHeight="1">
      <c r="A1937" s="1" t="s">
        <v>2201</v>
      </c>
      <c r="B1937" s="13" t="str">
        <f t="shared" si="1"/>
        <v>Leonte</v>
      </c>
      <c r="C1937" s="13" t="str">
        <f t="shared" si="2"/>
        <v>Carroo</v>
      </c>
      <c r="D1937" s="13" t="str">
        <f t="shared" si="3"/>
        <v>#N/A</v>
      </c>
      <c r="E1937" s="1" t="s">
        <v>69</v>
      </c>
    </row>
    <row r="1938" ht="15.75" customHeight="1">
      <c r="A1938" s="1" t="s">
        <v>751</v>
      </c>
      <c r="B1938" s="13" t="str">
        <f t="shared" si="1"/>
        <v>LeSean</v>
      </c>
      <c r="C1938" s="13" t="str">
        <f t="shared" si="2"/>
        <v>McCoy</v>
      </c>
      <c r="D1938" s="13" t="str">
        <f t="shared" si="3"/>
        <v>#N/A</v>
      </c>
      <c r="E1938" s="1" t="s">
        <v>66</v>
      </c>
    </row>
    <row r="1939" ht="15.75" customHeight="1">
      <c r="A1939" s="1" t="s">
        <v>2202</v>
      </c>
      <c r="B1939" s="13" t="str">
        <f t="shared" si="1"/>
        <v>LeShun</v>
      </c>
      <c r="C1939" s="13" t="str">
        <f t="shared" si="2"/>
        <v>Daniels</v>
      </c>
      <c r="D1939" s="13" t="str">
        <f t="shared" si="3"/>
        <v>#N/A</v>
      </c>
      <c r="E1939" s="1" t="s">
        <v>66</v>
      </c>
    </row>
    <row r="1940" ht="15.75" customHeight="1">
      <c r="A1940" s="1" t="s">
        <v>2203</v>
      </c>
      <c r="B1940" s="13" t="str">
        <f t="shared" si="1"/>
        <v>Lestar</v>
      </c>
      <c r="C1940" s="13" t="str">
        <f t="shared" si="2"/>
        <v>Jean</v>
      </c>
      <c r="D1940" s="13" t="str">
        <f t="shared" si="3"/>
        <v>#N/A</v>
      </c>
      <c r="E1940" s="1" t="s">
        <v>69</v>
      </c>
    </row>
    <row r="1941" ht="15.75" customHeight="1">
      <c r="A1941" s="1" t="s">
        <v>2204</v>
      </c>
      <c r="B1941" s="13" t="str">
        <f t="shared" si="1"/>
        <v>Levante</v>
      </c>
      <c r="C1941" s="13" t="str">
        <f t="shared" si="2"/>
        <v>Bellamy</v>
      </c>
      <c r="D1941" s="13" t="str">
        <f t="shared" si="3"/>
        <v>#N/A</v>
      </c>
      <c r="E1941" s="1" t="s">
        <v>66</v>
      </c>
    </row>
    <row r="1942" ht="15.75" customHeight="1">
      <c r="A1942" s="1" t="s">
        <v>788</v>
      </c>
      <c r="B1942" s="13" t="str">
        <f t="shared" si="1"/>
        <v>Le'Veon</v>
      </c>
      <c r="C1942" s="13" t="str">
        <f t="shared" si="2"/>
        <v>Bell</v>
      </c>
      <c r="D1942" s="13" t="str">
        <f t="shared" si="3"/>
        <v>#N/A</v>
      </c>
      <c r="E1942" s="1" t="s">
        <v>66</v>
      </c>
    </row>
    <row r="1943" ht="15.75" customHeight="1">
      <c r="A1943" s="1" t="s">
        <v>2205</v>
      </c>
      <c r="B1943" s="13" t="str">
        <f t="shared" si="1"/>
        <v>Levern</v>
      </c>
      <c r="C1943" s="13" t="str">
        <f t="shared" si="2"/>
        <v>Jacobs</v>
      </c>
      <c r="D1943" s="13" t="str">
        <f t="shared" si="3"/>
        <v>#N/A</v>
      </c>
      <c r="E1943" s="1" t="s">
        <v>69</v>
      </c>
    </row>
    <row r="1944" ht="15.75" customHeight="1">
      <c r="A1944" s="1" t="s">
        <v>2206</v>
      </c>
      <c r="B1944" s="13" t="str">
        <f t="shared" si="1"/>
        <v>Levi</v>
      </c>
      <c r="C1944" s="13" t="str">
        <f t="shared" si="2"/>
        <v>Norwood</v>
      </c>
      <c r="D1944" s="13" t="str">
        <f t="shared" si="3"/>
        <v>#N/A</v>
      </c>
      <c r="E1944" s="1" t="s">
        <v>69</v>
      </c>
    </row>
    <row r="1945" ht="15.75" customHeight="1">
      <c r="A1945" s="1" t="s">
        <v>2207</v>
      </c>
      <c r="B1945" s="13" t="str">
        <f t="shared" si="1"/>
        <v>Levine</v>
      </c>
      <c r="C1945" s="13" t="str">
        <f t="shared" si="2"/>
        <v>Toilolo</v>
      </c>
      <c r="D1945" s="13" t="str">
        <f t="shared" si="3"/>
        <v>#N/A</v>
      </c>
      <c r="E1945" s="1" t="s">
        <v>68</v>
      </c>
    </row>
    <row r="1946" ht="15.75" customHeight="1">
      <c r="A1946" s="1" t="s">
        <v>2208</v>
      </c>
      <c r="B1946" s="13" t="str">
        <f t="shared" si="1"/>
        <v>Lexington</v>
      </c>
      <c r="C1946" s="13" t="str">
        <f t="shared" si="2"/>
        <v>Thomas</v>
      </c>
      <c r="D1946" s="13" t="str">
        <f t="shared" si="3"/>
        <v>#N/A</v>
      </c>
      <c r="E1946" s="1" t="s">
        <v>66</v>
      </c>
    </row>
    <row r="1947" ht="15.75" customHeight="1">
      <c r="A1947" s="1" t="s">
        <v>2209</v>
      </c>
      <c r="B1947" s="13" t="str">
        <f t="shared" si="1"/>
        <v>Lil'Jordan</v>
      </c>
      <c r="C1947" s="13" t="str">
        <f t="shared" si="2"/>
        <v>Humphrey</v>
      </c>
      <c r="D1947" s="13" t="str">
        <f t="shared" si="3"/>
        <v>#N/A</v>
      </c>
      <c r="E1947" s="1" t="s">
        <v>69</v>
      </c>
    </row>
    <row r="1948" ht="15.75" customHeight="1">
      <c r="A1948" s="1" t="s">
        <v>2210</v>
      </c>
      <c r="B1948" s="13" t="str">
        <f t="shared" si="1"/>
        <v>Limas</v>
      </c>
      <c r="C1948" s="13" t="str">
        <f t="shared" si="2"/>
        <v>Sweed</v>
      </c>
      <c r="D1948" s="13" t="str">
        <f t="shared" si="3"/>
        <v>#N/A</v>
      </c>
      <c r="E1948" s="1" t="s">
        <v>69</v>
      </c>
    </row>
    <row r="1949" ht="15.75" customHeight="1">
      <c r="A1949" s="1" t="s">
        <v>2211</v>
      </c>
      <c r="B1949" s="13" t="str">
        <f t="shared" si="1"/>
        <v>Logan</v>
      </c>
      <c r="C1949" s="13" t="str">
        <f t="shared" si="2"/>
        <v>Kilgore</v>
      </c>
      <c r="D1949" s="13" t="str">
        <f t="shared" si="3"/>
        <v>#N/A</v>
      </c>
      <c r="E1949" s="1" t="s">
        <v>65</v>
      </c>
    </row>
    <row r="1950" ht="15.75" customHeight="1">
      <c r="A1950" s="1" t="s">
        <v>2212</v>
      </c>
      <c r="B1950" s="13" t="str">
        <f t="shared" si="1"/>
        <v>Logan</v>
      </c>
      <c r="C1950" s="13" t="str">
        <f t="shared" si="2"/>
        <v>Parker</v>
      </c>
      <c r="D1950" s="13" t="str">
        <f t="shared" si="3"/>
        <v>#N/A</v>
      </c>
      <c r="E1950" s="1" t="s">
        <v>68</v>
      </c>
    </row>
    <row r="1951" ht="15.75" customHeight="1">
      <c r="A1951" s="1" t="s">
        <v>2213</v>
      </c>
      <c r="B1951" s="13" t="str">
        <f t="shared" si="1"/>
        <v>Logan</v>
      </c>
      <c r="C1951" s="13" t="str">
        <f t="shared" si="2"/>
        <v>Paulsen</v>
      </c>
      <c r="D1951" s="13" t="str">
        <f t="shared" si="3"/>
        <v>#N/A</v>
      </c>
      <c r="E1951" s="1" t="s">
        <v>68</v>
      </c>
    </row>
    <row r="1952" ht="15.75" customHeight="1">
      <c r="A1952" s="1" t="s">
        <v>185</v>
      </c>
      <c r="B1952" s="13" t="str">
        <f t="shared" si="1"/>
        <v>Logan</v>
      </c>
      <c r="C1952" s="13" t="str">
        <f t="shared" si="2"/>
        <v>Thomas</v>
      </c>
      <c r="D1952" s="13" t="str">
        <f t="shared" si="3"/>
        <v>#N/A</v>
      </c>
      <c r="E1952" s="1" t="s">
        <v>68</v>
      </c>
    </row>
    <row r="1953" ht="15.75" customHeight="1">
      <c r="A1953" s="1" t="s">
        <v>2214</v>
      </c>
      <c r="B1953" s="13" t="str">
        <f t="shared" si="1"/>
        <v>Logan</v>
      </c>
      <c r="C1953" s="13" t="str">
        <f t="shared" si="2"/>
        <v>Woodside</v>
      </c>
      <c r="D1953" s="13" t="str">
        <f t="shared" si="3"/>
        <v>#N/A</v>
      </c>
      <c r="E1953" s="1" t="s">
        <v>65</v>
      </c>
    </row>
    <row r="1954" ht="15.75" customHeight="1">
      <c r="A1954" s="1" t="s">
        <v>2215</v>
      </c>
      <c r="B1954" s="13" t="str">
        <f t="shared" si="1"/>
        <v>Lorenzo</v>
      </c>
      <c r="C1954" s="13" t="str">
        <f t="shared" si="2"/>
        <v>Styles</v>
      </c>
      <c r="D1954" s="13" t="str">
        <f t="shared" si="3"/>
        <v>#N/A</v>
      </c>
      <c r="E1954" s="1" t="s">
        <v>69</v>
      </c>
    </row>
    <row r="1955" ht="15.75" customHeight="1">
      <c r="A1955" s="1" t="s">
        <v>2216</v>
      </c>
      <c r="B1955" s="13" t="str">
        <f t="shared" si="1"/>
        <v>Lorenzo</v>
      </c>
      <c r="C1955" s="13" t="str">
        <f t="shared" si="2"/>
        <v>Taliaferro</v>
      </c>
      <c r="D1955" s="13" t="str">
        <f t="shared" si="3"/>
        <v>#N/A</v>
      </c>
      <c r="E1955" s="1" t="s">
        <v>66</v>
      </c>
    </row>
    <row r="1956" ht="15.75" customHeight="1">
      <c r="A1956" s="1" t="s">
        <v>231</v>
      </c>
      <c r="B1956" s="13" t="str">
        <f t="shared" si="1"/>
        <v>Los</v>
      </c>
      <c r="C1956" s="13" t="str">
        <f t="shared" si="2"/>
        <v>Angeles</v>
      </c>
      <c r="D1956" s="13" t="str">
        <f t="shared" si="3"/>
        <v>#N/A</v>
      </c>
      <c r="E1956" s="1" t="s">
        <v>63</v>
      </c>
    </row>
    <row r="1957" ht="15.75" customHeight="1">
      <c r="A1957" s="1" t="s">
        <v>2217</v>
      </c>
      <c r="B1957" s="13" t="str">
        <f t="shared" si="1"/>
        <v>Louis</v>
      </c>
      <c r="C1957" s="13" t="str">
        <f t="shared" si="2"/>
        <v>Murphy</v>
      </c>
      <c r="D1957" s="13" t="str">
        <f t="shared" si="3"/>
        <v>#N/A</v>
      </c>
      <c r="E1957" s="1" t="s">
        <v>69</v>
      </c>
    </row>
    <row r="1958" ht="15.75" customHeight="1">
      <c r="A1958" s="1" t="s">
        <v>2218</v>
      </c>
      <c r="B1958" s="13" t="str">
        <f t="shared" si="1"/>
        <v>Lucas</v>
      </c>
      <c r="C1958" s="13" t="str">
        <f t="shared" si="2"/>
        <v>Krull</v>
      </c>
      <c r="D1958" s="13" t="str">
        <f t="shared" si="3"/>
        <v>#N/A</v>
      </c>
      <c r="E1958" s="1" t="s">
        <v>68</v>
      </c>
    </row>
    <row r="1959" ht="15.75" customHeight="1">
      <c r="A1959" s="1" t="s">
        <v>2219</v>
      </c>
      <c r="B1959" s="13" t="str">
        <f t="shared" si="1"/>
        <v>Lucky</v>
      </c>
      <c r="C1959" s="13" t="str">
        <f t="shared" si="2"/>
        <v>Whitehead</v>
      </c>
      <c r="D1959" s="13" t="str">
        <f t="shared" si="3"/>
        <v>#N/A</v>
      </c>
      <c r="E1959" s="1" t="s">
        <v>69</v>
      </c>
    </row>
    <row r="1960" ht="15.75" customHeight="1">
      <c r="A1960" s="1" t="s">
        <v>2220</v>
      </c>
      <c r="B1960" s="13" t="str">
        <f t="shared" si="1"/>
        <v>Luis</v>
      </c>
      <c r="C1960" s="13" t="str">
        <f t="shared" si="2"/>
        <v>Perez</v>
      </c>
      <c r="D1960" s="13" t="str">
        <f t="shared" si="3"/>
        <v>#N/A</v>
      </c>
      <c r="E1960" s="1" t="s">
        <v>65</v>
      </c>
    </row>
    <row r="1961" ht="15.75" customHeight="1">
      <c r="A1961" s="1" t="s">
        <v>2221</v>
      </c>
      <c r="B1961" s="13" t="str">
        <f t="shared" si="1"/>
        <v>Luke</v>
      </c>
      <c r="C1961" s="13" t="str">
        <f t="shared" si="2"/>
        <v>Falk</v>
      </c>
      <c r="D1961" s="13" t="str">
        <f t="shared" si="3"/>
        <v>#N/A</v>
      </c>
      <c r="E1961" s="1" t="s">
        <v>65</v>
      </c>
    </row>
    <row r="1962" ht="15.75" customHeight="1">
      <c r="A1962" s="1" t="s">
        <v>2222</v>
      </c>
      <c r="B1962" s="13" t="str">
        <f t="shared" si="1"/>
        <v>Luke</v>
      </c>
      <c r="C1962" s="13" t="str">
        <f t="shared" si="2"/>
        <v>Farrell</v>
      </c>
      <c r="D1962" s="13" t="str">
        <f t="shared" si="3"/>
        <v>#N/A</v>
      </c>
      <c r="E1962" s="1" t="s">
        <v>68</v>
      </c>
    </row>
    <row r="1963" ht="15.75" customHeight="1">
      <c r="A1963" s="1" t="s">
        <v>2223</v>
      </c>
      <c r="B1963" s="13" t="str">
        <f t="shared" si="1"/>
        <v>Luke</v>
      </c>
      <c r="C1963" s="13" t="str">
        <f t="shared" si="2"/>
        <v>Little</v>
      </c>
      <c r="D1963" s="13" t="str">
        <f t="shared" si="3"/>
        <v>#N/A</v>
      </c>
      <c r="E1963" s="1" t="s">
        <v>69</v>
      </c>
    </row>
    <row r="1964" ht="15.75" customHeight="1">
      <c r="A1964" s="1" t="s">
        <v>2224</v>
      </c>
      <c r="B1964" s="13" t="str">
        <f t="shared" si="1"/>
        <v>Luke</v>
      </c>
      <c r="C1964" s="13" t="str">
        <f t="shared" si="2"/>
        <v>McCown</v>
      </c>
      <c r="D1964" s="13" t="str">
        <f t="shared" si="3"/>
        <v>#N/A</v>
      </c>
      <c r="E1964" s="1" t="s">
        <v>65</v>
      </c>
    </row>
    <row r="1965" ht="15.75" customHeight="1">
      <c r="A1965" s="1" t="s">
        <v>2225</v>
      </c>
      <c r="B1965" s="13" t="str">
        <f t="shared" si="1"/>
        <v>Luke</v>
      </c>
      <c r="C1965" s="13" t="str">
        <f t="shared" si="2"/>
        <v>Stocker</v>
      </c>
      <c r="D1965" s="13" t="str">
        <f t="shared" si="3"/>
        <v>#N/A</v>
      </c>
      <c r="E1965" s="1" t="s">
        <v>68</v>
      </c>
    </row>
    <row r="1966" ht="15.75" customHeight="1">
      <c r="A1966" s="1" t="s">
        <v>2226</v>
      </c>
      <c r="B1966" s="13" t="str">
        <f t="shared" si="1"/>
        <v>Luke</v>
      </c>
      <c r="C1966" s="13" t="str">
        <f t="shared" si="2"/>
        <v>Willson</v>
      </c>
      <c r="D1966" s="13" t="str">
        <f t="shared" si="3"/>
        <v>#N/A</v>
      </c>
      <c r="E1966" s="1" t="s">
        <v>68</v>
      </c>
    </row>
    <row r="1967" ht="15.75" customHeight="1">
      <c r="A1967" s="1" t="s">
        <v>2227</v>
      </c>
      <c r="B1967" s="13" t="str">
        <f t="shared" si="1"/>
        <v>Luther</v>
      </c>
      <c r="C1967" s="13" t="str">
        <f t="shared" si="2"/>
        <v>Burden</v>
      </c>
      <c r="D1967" s="13" t="str">
        <f t="shared" si="3"/>
        <v>#N/A</v>
      </c>
      <c r="E1967" s="1" t="s">
        <v>69</v>
      </c>
    </row>
    <row r="1968" ht="15.75" customHeight="1">
      <c r="A1968" s="1" t="s">
        <v>2228</v>
      </c>
      <c r="B1968" s="13" t="str">
        <f t="shared" si="1"/>
        <v>Lynn</v>
      </c>
      <c r="C1968" s="13" t="str">
        <f t="shared" si="2"/>
        <v>Bowden</v>
      </c>
      <c r="D1968" s="13" t="str">
        <f t="shared" si="3"/>
        <v>#N/A</v>
      </c>
      <c r="E1968" s="1" t="s">
        <v>69</v>
      </c>
    </row>
    <row r="1969" ht="15.75" customHeight="1">
      <c r="A1969" s="1" t="s">
        <v>2229</v>
      </c>
      <c r="B1969" s="13" t="str">
        <f t="shared" si="1"/>
        <v>Mac</v>
      </c>
      <c r="C1969" s="13" t="str">
        <f t="shared" si="2"/>
        <v>Jones</v>
      </c>
      <c r="D1969" s="13" t="str">
        <f t="shared" si="3"/>
        <v>#N/A</v>
      </c>
      <c r="E1969" s="1" t="s">
        <v>65</v>
      </c>
    </row>
    <row r="1970" ht="15.75" customHeight="1">
      <c r="A1970" s="1" t="s">
        <v>2230</v>
      </c>
      <c r="B1970" s="13" t="str">
        <f t="shared" si="1"/>
        <v>Mack</v>
      </c>
      <c r="C1970" s="13" t="str">
        <f t="shared" si="2"/>
        <v>Brown</v>
      </c>
      <c r="D1970" s="13" t="str">
        <f t="shared" si="3"/>
        <v>#N/A</v>
      </c>
      <c r="E1970" s="1" t="s">
        <v>66</v>
      </c>
    </row>
    <row r="1971" ht="15.75" customHeight="1">
      <c r="A1971" s="1" t="s">
        <v>2231</v>
      </c>
      <c r="B1971" s="13" t="str">
        <f t="shared" si="1"/>
        <v>Mack</v>
      </c>
      <c r="C1971" s="13" t="str">
        <f t="shared" si="2"/>
        <v>Hollins</v>
      </c>
      <c r="D1971" s="13" t="str">
        <f t="shared" si="3"/>
        <v>#N/A</v>
      </c>
      <c r="E1971" s="1" t="s">
        <v>69</v>
      </c>
    </row>
    <row r="1972" ht="15.75" customHeight="1">
      <c r="A1972" s="1" t="s">
        <v>2232</v>
      </c>
      <c r="B1972" s="13" t="str">
        <f t="shared" si="1"/>
        <v>Madre</v>
      </c>
      <c r="C1972" s="13" t="str">
        <f t="shared" si="2"/>
        <v>London</v>
      </c>
      <c r="D1972" s="13" t="str">
        <f t="shared" si="3"/>
        <v>#N/A</v>
      </c>
      <c r="E1972" s="1" t="s">
        <v>66</v>
      </c>
    </row>
    <row r="1973" ht="15.75" customHeight="1">
      <c r="A1973" s="1" t="s">
        <v>2233</v>
      </c>
      <c r="B1973" s="13" t="str">
        <f t="shared" si="1"/>
        <v>Makai</v>
      </c>
      <c r="C1973" s="13" t="str">
        <f t="shared" si="2"/>
        <v>Polk</v>
      </c>
      <c r="D1973" s="13" t="str">
        <f t="shared" si="3"/>
        <v>#N/A</v>
      </c>
      <c r="E1973" s="1" t="s">
        <v>69</v>
      </c>
    </row>
    <row r="1974" ht="15.75" customHeight="1">
      <c r="A1974" s="1" t="s">
        <v>2234</v>
      </c>
      <c r="B1974" s="13" t="str">
        <f t="shared" si="1"/>
        <v>Malachi</v>
      </c>
      <c r="C1974" s="13" t="str">
        <f t="shared" si="2"/>
        <v>Carter</v>
      </c>
      <c r="D1974" s="13" t="str">
        <f t="shared" si="3"/>
        <v>#N/A</v>
      </c>
      <c r="E1974" s="1" t="s">
        <v>69</v>
      </c>
    </row>
    <row r="1975" ht="15.75" customHeight="1">
      <c r="A1975" s="1" t="s">
        <v>2235</v>
      </c>
      <c r="B1975" s="13" t="str">
        <f t="shared" si="1"/>
        <v>Malachi</v>
      </c>
      <c r="C1975" s="13" t="str">
        <f t="shared" si="2"/>
        <v>Dupre</v>
      </c>
      <c r="D1975" s="13" t="str">
        <f t="shared" si="3"/>
        <v>#N/A</v>
      </c>
      <c r="E1975" s="1" t="s">
        <v>69</v>
      </c>
    </row>
    <row r="1976" ht="15.75" customHeight="1">
      <c r="A1976" s="1" t="s">
        <v>2236</v>
      </c>
      <c r="B1976" s="13" t="str">
        <f t="shared" si="1"/>
        <v>Malachi</v>
      </c>
      <c r="C1976" s="13" t="str">
        <f t="shared" si="2"/>
        <v>Nelson</v>
      </c>
      <c r="D1976" s="13" t="str">
        <f t="shared" si="3"/>
        <v>#N/A</v>
      </c>
      <c r="E1976" s="1" t="s">
        <v>65</v>
      </c>
    </row>
    <row r="1977" ht="15.75" customHeight="1">
      <c r="A1977" s="1" t="s">
        <v>2237</v>
      </c>
      <c r="B1977" s="13" t="str">
        <f t="shared" si="1"/>
        <v>Malachi</v>
      </c>
      <c r="C1977" s="13" t="str">
        <f t="shared" si="2"/>
        <v>Thomas</v>
      </c>
      <c r="D1977" s="13" t="str">
        <f t="shared" si="3"/>
        <v>#N/A</v>
      </c>
      <c r="E1977" s="1" t="s">
        <v>66</v>
      </c>
    </row>
    <row r="1978" ht="15.75" customHeight="1">
      <c r="A1978" s="1" t="s">
        <v>2238</v>
      </c>
      <c r="B1978" s="13" t="str">
        <f t="shared" si="1"/>
        <v>Malcolm</v>
      </c>
      <c r="C1978" s="13" t="str">
        <f t="shared" si="2"/>
        <v>Agnew</v>
      </c>
      <c r="D1978" s="13" t="str">
        <f t="shared" si="3"/>
        <v>#N/A</v>
      </c>
      <c r="E1978" s="1" t="s">
        <v>66</v>
      </c>
    </row>
    <row r="1979" ht="15.75" customHeight="1">
      <c r="A1979" s="1" t="s">
        <v>2239</v>
      </c>
      <c r="B1979" s="13" t="str">
        <f t="shared" si="1"/>
        <v>Malcolm</v>
      </c>
      <c r="C1979" s="13" t="str">
        <f t="shared" si="2"/>
        <v>Brown</v>
      </c>
      <c r="D1979" s="13" t="str">
        <f t="shared" si="3"/>
        <v>#N/A</v>
      </c>
      <c r="E1979" s="1" t="s">
        <v>66</v>
      </c>
    </row>
    <row r="1980" ht="15.75" customHeight="1">
      <c r="A1980" s="1" t="s">
        <v>2240</v>
      </c>
      <c r="B1980" s="13" t="str">
        <f t="shared" si="1"/>
        <v>Malcolm</v>
      </c>
      <c r="C1980" s="13" t="str">
        <f t="shared" si="2"/>
        <v>Johnson</v>
      </c>
      <c r="D1980" s="13" t="str">
        <f t="shared" si="3"/>
        <v>#N/A</v>
      </c>
      <c r="E1980" s="1" t="s">
        <v>66</v>
      </c>
    </row>
    <row r="1981" ht="15.75" customHeight="1">
      <c r="A1981" s="1" t="s">
        <v>2241</v>
      </c>
      <c r="B1981" s="13" t="str">
        <f t="shared" si="1"/>
        <v>Malcolm</v>
      </c>
      <c r="C1981" s="13" t="str">
        <f t="shared" si="2"/>
        <v>Johnson Jr</v>
      </c>
      <c r="D1981" s="13" t="str">
        <f t="shared" si="3"/>
        <v>#N/A</v>
      </c>
      <c r="E1981" s="1" t="s">
        <v>69</v>
      </c>
    </row>
    <row r="1982" ht="15.75" customHeight="1">
      <c r="A1982" s="1" t="s">
        <v>2242</v>
      </c>
      <c r="B1982" s="13" t="str">
        <f t="shared" si="1"/>
        <v>Malcolm</v>
      </c>
      <c r="C1982" s="13" t="str">
        <f t="shared" si="2"/>
        <v>Lewis</v>
      </c>
      <c r="D1982" s="13" t="str">
        <f t="shared" si="3"/>
        <v>#N/A</v>
      </c>
      <c r="E1982" s="1" t="s">
        <v>69</v>
      </c>
    </row>
    <row r="1983" ht="15.75" customHeight="1">
      <c r="A1983" s="1" t="s">
        <v>2020</v>
      </c>
      <c r="B1983" s="13" t="str">
        <f t="shared" si="1"/>
        <v>Malcolm</v>
      </c>
      <c r="C1983" s="13" t="str">
        <f t="shared" si="2"/>
        <v>Mitchell</v>
      </c>
      <c r="D1983" s="13" t="str">
        <f t="shared" si="3"/>
        <v>#N/A</v>
      </c>
      <c r="E1983" s="1" t="s">
        <v>69</v>
      </c>
    </row>
    <row r="1984" ht="15.75" customHeight="1">
      <c r="A1984" s="1" t="s">
        <v>2243</v>
      </c>
      <c r="B1984" s="13" t="str">
        <f t="shared" si="1"/>
        <v>Malcolm</v>
      </c>
      <c r="C1984" s="13" t="str">
        <f t="shared" si="2"/>
        <v>Perry</v>
      </c>
      <c r="D1984" s="13" t="str">
        <f t="shared" si="3"/>
        <v>#N/A</v>
      </c>
      <c r="E1984" s="1" t="s">
        <v>69</v>
      </c>
    </row>
    <row r="1985" ht="15.75" customHeight="1">
      <c r="A1985" s="1" t="s">
        <v>2244</v>
      </c>
      <c r="B1985" s="13" t="str">
        <f t="shared" si="1"/>
        <v>Malcolm</v>
      </c>
      <c r="C1985" s="13" t="str">
        <f t="shared" si="2"/>
        <v>Williams</v>
      </c>
      <c r="D1985" s="13" t="str">
        <f t="shared" si="3"/>
        <v>#N/A</v>
      </c>
      <c r="E1985" s="1" t="s">
        <v>69</v>
      </c>
    </row>
    <row r="1986" ht="15.75" customHeight="1">
      <c r="A1986" s="1" t="s">
        <v>2245</v>
      </c>
      <c r="B1986" s="13" t="str">
        <f t="shared" si="1"/>
        <v>Malcom</v>
      </c>
      <c r="C1986" s="13" t="str">
        <f t="shared" si="2"/>
        <v>Floyd</v>
      </c>
      <c r="D1986" s="13" t="str">
        <f t="shared" si="3"/>
        <v>#N/A</v>
      </c>
      <c r="E1986" s="1" t="s">
        <v>69</v>
      </c>
    </row>
    <row r="1987" ht="15.75" customHeight="1">
      <c r="A1987" s="1" t="s">
        <v>2246</v>
      </c>
      <c r="B1987" s="13" t="str">
        <f t="shared" si="1"/>
        <v>Malcome</v>
      </c>
      <c r="C1987" s="13" t="str">
        <f t="shared" si="2"/>
        <v>Kennedy</v>
      </c>
      <c r="D1987" s="13" t="str">
        <f t="shared" si="3"/>
        <v>#N/A</v>
      </c>
      <c r="E1987" s="1" t="s">
        <v>69</v>
      </c>
    </row>
    <row r="1988" ht="15.75" customHeight="1">
      <c r="A1988" s="1" t="s">
        <v>2247</v>
      </c>
      <c r="B1988" s="13" t="str">
        <f t="shared" si="1"/>
        <v>Malik</v>
      </c>
      <c r="C1988" s="13" t="str">
        <f t="shared" si="2"/>
        <v>Cunninham</v>
      </c>
      <c r="D1988" s="13" t="str">
        <f t="shared" si="3"/>
        <v>#N/A</v>
      </c>
      <c r="E1988" s="1" t="s">
        <v>65</v>
      </c>
    </row>
    <row r="1989" ht="15.75" customHeight="1">
      <c r="A1989" s="1" t="s">
        <v>2248</v>
      </c>
      <c r="B1989" s="13" t="str">
        <f t="shared" si="1"/>
        <v>Malik</v>
      </c>
      <c r="C1989" s="13" t="str">
        <f t="shared" si="2"/>
        <v>Heath</v>
      </c>
      <c r="D1989" s="13" t="str">
        <f t="shared" si="3"/>
        <v>#N/A</v>
      </c>
      <c r="E1989" s="1" t="s">
        <v>69</v>
      </c>
    </row>
    <row r="1990" ht="15.75" customHeight="1">
      <c r="A1990" s="1" t="s">
        <v>2249</v>
      </c>
      <c r="B1990" s="13" t="str">
        <f t="shared" si="1"/>
        <v>Malik</v>
      </c>
      <c r="C1990" s="13" t="str">
        <f t="shared" si="2"/>
        <v>Henry</v>
      </c>
      <c r="D1990" s="13" t="str">
        <f t="shared" si="3"/>
        <v>#N/A</v>
      </c>
      <c r="E1990" s="1" t="s">
        <v>69</v>
      </c>
    </row>
    <row r="1991" ht="15.75" customHeight="1">
      <c r="A1991" s="1" t="s">
        <v>2250</v>
      </c>
      <c r="B1991" s="13" t="str">
        <f t="shared" si="1"/>
        <v>Malik</v>
      </c>
      <c r="C1991" s="13" t="str">
        <f t="shared" si="2"/>
        <v>McClain</v>
      </c>
      <c r="D1991" s="13" t="str">
        <f t="shared" si="3"/>
        <v>#N/A</v>
      </c>
      <c r="E1991" s="1" t="s">
        <v>69</v>
      </c>
    </row>
    <row r="1992" ht="15.75" customHeight="1">
      <c r="A1992" s="1" t="s">
        <v>2251</v>
      </c>
      <c r="B1992" s="13" t="str">
        <f t="shared" si="1"/>
        <v>Malik</v>
      </c>
      <c r="C1992" s="13" t="str">
        <f t="shared" si="2"/>
        <v>Nabers</v>
      </c>
      <c r="D1992" s="13" t="str">
        <f t="shared" si="3"/>
        <v>#N/A</v>
      </c>
      <c r="E1992" s="1" t="s">
        <v>69</v>
      </c>
    </row>
    <row r="1993" ht="15.75" customHeight="1">
      <c r="A1993" s="1" t="s">
        <v>2252</v>
      </c>
      <c r="B1993" s="13" t="str">
        <f t="shared" si="1"/>
        <v>Malik</v>
      </c>
      <c r="C1993" s="13" t="str">
        <f t="shared" si="2"/>
        <v>Taylor</v>
      </c>
      <c r="D1993" s="13" t="str">
        <f t="shared" si="3"/>
        <v>#N/A</v>
      </c>
      <c r="E1993" s="1" t="s">
        <v>69</v>
      </c>
    </row>
    <row r="1994" ht="15.75" customHeight="1">
      <c r="A1994" s="1" t="s">
        <v>2253</v>
      </c>
      <c r="B1994" s="13" t="str">
        <f t="shared" si="1"/>
        <v>Malik</v>
      </c>
      <c r="C1994" s="13" t="str">
        <f t="shared" si="2"/>
        <v>Turner</v>
      </c>
      <c r="D1994" s="13" t="str">
        <f t="shared" si="3"/>
        <v>#N/A</v>
      </c>
      <c r="E1994" s="1" t="s">
        <v>69</v>
      </c>
    </row>
    <row r="1995" ht="15.75" customHeight="1">
      <c r="A1995" s="1" t="s">
        <v>2254</v>
      </c>
      <c r="B1995" s="13" t="str">
        <f t="shared" si="1"/>
        <v>Malik</v>
      </c>
      <c r="C1995" s="13" t="str">
        <f t="shared" si="2"/>
        <v>Williams</v>
      </c>
      <c r="D1995" s="13" t="str">
        <f t="shared" si="3"/>
        <v>#N/A</v>
      </c>
      <c r="E1995" s="1" t="s">
        <v>66</v>
      </c>
    </row>
    <row r="1996" ht="15.75" customHeight="1">
      <c r="A1996" s="1" t="s">
        <v>2255</v>
      </c>
      <c r="B1996" s="13" t="str">
        <f t="shared" si="1"/>
        <v>Malik</v>
      </c>
      <c r="C1996" s="13" t="str">
        <f t="shared" si="2"/>
        <v>Willis</v>
      </c>
      <c r="D1996" s="13" t="str">
        <f t="shared" si="3"/>
        <v>#N/A</v>
      </c>
      <c r="E1996" s="1" t="s">
        <v>65</v>
      </c>
    </row>
    <row r="1997" ht="15.75" customHeight="1">
      <c r="A1997" s="1" t="s">
        <v>2256</v>
      </c>
      <c r="B1997" s="13" t="str">
        <f t="shared" si="1"/>
        <v>Maliq</v>
      </c>
      <c r="C1997" s="13" t="str">
        <f t="shared" si="2"/>
        <v>Carr</v>
      </c>
      <c r="D1997" s="13" t="str">
        <f t="shared" si="3"/>
        <v>#N/A</v>
      </c>
      <c r="E1997" s="1" t="s">
        <v>68</v>
      </c>
    </row>
    <row r="1998" ht="15.75" customHeight="1">
      <c r="A1998" s="1" t="s">
        <v>2257</v>
      </c>
      <c r="B1998" s="13" t="str">
        <f t="shared" si="1"/>
        <v>Manasseh</v>
      </c>
      <c r="C1998" s="13" t="str">
        <f t="shared" si="2"/>
        <v>Garner</v>
      </c>
      <c r="D1998" s="13" t="str">
        <f t="shared" si="3"/>
        <v>#N/A</v>
      </c>
      <c r="E1998" s="1" t="s">
        <v>68</v>
      </c>
    </row>
    <row r="1999" ht="15.75" customHeight="1">
      <c r="A1999" s="1" t="s">
        <v>2258</v>
      </c>
      <c r="B1999" s="13" t="str">
        <f t="shared" si="1"/>
        <v>Marcedes</v>
      </c>
      <c r="C1999" s="13" t="str">
        <f t="shared" si="2"/>
        <v>Lewis</v>
      </c>
      <c r="D1999" s="13" t="str">
        <f t="shared" si="3"/>
        <v>#N/A</v>
      </c>
      <c r="E1999" s="1" t="s">
        <v>68</v>
      </c>
    </row>
    <row r="2000" ht="15.75" customHeight="1">
      <c r="A2000" s="1" t="s">
        <v>2259</v>
      </c>
      <c r="B2000" s="13" t="str">
        <f t="shared" si="1"/>
        <v>Marcel</v>
      </c>
      <c r="C2000" s="13" t="str">
        <f t="shared" si="2"/>
        <v>Jensen</v>
      </c>
      <c r="D2000" s="13" t="str">
        <f t="shared" si="3"/>
        <v>#N/A</v>
      </c>
      <c r="E2000" s="1" t="s">
        <v>68</v>
      </c>
    </row>
    <row r="2001" ht="15.75" customHeight="1">
      <c r="A2001" s="1" t="s">
        <v>2260</v>
      </c>
      <c r="B2001" s="13" t="str">
        <f t="shared" si="1"/>
        <v>Marcel</v>
      </c>
      <c r="C2001" s="13" t="str">
        <f t="shared" si="2"/>
        <v>Reece</v>
      </c>
      <c r="D2001" s="13" t="str">
        <f t="shared" si="3"/>
        <v>#N/A</v>
      </c>
      <c r="E2001" s="1" t="s">
        <v>66</v>
      </c>
    </row>
    <row r="2002" ht="15.75" customHeight="1">
      <c r="A2002" s="1" t="s">
        <v>2261</v>
      </c>
      <c r="B2002" s="13" t="str">
        <f t="shared" si="1"/>
        <v>Marcell</v>
      </c>
      <c r="C2002" s="13" t="str">
        <f t="shared" si="2"/>
        <v>Ateman</v>
      </c>
      <c r="D2002" s="13" t="str">
        <f t="shared" si="3"/>
        <v>#N/A</v>
      </c>
      <c r="E2002" s="1" t="s">
        <v>69</v>
      </c>
    </row>
    <row r="2003" ht="15.75" customHeight="1">
      <c r="A2003" s="1" t="s">
        <v>2262</v>
      </c>
      <c r="B2003" s="13" t="str">
        <f t="shared" si="1"/>
        <v>Marcus</v>
      </c>
      <c r="C2003" s="13" t="str">
        <f t="shared" si="2"/>
        <v>Baugh</v>
      </c>
      <c r="D2003" s="13" t="str">
        <f t="shared" si="3"/>
        <v>#N/A</v>
      </c>
      <c r="E2003" s="1" t="s">
        <v>68</v>
      </c>
    </row>
    <row r="2004" ht="15.75" customHeight="1">
      <c r="A2004" s="1" t="s">
        <v>2263</v>
      </c>
      <c r="B2004" s="13" t="str">
        <f t="shared" si="1"/>
        <v>Marcus</v>
      </c>
      <c r="C2004" s="13" t="str">
        <f t="shared" si="2"/>
        <v>Beaurem</v>
      </c>
      <c r="D2004" s="13" t="str">
        <f t="shared" si="3"/>
        <v>#N/A</v>
      </c>
      <c r="E2004" s="1" t="s">
        <v>69</v>
      </c>
    </row>
    <row r="2005" ht="15.75" customHeight="1">
      <c r="A2005" s="1" t="s">
        <v>2264</v>
      </c>
      <c r="B2005" s="13" t="str">
        <f t="shared" si="1"/>
        <v>Marcus</v>
      </c>
      <c r="C2005" s="13" t="str">
        <f t="shared" si="2"/>
        <v>Easley</v>
      </c>
      <c r="D2005" s="13" t="str">
        <f t="shared" si="3"/>
        <v>#N/A</v>
      </c>
      <c r="E2005" s="1" t="s">
        <v>69</v>
      </c>
    </row>
    <row r="2006" ht="15.75" customHeight="1">
      <c r="A2006" s="1" t="s">
        <v>2265</v>
      </c>
      <c r="B2006" s="13" t="str">
        <f t="shared" si="1"/>
        <v>Marcus</v>
      </c>
      <c r="C2006" s="13" t="str">
        <f t="shared" si="2"/>
        <v>Green</v>
      </c>
      <c r="D2006" s="13" t="str">
        <f t="shared" si="3"/>
        <v>#N/A</v>
      </c>
      <c r="E2006" s="1" t="s">
        <v>69</v>
      </c>
    </row>
    <row r="2007" ht="15.75" customHeight="1">
      <c r="A2007" s="1" t="s">
        <v>2266</v>
      </c>
      <c r="B2007" s="13" t="str">
        <f t="shared" si="1"/>
        <v>Marcus</v>
      </c>
      <c r="C2007" s="13" t="str">
        <f t="shared" si="2"/>
        <v>Harris</v>
      </c>
      <c r="D2007" s="13" t="str">
        <f t="shared" si="3"/>
        <v>#N/A</v>
      </c>
      <c r="E2007" s="1" t="s">
        <v>69</v>
      </c>
    </row>
    <row r="2008" ht="15.75" customHeight="1">
      <c r="A2008" s="1" t="s">
        <v>2267</v>
      </c>
      <c r="B2008" s="13" t="str">
        <f t="shared" si="1"/>
        <v>Marcus</v>
      </c>
      <c r="C2008" s="13" t="str">
        <f t="shared" si="2"/>
        <v>Johnson</v>
      </c>
      <c r="D2008" s="13" t="str">
        <f t="shared" si="3"/>
        <v>#N/A</v>
      </c>
      <c r="E2008" s="1" t="s">
        <v>69</v>
      </c>
    </row>
    <row r="2009" ht="15.75" customHeight="1">
      <c r="A2009" s="1" t="s">
        <v>2268</v>
      </c>
      <c r="B2009" s="13" t="str">
        <f t="shared" si="1"/>
        <v>Marcus</v>
      </c>
      <c r="C2009" s="13" t="str">
        <f t="shared" si="2"/>
        <v>Kemp</v>
      </c>
      <c r="D2009" s="13" t="str">
        <f t="shared" si="3"/>
        <v>#N/A</v>
      </c>
      <c r="E2009" s="1" t="s">
        <v>69</v>
      </c>
    </row>
    <row r="2010" ht="15.75" customHeight="1">
      <c r="A2010" s="1" t="s">
        <v>2269</v>
      </c>
      <c r="B2010" s="13" t="str">
        <f t="shared" si="1"/>
        <v>Marcus</v>
      </c>
      <c r="C2010" s="13" t="str">
        <f t="shared" si="2"/>
        <v>Lattimore</v>
      </c>
      <c r="D2010" s="13" t="str">
        <f t="shared" si="3"/>
        <v>#N/A</v>
      </c>
      <c r="E2010" s="1" t="s">
        <v>66</v>
      </c>
    </row>
    <row r="2011" ht="15.75" customHeight="1">
      <c r="A2011" s="1" t="s">
        <v>2270</v>
      </c>
      <c r="B2011" s="13" t="str">
        <f t="shared" si="1"/>
        <v>Marcus</v>
      </c>
      <c r="C2011" s="13" t="str">
        <f t="shared" si="2"/>
        <v>Lucas</v>
      </c>
      <c r="D2011" s="13" t="str">
        <f t="shared" si="3"/>
        <v>#N/A</v>
      </c>
      <c r="E2011" s="1" t="s">
        <v>68</v>
      </c>
    </row>
    <row r="2012" ht="15.75" customHeight="1">
      <c r="A2012" s="1" t="s">
        <v>1610</v>
      </c>
      <c r="B2012" s="13" t="str">
        <f t="shared" si="1"/>
        <v>Marcus</v>
      </c>
      <c r="C2012" s="13" t="str">
        <f t="shared" si="2"/>
        <v>Mariota</v>
      </c>
      <c r="D2012" s="13" t="str">
        <f t="shared" si="3"/>
        <v>#N/A</v>
      </c>
      <c r="E2012" s="1" t="s">
        <v>65</v>
      </c>
    </row>
    <row r="2013" ht="15.75" customHeight="1">
      <c r="A2013" s="1" t="s">
        <v>2271</v>
      </c>
      <c r="B2013" s="13" t="str">
        <f t="shared" si="1"/>
        <v>Marcus</v>
      </c>
      <c r="C2013" s="13" t="str">
        <f t="shared" si="2"/>
        <v>Marshall</v>
      </c>
      <c r="D2013" s="13" t="str">
        <f t="shared" si="3"/>
        <v>#N/A</v>
      </c>
      <c r="E2013" s="1" t="s">
        <v>66</v>
      </c>
    </row>
    <row r="2014" ht="15.75" customHeight="1">
      <c r="A2014" s="1" t="s">
        <v>2272</v>
      </c>
      <c r="B2014" s="13" t="str">
        <f t="shared" si="1"/>
        <v>Marcus</v>
      </c>
      <c r="C2014" s="13" t="str">
        <f t="shared" si="2"/>
        <v>McMaryion</v>
      </c>
      <c r="D2014" s="13" t="str">
        <f t="shared" si="3"/>
        <v>#N/A</v>
      </c>
      <c r="E2014" s="1" t="s">
        <v>65</v>
      </c>
    </row>
    <row r="2015" ht="15.75" customHeight="1">
      <c r="A2015" s="1" t="s">
        <v>2273</v>
      </c>
      <c r="B2015" s="13" t="str">
        <f t="shared" si="1"/>
        <v>Marcus</v>
      </c>
      <c r="C2015" s="13" t="str">
        <f t="shared" si="2"/>
        <v>Murphy</v>
      </c>
      <c r="D2015" s="13" t="str">
        <f t="shared" si="3"/>
        <v>#N/A</v>
      </c>
      <c r="E2015" s="1" t="s">
        <v>66</v>
      </c>
    </row>
    <row r="2016" ht="15.75" customHeight="1">
      <c r="A2016" s="1" t="s">
        <v>2274</v>
      </c>
      <c r="B2016" s="13" t="str">
        <f t="shared" si="1"/>
        <v>Marcus</v>
      </c>
      <c r="C2016" s="13" t="str">
        <f t="shared" si="2"/>
        <v>Tucker</v>
      </c>
      <c r="D2016" s="13" t="str">
        <f t="shared" si="3"/>
        <v>#N/A</v>
      </c>
      <c r="E2016" s="1" t="s">
        <v>69</v>
      </c>
    </row>
    <row r="2017" ht="15.75" customHeight="1">
      <c r="A2017" s="1" t="s">
        <v>2275</v>
      </c>
      <c r="B2017" s="13" t="str">
        <f t="shared" si="1"/>
        <v>Mario</v>
      </c>
      <c r="C2017" s="13" t="str">
        <f t="shared" si="2"/>
        <v>Alford</v>
      </c>
      <c r="D2017" s="13" t="str">
        <f t="shared" si="3"/>
        <v>#N/A</v>
      </c>
      <c r="E2017" s="1" t="s">
        <v>69</v>
      </c>
    </row>
    <row r="2018" ht="15.75" customHeight="1">
      <c r="A2018" s="1" t="s">
        <v>2276</v>
      </c>
      <c r="B2018" s="13" t="str">
        <f t="shared" si="1"/>
        <v>Mario</v>
      </c>
      <c r="C2018" s="13" t="str">
        <f t="shared" si="2"/>
        <v>Manningham</v>
      </c>
      <c r="D2018" s="13" t="str">
        <f t="shared" si="3"/>
        <v>#N/A</v>
      </c>
      <c r="E2018" s="1" t="s">
        <v>69</v>
      </c>
    </row>
    <row r="2019" ht="15.75" customHeight="1">
      <c r="A2019" s="1" t="s">
        <v>2277</v>
      </c>
      <c r="B2019" s="13" t="str">
        <f t="shared" si="1"/>
        <v>Mario</v>
      </c>
      <c r="C2019" s="13" t="str">
        <f t="shared" si="2"/>
        <v>Williams</v>
      </c>
      <c r="D2019" s="13" t="str">
        <f t="shared" si="3"/>
        <v>#N/A</v>
      </c>
      <c r="E2019" s="1" t="s">
        <v>69</v>
      </c>
    </row>
    <row r="2020" ht="15.75" customHeight="1">
      <c r="A2020" s="1" t="s">
        <v>2278</v>
      </c>
      <c r="B2020" s="13" t="str">
        <f t="shared" si="1"/>
        <v>Marion</v>
      </c>
      <c r="C2020" s="13" t="str">
        <f t="shared" si="2"/>
        <v>Grice</v>
      </c>
      <c r="D2020" s="13" t="str">
        <f t="shared" si="3"/>
        <v>#N/A</v>
      </c>
      <c r="E2020" s="1" t="s">
        <v>66</v>
      </c>
    </row>
    <row r="2021" ht="15.75" customHeight="1">
      <c r="A2021" s="1" t="s">
        <v>81</v>
      </c>
      <c r="B2021" s="13" t="str">
        <f t="shared" si="1"/>
        <v>Mark</v>
      </c>
      <c r="C2021" s="13" t="str">
        <f t="shared" si="2"/>
        <v>Andrews</v>
      </c>
      <c r="D2021" s="13" t="str">
        <f t="shared" si="3"/>
        <v>#N/A</v>
      </c>
      <c r="E2021" s="1" t="s">
        <v>68</v>
      </c>
    </row>
    <row r="2022" ht="15.75" customHeight="1">
      <c r="A2022" s="1" t="s">
        <v>2279</v>
      </c>
      <c r="B2022" s="13" t="str">
        <f t="shared" si="1"/>
        <v>Mark</v>
      </c>
      <c r="C2022" s="13" t="str">
        <f t="shared" si="2"/>
        <v>Harrison</v>
      </c>
      <c r="D2022" s="13" t="str">
        <f t="shared" si="3"/>
        <v>#N/A</v>
      </c>
      <c r="E2022" s="1" t="s">
        <v>68</v>
      </c>
    </row>
    <row r="2023" ht="15.75" customHeight="1">
      <c r="A2023" s="1" t="s">
        <v>2280</v>
      </c>
      <c r="B2023" s="13" t="str">
        <f t="shared" si="1"/>
        <v>Mark</v>
      </c>
      <c r="C2023" s="13" t="str">
        <f t="shared" si="2"/>
        <v>Ingram</v>
      </c>
      <c r="D2023" s="13" t="str">
        <f t="shared" si="3"/>
        <v>#N/A</v>
      </c>
      <c r="E2023" s="1" t="s">
        <v>66</v>
      </c>
    </row>
    <row r="2024" ht="15.75" customHeight="1">
      <c r="A2024" s="1" t="s">
        <v>2281</v>
      </c>
      <c r="B2024" s="13" t="str">
        <f t="shared" si="1"/>
        <v>Mark</v>
      </c>
      <c r="C2024" s="13" t="str">
        <f t="shared" si="2"/>
        <v>Sanchez</v>
      </c>
      <c r="D2024" s="13" t="str">
        <f t="shared" si="3"/>
        <v>#N/A</v>
      </c>
      <c r="E2024" s="1" t="s">
        <v>65</v>
      </c>
    </row>
    <row r="2025" ht="15.75" customHeight="1">
      <c r="A2025" s="1" t="s">
        <v>2282</v>
      </c>
      <c r="B2025" s="13" t="str">
        <f t="shared" si="1"/>
        <v>Mark</v>
      </c>
      <c r="C2025" s="13" t="str">
        <f t="shared" si="2"/>
        <v>Thompson</v>
      </c>
      <c r="D2025" s="13" t="str">
        <f t="shared" si="3"/>
        <v>#N/A</v>
      </c>
      <c r="E2025" s="1" t="s">
        <v>66</v>
      </c>
    </row>
    <row r="2026" ht="15.75" customHeight="1">
      <c r="A2026" s="1" t="s">
        <v>2283</v>
      </c>
      <c r="B2026" s="13" t="str">
        <f t="shared" si="1"/>
        <v>Mark</v>
      </c>
      <c r="C2026" s="13" t="str">
        <f t="shared" si="2"/>
        <v>Walton</v>
      </c>
      <c r="D2026" s="13" t="str">
        <f t="shared" si="3"/>
        <v>#N/A</v>
      </c>
      <c r="E2026" s="1" t="s">
        <v>66</v>
      </c>
    </row>
    <row r="2027" ht="15.75" customHeight="1">
      <c r="A2027" s="1" t="s">
        <v>2284</v>
      </c>
      <c r="B2027" s="13" t="str">
        <f t="shared" si="1"/>
        <v>Marken</v>
      </c>
      <c r="C2027" s="13" t="str">
        <f t="shared" si="2"/>
        <v>Michel</v>
      </c>
      <c r="D2027" s="13" t="str">
        <f t="shared" si="3"/>
        <v>#N/A</v>
      </c>
      <c r="E2027" s="1" t="s">
        <v>69</v>
      </c>
    </row>
    <row r="2028" ht="15.75" customHeight="1">
      <c r="A2028" s="1" t="s">
        <v>1876</v>
      </c>
      <c r="B2028" s="13" t="str">
        <f t="shared" si="1"/>
        <v>Markus</v>
      </c>
      <c r="C2028" s="13" t="str">
        <f t="shared" si="2"/>
        <v>Wheaton</v>
      </c>
      <c r="D2028" s="13" t="str">
        <f t="shared" si="3"/>
        <v>#N/A</v>
      </c>
      <c r="E2028" s="1" t="s">
        <v>69</v>
      </c>
    </row>
    <row r="2029" ht="15.75" customHeight="1">
      <c r="A2029" s="1" t="s">
        <v>2285</v>
      </c>
      <c r="B2029" s="13" t="str">
        <f t="shared" si="1"/>
        <v>Marlon</v>
      </c>
      <c r="C2029" s="13" t="str">
        <f t="shared" si="2"/>
        <v>Brown</v>
      </c>
      <c r="D2029" s="13" t="str">
        <f t="shared" si="3"/>
        <v>#N/A</v>
      </c>
      <c r="E2029" s="1" t="s">
        <v>69</v>
      </c>
    </row>
    <row r="2030" ht="15.75" customHeight="1">
      <c r="A2030" s="1" t="s">
        <v>625</v>
      </c>
      <c r="B2030" s="13" t="str">
        <f t="shared" si="1"/>
        <v>Marlon</v>
      </c>
      <c r="C2030" s="13" t="str">
        <f t="shared" si="2"/>
        <v>Mack</v>
      </c>
      <c r="D2030" s="13" t="str">
        <f t="shared" si="3"/>
        <v>#N/A</v>
      </c>
      <c r="E2030" s="1" t="s">
        <v>66</v>
      </c>
    </row>
    <row r="2031" ht="15.75" customHeight="1">
      <c r="A2031" s="1" t="s">
        <v>2286</v>
      </c>
      <c r="B2031" s="13" t="str">
        <f t="shared" si="1"/>
        <v>Marlon</v>
      </c>
      <c r="C2031" s="13" t="str">
        <f t="shared" si="2"/>
        <v>Williams</v>
      </c>
      <c r="D2031" s="13" t="str">
        <f t="shared" si="3"/>
        <v>#N/A</v>
      </c>
      <c r="E2031" s="1" t="s">
        <v>69</v>
      </c>
    </row>
    <row r="2032" ht="15.75" customHeight="1">
      <c r="A2032" s="1" t="s">
        <v>2287</v>
      </c>
      <c r="B2032" s="13" t="str">
        <f t="shared" si="1"/>
        <v>Marqise</v>
      </c>
      <c r="C2032" s="13" t="str">
        <f t="shared" si="2"/>
        <v>Lee</v>
      </c>
      <c r="D2032" s="13" t="str">
        <f t="shared" si="3"/>
        <v>#N/A</v>
      </c>
      <c r="E2032" s="1" t="s">
        <v>69</v>
      </c>
    </row>
    <row r="2033" ht="15.75" customHeight="1">
      <c r="A2033" s="1" t="s">
        <v>2288</v>
      </c>
      <c r="B2033" s="13" t="str">
        <f t="shared" si="1"/>
        <v>MarQueis</v>
      </c>
      <c r="C2033" s="13" t="str">
        <f t="shared" si="2"/>
        <v>Gray</v>
      </c>
      <c r="D2033" s="13" t="str">
        <f t="shared" si="3"/>
        <v>#N/A</v>
      </c>
      <c r="E2033" s="1" t="s">
        <v>68</v>
      </c>
    </row>
    <row r="2034" ht="15.75" customHeight="1">
      <c r="A2034" s="1" t="s">
        <v>2289</v>
      </c>
      <c r="B2034" s="13" t="str">
        <f t="shared" si="1"/>
        <v>Marques</v>
      </c>
      <c r="C2034" s="13" t="str">
        <f t="shared" si="2"/>
        <v>Colston</v>
      </c>
      <c r="D2034" s="13" t="str">
        <f t="shared" si="3"/>
        <v>#N/A</v>
      </c>
      <c r="E2034" s="1" t="s">
        <v>69</v>
      </c>
    </row>
    <row r="2035" ht="15.75" customHeight="1">
      <c r="A2035" s="1" t="s">
        <v>2290</v>
      </c>
      <c r="B2035" s="13" t="str">
        <f t="shared" si="1"/>
        <v>Marquess</v>
      </c>
      <c r="C2035" s="13" t="str">
        <f t="shared" si="2"/>
        <v>Wilson</v>
      </c>
      <c r="D2035" s="13" t="str">
        <f t="shared" si="3"/>
        <v>#N/A</v>
      </c>
      <c r="E2035" s="1" t="s">
        <v>69</v>
      </c>
    </row>
    <row r="2036" ht="15.75" customHeight="1">
      <c r="A2036" s="1" t="s">
        <v>116</v>
      </c>
      <c r="B2036" s="13" t="str">
        <f t="shared" si="1"/>
        <v>Marquez</v>
      </c>
      <c r="C2036" s="13" t="str">
        <f t="shared" si="2"/>
        <v>Callaway</v>
      </c>
      <c r="D2036" s="13" t="str">
        <f t="shared" si="3"/>
        <v>#N/A</v>
      </c>
      <c r="E2036" s="1" t="s">
        <v>69</v>
      </c>
    </row>
    <row r="2037" ht="15.75" customHeight="1">
      <c r="A2037" s="1" t="s">
        <v>2291</v>
      </c>
      <c r="B2037" s="13" t="str">
        <f t="shared" si="1"/>
        <v>MarQuez</v>
      </c>
      <c r="C2037" s="13" t="str">
        <f t="shared" si="2"/>
        <v>North</v>
      </c>
      <c r="D2037" s="13" t="str">
        <f t="shared" si="3"/>
        <v>#N/A</v>
      </c>
      <c r="E2037" s="1" t="s">
        <v>69</v>
      </c>
    </row>
    <row r="2038" ht="15.75" customHeight="1">
      <c r="A2038" s="1" t="s">
        <v>2292</v>
      </c>
      <c r="B2038" s="13" t="str">
        <f t="shared" si="1"/>
        <v>Marquez</v>
      </c>
      <c r="C2038" s="13" t="str">
        <f t="shared" si="2"/>
        <v>Stevenson</v>
      </c>
      <c r="D2038" s="13" t="str">
        <f t="shared" si="3"/>
        <v>#N/A</v>
      </c>
      <c r="E2038" s="1" t="s">
        <v>69</v>
      </c>
    </row>
    <row r="2039" ht="15.75" customHeight="1">
      <c r="A2039" s="1" t="s">
        <v>1074</v>
      </c>
      <c r="B2039" s="13" t="str">
        <f t="shared" si="1"/>
        <v>Marquez</v>
      </c>
      <c r="C2039" s="13" t="str">
        <f t="shared" si="2"/>
        <v>Valdes-Scantling</v>
      </c>
      <c r="D2039" s="13" t="str">
        <f t="shared" si="3"/>
        <v>#N/A</v>
      </c>
      <c r="E2039" s="1" t="s">
        <v>69</v>
      </c>
    </row>
    <row r="2040" ht="15.75" customHeight="1">
      <c r="A2040" s="1" t="s">
        <v>2293</v>
      </c>
      <c r="B2040" s="13" t="str">
        <f t="shared" si="1"/>
        <v>Marquez</v>
      </c>
      <c r="C2040" s="13" t="str">
        <f t="shared" si="2"/>
        <v>Williams</v>
      </c>
      <c r="D2040" s="13" t="str">
        <f t="shared" si="3"/>
        <v>#N/A</v>
      </c>
      <c r="E2040" s="1" t="s">
        <v>66</v>
      </c>
    </row>
    <row r="2041" ht="15.75" customHeight="1">
      <c r="A2041" s="1" t="s">
        <v>2294</v>
      </c>
      <c r="B2041" s="13" t="str">
        <f t="shared" si="1"/>
        <v>Marquis</v>
      </c>
      <c r="C2041" s="13" t="str">
        <f t="shared" si="2"/>
        <v>Bundy</v>
      </c>
      <c r="D2041" s="13" t="str">
        <f t="shared" si="3"/>
        <v>#N/A</v>
      </c>
      <c r="E2041" s="1" t="s">
        <v>69</v>
      </c>
    </row>
    <row r="2042" ht="15.75" customHeight="1">
      <c r="A2042" s="1" t="s">
        <v>2295</v>
      </c>
      <c r="B2042" s="13" t="str">
        <f t="shared" si="1"/>
        <v>Marquis</v>
      </c>
      <c r="C2042" s="13" t="str">
        <f t="shared" si="2"/>
        <v>Terry</v>
      </c>
      <c r="D2042" s="13" t="str">
        <f t="shared" si="3"/>
        <v>#N/A</v>
      </c>
      <c r="E2042" s="1" t="s">
        <v>66</v>
      </c>
    </row>
    <row r="2043" ht="15.75" customHeight="1">
      <c r="A2043" s="1" t="s">
        <v>2296</v>
      </c>
      <c r="B2043" s="13" t="str">
        <f t="shared" si="1"/>
        <v>Marquis</v>
      </c>
      <c r="C2043" s="13" t="str">
        <f t="shared" si="2"/>
        <v>Young</v>
      </c>
      <c r="D2043" s="13" t="str">
        <f t="shared" si="3"/>
        <v>#N/A</v>
      </c>
      <c r="E2043" s="1" t="s">
        <v>66</v>
      </c>
    </row>
    <row r="2044" ht="15.75" customHeight="1">
      <c r="A2044" s="1" t="s">
        <v>119</v>
      </c>
      <c r="B2044" s="13" t="str">
        <f t="shared" si="1"/>
        <v>Marquise</v>
      </c>
      <c r="C2044" s="13" t="str">
        <f t="shared" si="2"/>
        <v>Brown</v>
      </c>
      <c r="D2044" s="13" t="str">
        <f t="shared" si="3"/>
        <v>#N/A</v>
      </c>
      <c r="E2044" s="1" t="s">
        <v>69</v>
      </c>
    </row>
    <row r="2045" ht="15.75" customHeight="1">
      <c r="A2045" s="1" t="s">
        <v>1279</v>
      </c>
      <c r="B2045" s="13" t="str">
        <f t="shared" si="1"/>
        <v>Marquise</v>
      </c>
      <c r="C2045" s="13" t="str">
        <f t="shared" si="2"/>
        <v>Goodwin</v>
      </c>
      <c r="D2045" s="13" t="str">
        <f t="shared" si="3"/>
        <v>#N/A</v>
      </c>
      <c r="E2045" s="1" t="s">
        <v>69</v>
      </c>
    </row>
    <row r="2046" ht="15.75" customHeight="1">
      <c r="A2046" s="1" t="s">
        <v>2297</v>
      </c>
      <c r="B2046" s="13" t="str">
        <f t="shared" si="1"/>
        <v>Marquise</v>
      </c>
      <c r="C2046" s="13" t="str">
        <f t="shared" si="2"/>
        <v>Williams</v>
      </c>
      <c r="D2046" s="13" t="str">
        <f t="shared" si="3"/>
        <v>#N/A</v>
      </c>
      <c r="E2046" s="1" t="s">
        <v>65</v>
      </c>
    </row>
    <row r="2047" ht="15.75" customHeight="1">
      <c r="A2047" s="1" t="s">
        <v>2298</v>
      </c>
      <c r="B2047" s="13" t="str">
        <f t="shared" si="1"/>
        <v>Marshaun</v>
      </c>
      <c r="C2047" s="13" t="str">
        <f t="shared" si="2"/>
        <v>Coprich</v>
      </c>
      <c r="D2047" s="13" t="str">
        <f t="shared" si="3"/>
        <v>#N/A</v>
      </c>
      <c r="E2047" s="1" t="s">
        <v>66</v>
      </c>
    </row>
    <row r="2048" ht="15.75" customHeight="1">
      <c r="A2048" s="1" t="s">
        <v>2299</v>
      </c>
      <c r="B2048" s="13" t="str">
        <f t="shared" si="1"/>
        <v>MarShawn</v>
      </c>
      <c r="C2048" s="13" t="str">
        <f t="shared" si="2"/>
        <v>Lloyd</v>
      </c>
      <c r="D2048" s="13" t="str">
        <f t="shared" si="3"/>
        <v>#N/A</v>
      </c>
      <c r="E2048" s="1" t="s">
        <v>66</v>
      </c>
    </row>
    <row r="2049" ht="15.75" customHeight="1">
      <c r="A2049" s="1" t="s">
        <v>1336</v>
      </c>
      <c r="B2049" s="13" t="str">
        <f t="shared" si="1"/>
        <v>Marshawn</v>
      </c>
      <c r="C2049" s="13" t="str">
        <f t="shared" si="2"/>
        <v>Lynch</v>
      </c>
      <c r="D2049" s="13" t="str">
        <f t="shared" si="3"/>
        <v>#N/A</v>
      </c>
      <c r="E2049" s="1" t="s">
        <v>66</v>
      </c>
    </row>
    <row r="2050" ht="15.75" customHeight="1">
      <c r="A2050" s="1" t="s">
        <v>1749</v>
      </c>
      <c r="B2050" s="13" t="str">
        <f t="shared" si="1"/>
        <v>Martavis</v>
      </c>
      <c r="C2050" s="13" t="str">
        <f t="shared" si="2"/>
        <v>Bryant</v>
      </c>
      <c r="D2050" s="13" t="str">
        <f t="shared" si="3"/>
        <v>#N/A</v>
      </c>
      <c r="E2050" s="1" t="s">
        <v>69</v>
      </c>
    </row>
    <row r="2051" ht="15.75" customHeight="1">
      <c r="A2051" s="1" t="s">
        <v>1661</v>
      </c>
      <c r="B2051" s="13" t="str">
        <f t="shared" si="1"/>
        <v>Martellus</v>
      </c>
      <c r="C2051" s="13" t="str">
        <f t="shared" si="2"/>
        <v>Bennett</v>
      </c>
      <c r="D2051" s="13" t="str">
        <f t="shared" si="3"/>
        <v>#N/A</v>
      </c>
      <c r="E2051" s="1" t="s">
        <v>68</v>
      </c>
    </row>
    <row r="2052" ht="15.75" customHeight="1">
      <c r="A2052" s="1" t="s">
        <v>2300</v>
      </c>
      <c r="B2052" s="13" t="str">
        <f t="shared" si="1"/>
        <v>Martez</v>
      </c>
      <c r="C2052" s="13" t="str">
        <f t="shared" si="2"/>
        <v>Carter</v>
      </c>
      <c r="D2052" s="13" t="str">
        <f t="shared" si="3"/>
        <v>#N/A</v>
      </c>
      <c r="E2052" s="1" t="s">
        <v>66</v>
      </c>
    </row>
    <row r="2053" ht="15.75" customHeight="1">
      <c r="A2053" s="1" t="s">
        <v>2301</v>
      </c>
      <c r="B2053" s="13" t="str">
        <f t="shared" si="1"/>
        <v>Marvin</v>
      </c>
      <c r="C2053" s="13" t="str">
        <f t="shared" si="2"/>
        <v>Hall</v>
      </c>
      <c r="D2053" s="13" t="str">
        <f t="shared" si="3"/>
        <v>#N/A</v>
      </c>
      <c r="E2053" s="1" t="s">
        <v>69</v>
      </c>
    </row>
    <row r="2054" ht="15.75" customHeight="1">
      <c r="A2054" s="1" t="s">
        <v>2302</v>
      </c>
      <c r="B2054" s="13" t="str">
        <f t="shared" si="1"/>
        <v>Marvin</v>
      </c>
      <c r="C2054" s="13" t="str">
        <f t="shared" si="2"/>
        <v>Harrison</v>
      </c>
      <c r="D2054" s="13" t="str">
        <f t="shared" si="3"/>
        <v>#N/A</v>
      </c>
      <c r="E2054" s="1" t="s">
        <v>69</v>
      </c>
    </row>
    <row r="2055" ht="15.75" customHeight="1">
      <c r="A2055" s="1" t="s">
        <v>2303</v>
      </c>
      <c r="B2055" s="13" t="str">
        <f t="shared" si="1"/>
        <v>Marvin</v>
      </c>
      <c r="C2055" s="13" t="str">
        <f t="shared" si="2"/>
        <v>Harrison Jr</v>
      </c>
      <c r="D2055" s="13" t="str">
        <f t="shared" si="3"/>
        <v>#N/A</v>
      </c>
      <c r="E2055" s="1" t="s">
        <v>69</v>
      </c>
    </row>
    <row r="2056" ht="15.75" customHeight="1">
      <c r="A2056" s="1" t="s">
        <v>2304</v>
      </c>
      <c r="B2056" s="13" t="str">
        <f t="shared" si="1"/>
        <v>Marvin</v>
      </c>
      <c r="C2056" s="13" t="str">
        <f t="shared" si="2"/>
        <v>Jones</v>
      </c>
      <c r="D2056" s="13" t="str">
        <f t="shared" si="3"/>
        <v>#N/A</v>
      </c>
      <c r="E2056" s="1" t="s">
        <v>69</v>
      </c>
    </row>
    <row r="2057" ht="15.75" customHeight="1">
      <c r="A2057" s="1" t="s">
        <v>2305</v>
      </c>
      <c r="B2057" s="13" t="str">
        <f t="shared" si="1"/>
        <v>Marvin</v>
      </c>
      <c r="C2057" s="13" t="str">
        <f t="shared" si="2"/>
        <v>Kinsey</v>
      </c>
      <c r="D2057" s="13" t="str">
        <f t="shared" si="3"/>
        <v>#N/A</v>
      </c>
      <c r="E2057" s="1" t="s">
        <v>66</v>
      </c>
    </row>
    <row r="2058" ht="15.75" customHeight="1">
      <c r="A2058" s="1" t="s">
        <v>2306</v>
      </c>
      <c r="B2058" s="13" t="str">
        <f t="shared" si="1"/>
        <v>Marvin</v>
      </c>
      <c r="C2058" s="13" t="str">
        <f t="shared" si="2"/>
        <v>McNutt</v>
      </c>
      <c r="D2058" s="13" t="str">
        <f t="shared" si="3"/>
        <v>#N/A</v>
      </c>
      <c r="E2058" s="1" t="s">
        <v>69</v>
      </c>
    </row>
    <row r="2059" ht="15.75" customHeight="1">
      <c r="A2059" s="1" t="s">
        <v>2307</v>
      </c>
      <c r="B2059" s="13" t="str">
        <f t="shared" si="1"/>
        <v>Marvin</v>
      </c>
      <c r="C2059" s="13" t="str">
        <f t="shared" si="2"/>
        <v>Mims</v>
      </c>
      <c r="D2059" s="13" t="str">
        <f t="shared" si="3"/>
        <v>#N/A</v>
      </c>
      <c r="E2059" s="1" t="s">
        <v>69</v>
      </c>
    </row>
    <row r="2060" ht="15.75" customHeight="1">
      <c r="A2060" s="1" t="s">
        <v>1403</v>
      </c>
      <c r="B2060" s="13" t="str">
        <f t="shared" si="1"/>
        <v>Mason</v>
      </c>
      <c r="C2060" s="13" t="str">
        <f t="shared" si="2"/>
        <v>Crosby</v>
      </c>
      <c r="D2060" s="13" t="str">
        <f t="shared" si="3"/>
        <v>#N/A</v>
      </c>
      <c r="E2060" s="1" t="s">
        <v>64</v>
      </c>
    </row>
    <row r="2061" ht="15.75" customHeight="1">
      <c r="A2061" s="1" t="s">
        <v>1140</v>
      </c>
      <c r="B2061" s="13" t="str">
        <f t="shared" si="1"/>
        <v>Mason</v>
      </c>
      <c r="C2061" s="13" t="str">
        <f t="shared" si="2"/>
        <v>Crosby</v>
      </c>
      <c r="D2061" s="13" t="str">
        <f t="shared" si="3"/>
        <v>#N/A</v>
      </c>
      <c r="E2061" s="1" t="s">
        <v>64</v>
      </c>
    </row>
    <row r="2062" ht="15.75" customHeight="1">
      <c r="A2062" s="1" t="s">
        <v>2308</v>
      </c>
      <c r="B2062" s="13" t="str">
        <f t="shared" si="1"/>
        <v>Mason</v>
      </c>
      <c r="C2062" s="13" t="str">
        <f t="shared" si="2"/>
        <v>Fine</v>
      </c>
      <c r="D2062" s="13" t="str">
        <f t="shared" si="3"/>
        <v>#N/A</v>
      </c>
      <c r="E2062" s="1" t="s">
        <v>65</v>
      </c>
    </row>
    <row r="2063" ht="15.75" customHeight="1">
      <c r="A2063" s="1" t="s">
        <v>2309</v>
      </c>
      <c r="B2063" s="13" t="str">
        <f t="shared" si="1"/>
        <v>Mason</v>
      </c>
      <c r="C2063" s="13" t="str">
        <f t="shared" si="2"/>
        <v>Rudolph</v>
      </c>
      <c r="D2063" s="13" t="str">
        <f t="shared" si="3"/>
        <v>#N/A</v>
      </c>
      <c r="E2063" s="1" t="s">
        <v>65</v>
      </c>
    </row>
    <row r="2064" ht="15.75" customHeight="1">
      <c r="A2064" s="1" t="s">
        <v>2310</v>
      </c>
      <c r="B2064" s="13" t="str">
        <f t="shared" si="1"/>
        <v>Mason</v>
      </c>
      <c r="C2064" s="13" t="str">
        <f t="shared" si="2"/>
        <v>Schreck</v>
      </c>
      <c r="D2064" s="13" t="str">
        <f t="shared" si="3"/>
        <v>#N/A</v>
      </c>
      <c r="E2064" s="1" t="s">
        <v>68</v>
      </c>
    </row>
    <row r="2065" ht="15.75" customHeight="1">
      <c r="A2065" s="1" t="s">
        <v>2311</v>
      </c>
      <c r="B2065" s="13" t="str">
        <f t="shared" si="1"/>
        <v>Master</v>
      </c>
      <c r="C2065" s="13" t="str">
        <f t="shared" si="2"/>
        <v>Teague</v>
      </c>
      <c r="D2065" s="13" t="str">
        <f t="shared" si="3"/>
        <v>#N/A</v>
      </c>
      <c r="E2065" s="1" t="s">
        <v>66</v>
      </c>
    </row>
    <row r="2066" ht="15.75" customHeight="1">
      <c r="A2066" s="1" t="s">
        <v>2312</v>
      </c>
      <c r="B2066" s="13" t="str">
        <f t="shared" si="1"/>
        <v>Mataeo</v>
      </c>
      <c r="C2066" s="13" t="str">
        <f t="shared" si="2"/>
        <v>Durant</v>
      </c>
      <c r="D2066" s="13" t="str">
        <f t="shared" si="3"/>
        <v>#N/A</v>
      </c>
      <c r="E2066" s="1" t="s">
        <v>66</v>
      </c>
    </row>
    <row r="2067" ht="15.75" customHeight="1">
      <c r="A2067" s="1" t="s">
        <v>2313</v>
      </c>
      <c r="B2067" s="13" t="str">
        <f t="shared" si="1"/>
        <v>Matt</v>
      </c>
      <c r="C2067" s="13" t="str">
        <f t="shared" si="2"/>
        <v>Asiata</v>
      </c>
      <c r="D2067" s="13" t="str">
        <f t="shared" si="3"/>
        <v>#N/A</v>
      </c>
      <c r="E2067" s="1" t="s">
        <v>66</v>
      </c>
    </row>
    <row r="2068" ht="15.75" customHeight="1">
      <c r="A2068" s="1" t="s">
        <v>2314</v>
      </c>
      <c r="B2068" s="13" t="str">
        <f t="shared" si="1"/>
        <v>Matt</v>
      </c>
      <c r="C2068" s="13" t="str">
        <f t="shared" si="2"/>
        <v>Barkley</v>
      </c>
      <c r="D2068" s="13" t="str">
        <f t="shared" si="3"/>
        <v>#N/A</v>
      </c>
      <c r="E2068" s="1" t="s">
        <v>65</v>
      </c>
    </row>
    <row r="2069" ht="15.75" customHeight="1">
      <c r="A2069" s="1" t="s">
        <v>2315</v>
      </c>
      <c r="B2069" s="13" t="str">
        <f t="shared" si="1"/>
        <v>Matt</v>
      </c>
      <c r="C2069" s="13" t="str">
        <f t="shared" si="2"/>
        <v>Blanchard</v>
      </c>
      <c r="D2069" s="13" t="str">
        <f t="shared" si="3"/>
        <v>#N/A</v>
      </c>
      <c r="E2069" s="1" t="s">
        <v>65</v>
      </c>
    </row>
    <row r="2070" ht="15.75" customHeight="1">
      <c r="A2070" s="1" t="s">
        <v>494</v>
      </c>
      <c r="B2070" s="13" t="str">
        <f t="shared" si="1"/>
        <v>Matt</v>
      </c>
      <c r="C2070" s="13" t="str">
        <f t="shared" si="2"/>
        <v>Breida</v>
      </c>
      <c r="D2070" s="13" t="str">
        <f t="shared" si="3"/>
        <v>#N/A</v>
      </c>
      <c r="E2070" s="1" t="s">
        <v>66</v>
      </c>
    </row>
    <row r="2071" ht="15.75" customHeight="1">
      <c r="A2071" s="1" t="s">
        <v>1196</v>
      </c>
      <c r="B2071" s="13" t="str">
        <f t="shared" si="1"/>
        <v>Matt</v>
      </c>
      <c r="C2071" s="13" t="str">
        <f t="shared" si="2"/>
        <v>Bryant</v>
      </c>
      <c r="D2071" s="13" t="str">
        <f t="shared" si="3"/>
        <v>#N/A</v>
      </c>
      <c r="E2071" s="1" t="s">
        <v>64</v>
      </c>
    </row>
    <row r="2072" ht="15.75" customHeight="1">
      <c r="A2072" s="1" t="s">
        <v>1166</v>
      </c>
      <c r="B2072" s="13" t="str">
        <f t="shared" si="1"/>
        <v>Matt</v>
      </c>
      <c r="C2072" s="13" t="str">
        <f t="shared" si="2"/>
        <v>Bryant</v>
      </c>
      <c r="D2072" s="13" t="str">
        <f t="shared" si="3"/>
        <v>#N/A</v>
      </c>
      <c r="E2072" s="1" t="s">
        <v>64</v>
      </c>
    </row>
    <row r="2073" ht="15.75" customHeight="1">
      <c r="A2073" s="1" t="s">
        <v>2316</v>
      </c>
      <c r="B2073" s="13" t="str">
        <f t="shared" si="1"/>
        <v>Matt</v>
      </c>
      <c r="C2073" s="13" t="str">
        <f t="shared" si="2"/>
        <v>Bushman</v>
      </c>
      <c r="D2073" s="13" t="str">
        <f t="shared" si="3"/>
        <v>#N/A</v>
      </c>
      <c r="E2073" s="1" t="s">
        <v>68</v>
      </c>
    </row>
    <row r="2074" ht="15.75" customHeight="1">
      <c r="A2074" s="1" t="s">
        <v>2317</v>
      </c>
      <c r="B2074" s="13" t="str">
        <f t="shared" si="1"/>
        <v>Matt</v>
      </c>
      <c r="C2074" s="13" t="str">
        <f t="shared" si="2"/>
        <v>Cassel</v>
      </c>
      <c r="D2074" s="13" t="str">
        <f t="shared" si="3"/>
        <v>#N/A</v>
      </c>
      <c r="E2074" s="1" t="s">
        <v>65</v>
      </c>
    </row>
    <row r="2075" ht="15.75" customHeight="1">
      <c r="A2075" s="1" t="s">
        <v>2318</v>
      </c>
      <c r="B2075" s="13" t="str">
        <f t="shared" si="1"/>
        <v>Matt</v>
      </c>
      <c r="C2075" s="13" t="str">
        <f t="shared" si="2"/>
        <v>Corral</v>
      </c>
      <c r="D2075" s="13" t="str">
        <f t="shared" si="3"/>
        <v>#N/A</v>
      </c>
      <c r="E2075" s="1" t="s">
        <v>65</v>
      </c>
    </row>
    <row r="2076" ht="15.75" customHeight="1">
      <c r="A2076" s="1" t="s">
        <v>2319</v>
      </c>
      <c r="B2076" s="13" t="str">
        <f t="shared" si="1"/>
        <v>Matt</v>
      </c>
      <c r="C2076" s="13" t="str">
        <f t="shared" si="2"/>
        <v>Eaton</v>
      </c>
      <c r="D2076" s="13" t="str">
        <f t="shared" si="3"/>
        <v>#N/A</v>
      </c>
      <c r="E2076" s="1" t="s">
        <v>69</v>
      </c>
    </row>
    <row r="2077" ht="15.75" customHeight="1">
      <c r="A2077" s="1" t="s">
        <v>2320</v>
      </c>
      <c r="B2077" s="13" t="str">
        <f t="shared" si="1"/>
        <v>Matt</v>
      </c>
      <c r="C2077" s="13" t="str">
        <f t="shared" si="2"/>
        <v>Flanagan</v>
      </c>
      <c r="D2077" s="13" t="str">
        <f t="shared" si="3"/>
        <v>#N/A</v>
      </c>
      <c r="E2077" s="1" t="s">
        <v>68</v>
      </c>
    </row>
    <row r="2078" ht="15.75" customHeight="1">
      <c r="A2078" s="1" t="s">
        <v>2321</v>
      </c>
      <c r="B2078" s="13" t="str">
        <f t="shared" si="1"/>
        <v>Matt</v>
      </c>
      <c r="C2078" s="13" t="str">
        <f t="shared" si="2"/>
        <v>Flynn</v>
      </c>
      <c r="D2078" s="13" t="str">
        <f t="shared" si="3"/>
        <v>#N/A</v>
      </c>
      <c r="E2078" s="1" t="s">
        <v>65</v>
      </c>
    </row>
    <row r="2079" ht="15.75" customHeight="1">
      <c r="A2079" s="1" t="s">
        <v>1597</v>
      </c>
      <c r="B2079" s="13" t="str">
        <f t="shared" si="1"/>
        <v>Matt</v>
      </c>
      <c r="C2079" s="13" t="str">
        <f t="shared" si="2"/>
        <v>Forte</v>
      </c>
      <c r="D2079" s="13" t="str">
        <f t="shared" si="3"/>
        <v>#N/A</v>
      </c>
      <c r="E2079" s="1" t="s">
        <v>66</v>
      </c>
    </row>
    <row r="2080" ht="15.75" customHeight="1">
      <c r="A2080" s="1" t="s">
        <v>106</v>
      </c>
      <c r="B2080" s="13" t="str">
        <f t="shared" si="1"/>
        <v>Matt</v>
      </c>
      <c r="C2080" s="13" t="str">
        <f t="shared" si="2"/>
        <v>Gay</v>
      </c>
      <c r="D2080" s="13" t="str">
        <f t="shared" si="3"/>
        <v>#N/A</v>
      </c>
      <c r="E2080" s="1" t="s">
        <v>64</v>
      </c>
    </row>
    <row r="2081" ht="15.75" customHeight="1">
      <c r="A2081" s="1" t="s">
        <v>2322</v>
      </c>
      <c r="B2081" s="13" t="str">
        <f t="shared" si="1"/>
        <v>Matt</v>
      </c>
      <c r="C2081" s="13" t="str">
        <f t="shared" si="2"/>
        <v>Hasselbeck</v>
      </c>
      <c r="D2081" s="13" t="str">
        <f t="shared" si="3"/>
        <v>#N/A</v>
      </c>
      <c r="E2081" s="1" t="s">
        <v>65</v>
      </c>
    </row>
    <row r="2082" ht="15.75" customHeight="1">
      <c r="A2082" s="1" t="s">
        <v>2323</v>
      </c>
      <c r="B2082" s="13" t="str">
        <f t="shared" si="1"/>
        <v>Matt</v>
      </c>
      <c r="C2082" s="13" t="str">
        <f t="shared" si="2"/>
        <v>Hazel</v>
      </c>
      <c r="D2082" s="13" t="str">
        <f t="shared" si="3"/>
        <v>#N/A</v>
      </c>
      <c r="E2082" s="1" t="s">
        <v>69</v>
      </c>
    </row>
    <row r="2083" ht="15.75" customHeight="1">
      <c r="A2083" s="1" t="s">
        <v>1919</v>
      </c>
      <c r="B2083" s="13" t="str">
        <f t="shared" si="1"/>
        <v>Matt</v>
      </c>
      <c r="C2083" s="13" t="str">
        <f t="shared" si="2"/>
        <v>Jones</v>
      </c>
      <c r="D2083" s="13" t="str">
        <f t="shared" si="3"/>
        <v>#N/A</v>
      </c>
      <c r="E2083" s="1" t="s">
        <v>66</v>
      </c>
    </row>
    <row r="2084" ht="15.75" customHeight="1">
      <c r="A2084" s="1" t="s">
        <v>2324</v>
      </c>
      <c r="B2084" s="13" t="str">
        <f t="shared" si="1"/>
        <v>Matt</v>
      </c>
      <c r="C2084" s="13" t="str">
        <f t="shared" si="2"/>
        <v>LaCosse</v>
      </c>
      <c r="D2084" s="13" t="str">
        <f t="shared" si="3"/>
        <v>#N/A</v>
      </c>
      <c r="E2084" s="1" t="s">
        <v>68</v>
      </c>
    </row>
    <row r="2085" ht="15.75" customHeight="1">
      <c r="A2085" s="1" t="s">
        <v>2325</v>
      </c>
      <c r="B2085" s="13" t="str">
        <f t="shared" si="1"/>
        <v>Matt</v>
      </c>
      <c r="C2085" s="13" t="str">
        <f t="shared" si="2"/>
        <v>Lengel</v>
      </c>
      <c r="D2085" s="13" t="str">
        <f t="shared" si="3"/>
        <v>#N/A</v>
      </c>
      <c r="E2085" s="1" t="s">
        <v>68</v>
      </c>
    </row>
    <row r="2086" ht="15.75" customHeight="1">
      <c r="A2086" s="1" t="s">
        <v>2326</v>
      </c>
      <c r="B2086" s="13" t="str">
        <f t="shared" si="1"/>
        <v>Matt</v>
      </c>
      <c r="C2086" s="13" t="str">
        <f t="shared" si="2"/>
        <v>McGloin</v>
      </c>
      <c r="D2086" s="13" t="str">
        <f t="shared" si="3"/>
        <v>#N/A</v>
      </c>
      <c r="E2086" s="1" t="s">
        <v>65</v>
      </c>
    </row>
    <row r="2087" ht="15.75" customHeight="1">
      <c r="A2087" s="1" t="s">
        <v>2327</v>
      </c>
      <c r="B2087" s="13" t="str">
        <f t="shared" si="1"/>
        <v>Matt</v>
      </c>
      <c r="C2087" s="13" t="str">
        <f t="shared" si="2"/>
        <v>Miller</v>
      </c>
      <c r="D2087" s="13" t="str">
        <f t="shared" si="3"/>
        <v>#N/A</v>
      </c>
      <c r="E2087" s="1" t="s">
        <v>69</v>
      </c>
    </row>
    <row r="2088" ht="15.75" customHeight="1">
      <c r="A2088" s="1" t="s">
        <v>2328</v>
      </c>
      <c r="B2088" s="13" t="str">
        <f t="shared" si="1"/>
        <v>Matt</v>
      </c>
      <c r="C2088" s="13" t="str">
        <f t="shared" si="2"/>
        <v>Moore</v>
      </c>
      <c r="D2088" s="13" t="str">
        <f t="shared" si="3"/>
        <v>#N/A</v>
      </c>
      <c r="E2088" s="1" t="s">
        <v>65</v>
      </c>
    </row>
    <row r="2089" ht="15.75" customHeight="1">
      <c r="A2089" s="1" t="s">
        <v>1323</v>
      </c>
      <c r="B2089" s="13" t="str">
        <f t="shared" si="1"/>
        <v>Matt</v>
      </c>
      <c r="C2089" s="13" t="str">
        <f t="shared" si="2"/>
        <v>Prater</v>
      </c>
      <c r="D2089" s="13" t="str">
        <f t="shared" si="3"/>
        <v>#N/A</v>
      </c>
      <c r="E2089" s="1" t="s">
        <v>64</v>
      </c>
    </row>
    <row r="2090" ht="15.75" customHeight="1">
      <c r="A2090" s="1" t="s">
        <v>509</v>
      </c>
      <c r="B2090" s="13" t="str">
        <f t="shared" si="1"/>
        <v>Matt</v>
      </c>
      <c r="C2090" s="13" t="str">
        <f t="shared" si="2"/>
        <v>Prater</v>
      </c>
      <c r="D2090" s="13" t="str">
        <f t="shared" si="3"/>
        <v>#N/A</v>
      </c>
      <c r="E2090" s="1" t="s">
        <v>64</v>
      </c>
    </row>
    <row r="2091" ht="15.75" customHeight="1">
      <c r="A2091" s="1" t="s">
        <v>524</v>
      </c>
      <c r="B2091" s="13" t="str">
        <f t="shared" si="1"/>
        <v>Matt</v>
      </c>
      <c r="C2091" s="13" t="str">
        <f t="shared" si="2"/>
        <v>Ryan</v>
      </c>
      <c r="D2091" s="13" t="str">
        <f t="shared" si="3"/>
        <v>#N/A</v>
      </c>
      <c r="E2091" s="1" t="s">
        <v>65</v>
      </c>
    </row>
    <row r="2092" ht="15.75" customHeight="1">
      <c r="A2092" s="1" t="s">
        <v>2329</v>
      </c>
      <c r="B2092" s="13" t="str">
        <f t="shared" si="1"/>
        <v>Matt</v>
      </c>
      <c r="C2092" s="13" t="str">
        <f t="shared" si="2"/>
        <v>Schaub</v>
      </c>
      <c r="D2092" s="13" t="str">
        <f t="shared" si="3"/>
        <v>#N/A</v>
      </c>
      <c r="E2092" s="1" t="s">
        <v>65</v>
      </c>
    </row>
    <row r="2093" ht="15.75" customHeight="1">
      <c r="A2093" s="1" t="s">
        <v>2330</v>
      </c>
      <c r="B2093" s="13" t="str">
        <f t="shared" si="1"/>
        <v>Matt</v>
      </c>
      <c r="C2093" s="13" t="str">
        <f t="shared" si="2"/>
        <v>Seybert</v>
      </c>
      <c r="D2093" s="13" t="str">
        <f t="shared" si="3"/>
        <v>#N/A</v>
      </c>
      <c r="E2093" s="1" t="s">
        <v>68</v>
      </c>
    </row>
    <row r="2094" ht="15.75" customHeight="1">
      <c r="A2094" s="1" t="s">
        <v>2331</v>
      </c>
      <c r="B2094" s="13" t="str">
        <f t="shared" si="1"/>
        <v>Matt</v>
      </c>
      <c r="C2094" s="13" t="str">
        <f t="shared" si="2"/>
        <v>Simms</v>
      </c>
      <c r="D2094" s="13" t="str">
        <f t="shared" si="3"/>
        <v>#N/A</v>
      </c>
      <c r="E2094" s="1" t="s">
        <v>65</v>
      </c>
    </row>
    <row r="2095" ht="15.75" customHeight="1">
      <c r="A2095" s="1" t="s">
        <v>2332</v>
      </c>
      <c r="B2095" s="13" t="str">
        <f t="shared" si="1"/>
        <v>Matt</v>
      </c>
      <c r="C2095" s="13" t="str">
        <f t="shared" si="2"/>
        <v>Sokol</v>
      </c>
      <c r="D2095" s="13" t="str">
        <f t="shared" si="3"/>
        <v>#N/A</v>
      </c>
      <c r="E2095" s="1" t="s">
        <v>68</v>
      </c>
    </row>
    <row r="2096" ht="15.75" customHeight="1">
      <c r="A2096" s="1" t="s">
        <v>2333</v>
      </c>
      <c r="B2096" s="13" t="str">
        <f t="shared" si="1"/>
        <v>Matt</v>
      </c>
      <c r="C2096" s="13" t="str">
        <f t="shared" si="2"/>
        <v>Weiser</v>
      </c>
      <c r="D2096" s="13" t="str">
        <f t="shared" si="3"/>
        <v>#N/A</v>
      </c>
      <c r="E2096" s="1" t="s">
        <v>68</v>
      </c>
    </row>
    <row r="2097" ht="15.75" customHeight="1">
      <c r="A2097" s="1" t="s">
        <v>2334</v>
      </c>
      <c r="B2097" s="13" t="str">
        <f t="shared" si="1"/>
        <v>Matthew</v>
      </c>
      <c r="C2097" s="13" t="str">
        <f t="shared" si="2"/>
        <v>Dayes</v>
      </c>
      <c r="D2097" s="13" t="str">
        <f t="shared" si="3"/>
        <v>#N/A</v>
      </c>
      <c r="E2097" s="1" t="s">
        <v>66</v>
      </c>
    </row>
    <row r="2098" ht="15.75" customHeight="1">
      <c r="A2098" s="1" t="s">
        <v>2335</v>
      </c>
      <c r="B2098" s="13" t="str">
        <f t="shared" si="1"/>
        <v>Matthew</v>
      </c>
      <c r="C2098" s="13" t="str">
        <f t="shared" si="2"/>
        <v>Mulligan</v>
      </c>
      <c r="D2098" s="13" t="str">
        <f t="shared" si="3"/>
        <v>#N/A</v>
      </c>
      <c r="E2098" s="1" t="s">
        <v>68</v>
      </c>
    </row>
    <row r="2099" ht="15.75" customHeight="1">
      <c r="A2099" s="1" t="s">
        <v>2336</v>
      </c>
      <c r="B2099" s="13" t="str">
        <f t="shared" si="1"/>
        <v>Matthew</v>
      </c>
      <c r="C2099" s="13" t="str">
        <f t="shared" si="2"/>
        <v>Slater</v>
      </c>
      <c r="D2099" s="13" t="str">
        <f t="shared" si="3"/>
        <v>#N/A</v>
      </c>
      <c r="E2099" s="1" t="s">
        <v>69</v>
      </c>
    </row>
    <row r="2100" ht="15.75" customHeight="1">
      <c r="A2100" s="1" t="s">
        <v>366</v>
      </c>
      <c r="B2100" s="13" t="str">
        <f t="shared" si="1"/>
        <v>Matthew</v>
      </c>
      <c r="C2100" s="13" t="str">
        <f t="shared" si="2"/>
        <v>Stafford</v>
      </c>
      <c r="D2100" s="13" t="str">
        <f t="shared" si="3"/>
        <v>#N/A</v>
      </c>
      <c r="E2100" s="1" t="s">
        <v>65</v>
      </c>
    </row>
    <row r="2101" ht="15.75" customHeight="1">
      <c r="A2101" s="1" t="s">
        <v>2337</v>
      </c>
      <c r="B2101" s="13" t="str">
        <f t="shared" si="1"/>
        <v>Matthew</v>
      </c>
      <c r="C2101" s="13" t="str">
        <f t="shared" si="2"/>
        <v>Tucker</v>
      </c>
      <c r="D2101" s="13" t="str">
        <f t="shared" si="3"/>
        <v>#N/A</v>
      </c>
      <c r="E2101" s="1" t="s">
        <v>66</v>
      </c>
    </row>
    <row r="2102" ht="15.75" customHeight="1">
      <c r="A2102" s="1" t="s">
        <v>2338</v>
      </c>
      <c r="B2102" s="13" t="str">
        <f t="shared" si="1"/>
        <v>Maurice</v>
      </c>
      <c r="C2102" s="13" t="str">
        <f t="shared" si="2"/>
        <v>Harris</v>
      </c>
      <c r="D2102" s="13" t="str">
        <f t="shared" si="3"/>
        <v>#N/A</v>
      </c>
      <c r="E2102" s="1" t="s">
        <v>69</v>
      </c>
    </row>
    <row r="2103" ht="15.75" customHeight="1">
      <c r="A2103" s="1" t="s">
        <v>2339</v>
      </c>
      <c r="B2103" s="13" t="str">
        <f t="shared" si="1"/>
        <v>Maurice</v>
      </c>
      <c r="C2103" s="13" t="str">
        <f t="shared" si="2"/>
        <v>Jones-Drew</v>
      </c>
      <c r="D2103" s="13" t="str">
        <f t="shared" si="3"/>
        <v>#N/A</v>
      </c>
      <c r="E2103" s="1" t="s">
        <v>66</v>
      </c>
    </row>
    <row r="2104" ht="15.75" customHeight="1">
      <c r="A2104" s="1" t="s">
        <v>2340</v>
      </c>
      <c r="B2104" s="13" t="str">
        <f t="shared" si="1"/>
        <v>Mavin</v>
      </c>
      <c r="C2104" s="13" t="str">
        <f t="shared" si="2"/>
        <v>Anderson</v>
      </c>
      <c r="D2104" s="13" t="str">
        <f t="shared" si="3"/>
        <v>#N/A</v>
      </c>
      <c r="E2104" s="1" t="s">
        <v>66</v>
      </c>
    </row>
    <row r="2105" ht="15.75" customHeight="1">
      <c r="A2105" s="1" t="s">
        <v>2341</v>
      </c>
      <c r="B2105" s="13" t="str">
        <f t="shared" si="1"/>
        <v>Mavin</v>
      </c>
      <c r="C2105" s="13" t="str">
        <f t="shared" si="2"/>
        <v>Saunders</v>
      </c>
      <c r="D2105" s="13" t="str">
        <f t="shared" si="3"/>
        <v>#N/A</v>
      </c>
      <c r="E2105" s="1" t="s">
        <v>68</v>
      </c>
    </row>
    <row r="2106" ht="15.75" customHeight="1">
      <c r="A2106" s="1" t="s">
        <v>2342</v>
      </c>
      <c r="B2106" s="13" t="str">
        <f t="shared" si="1"/>
        <v>Max</v>
      </c>
      <c r="C2106" s="13" t="str">
        <f t="shared" si="2"/>
        <v>Borghi</v>
      </c>
      <c r="D2106" s="13" t="str">
        <f t="shared" si="3"/>
        <v>#N/A</v>
      </c>
      <c r="E2106" s="1" t="s">
        <v>66</v>
      </c>
    </row>
    <row r="2107" ht="15.75" customHeight="1">
      <c r="A2107" s="1" t="s">
        <v>2343</v>
      </c>
      <c r="B2107" s="13" t="str">
        <f t="shared" si="1"/>
        <v>Max</v>
      </c>
      <c r="C2107" s="13" t="str">
        <f t="shared" si="2"/>
        <v>McCaffrey</v>
      </c>
      <c r="D2107" s="13" t="str">
        <f t="shared" si="3"/>
        <v>#N/A</v>
      </c>
      <c r="E2107" s="1" t="s">
        <v>69</v>
      </c>
    </row>
    <row r="2108" ht="15.75" customHeight="1">
      <c r="A2108" s="1" t="s">
        <v>2344</v>
      </c>
      <c r="B2108" s="13" t="str">
        <f t="shared" si="1"/>
        <v>Maxx</v>
      </c>
      <c r="C2108" s="13" t="str">
        <f t="shared" si="2"/>
        <v>Williams</v>
      </c>
      <c r="D2108" s="13" t="str">
        <f t="shared" si="3"/>
        <v>#N/A</v>
      </c>
      <c r="E2108" s="1" t="s">
        <v>68</v>
      </c>
    </row>
    <row r="2109" ht="15.75" customHeight="1">
      <c r="A2109" s="1" t="s">
        <v>2345</v>
      </c>
      <c r="B2109" s="13" t="str">
        <f t="shared" si="1"/>
        <v>McLeod</v>
      </c>
      <c r="C2109" s="13" t="str">
        <f t="shared" si="2"/>
        <v>Bethel-Thompson</v>
      </c>
      <c r="D2109" s="13" t="str">
        <f t="shared" si="3"/>
        <v>#N/A</v>
      </c>
      <c r="E2109" s="1" t="s">
        <v>65</v>
      </c>
    </row>
    <row r="2110" ht="15.75" customHeight="1">
      <c r="A2110" s="1" t="s">
        <v>772</v>
      </c>
      <c r="B2110" s="13" t="str">
        <f t="shared" si="1"/>
        <v>Mecole</v>
      </c>
      <c r="C2110" s="13" t="str">
        <f t="shared" si="2"/>
        <v>Hardman</v>
      </c>
      <c r="D2110" s="13" t="str">
        <f t="shared" si="3"/>
        <v>#N/A</v>
      </c>
      <c r="E2110" s="1" t="s">
        <v>69</v>
      </c>
    </row>
    <row r="2111" ht="15.75" customHeight="1">
      <c r="A2111" s="1" t="s">
        <v>2346</v>
      </c>
      <c r="B2111" s="13" t="str">
        <f t="shared" si="1"/>
        <v>Mekale</v>
      </c>
      <c r="C2111" s="13" t="str">
        <f t="shared" si="2"/>
        <v>McKay</v>
      </c>
      <c r="D2111" s="13" t="str">
        <f t="shared" si="3"/>
        <v>#N/A</v>
      </c>
      <c r="E2111" s="1" t="s">
        <v>69</v>
      </c>
    </row>
    <row r="2112" ht="15.75" customHeight="1">
      <c r="A2112" s="1" t="s">
        <v>2347</v>
      </c>
      <c r="B2112" s="13" t="str">
        <f t="shared" si="1"/>
        <v>Mekhi</v>
      </c>
      <c r="C2112" s="13" t="str">
        <f t="shared" si="2"/>
        <v>Sargent</v>
      </c>
      <c r="D2112" s="13" t="str">
        <f t="shared" si="3"/>
        <v>#N/A</v>
      </c>
      <c r="E2112" s="1" t="s">
        <v>66</v>
      </c>
    </row>
    <row r="2113" ht="15.75" customHeight="1">
      <c r="A2113" s="1" t="s">
        <v>2348</v>
      </c>
      <c r="B2113" s="13" t="str">
        <f t="shared" si="1"/>
        <v>Melvin</v>
      </c>
      <c r="C2113" s="13" t="str">
        <f t="shared" si="2"/>
        <v>Gordon</v>
      </c>
      <c r="D2113" s="13" t="str">
        <f t="shared" si="3"/>
        <v>#N/A</v>
      </c>
      <c r="E2113" s="1" t="s">
        <v>66</v>
      </c>
    </row>
    <row r="2114" ht="15.75" customHeight="1">
      <c r="A2114" s="1" t="s">
        <v>2349</v>
      </c>
      <c r="B2114" s="13" t="str">
        <f t="shared" si="1"/>
        <v>Micah</v>
      </c>
      <c r="C2114" s="13" t="str">
        <f t="shared" si="2"/>
        <v>Hatfield</v>
      </c>
      <c r="D2114" s="13" t="str">
        <f t="shared" si="3"/>
        <v>#N/A</v>
      </c>
      <c r="E2114" s="1" t="s">
        <v>69</v>
      </c>
    </row>
    <row r="2115" ht="15.75" customHeight="1">
      <c r="A2115" s="1" t="s">
        <v>2350</v>
      </c>
      <c r="B2115" s="13" t="str">
        <f t="shared" si="1"/>
        <v>Micah</v>
      </c>
      <c r="C2115" s="13" t="str">
        <f t="shared" si="2"/>
        <v>Wright</v>
      </c>
      <c r="D2115" s="13" t="str">
        <f t="shared" si="3"/>
        <v>#N/A</v>
      </c>
      <c r="E2115" s="1" t="s">
        <v>69</v>
      </c>
    </row>
    <row r="2116" ht="15.75" customHeight="1">
      <c r="A2116" s="1" t="s">
        <v>2351</v>
      </c>
      <c r="B2116" s="13" t="str">
        <f t="shared" si="1"/>
        <v>Michael</v>
      </c>
      <c r="C2116" s="13" t="str">
        <f t="shared" si="2"/>
        <v>Allen</v>
      </c>
      <c r="D2116" s="13" t="str">
        <f t="shared" si="3"/>
        <v>#N/A</v>
      </c>
      <c r="E2116" s="1" t="s">
        <v>66</v>
      </c>
    </row>
    <row r="2117" ht="15.75" customHeight="1">
      <c r="A2117" s="1" t="s">
        <v>2352</v>
      </c>
      <c r="B2117" s="13" t="str">
        <f t="shared" si="1"/>
        <v>Michael</v>
      </c>
      <c r="C2117" s="13" t="str">
        <f t="shared" si="2"/>
        <v>Brown-Stephens</v>
      </c>
      <c r="D2117" s="13" t="str">
        <f t="shared" si="3"/>
        <v>#N/A</v>
      </c>
      <c r="E2117" s="1" t="s">
        <v>69</v>
      </c>
    </row>
    <row r="2118" ht="15.75" customHeight="1">
      <c r="A2118" s="1" t="s">
        <v>2353</v>
      </c>
      <c r="B2118" s="13" t="str">
        <f t="shared" si="1"/>
        <v>Michael</v>
      </c>
      <c r="C2118" s="13" t="str">
        <f t="shared" si="2"/>
        <v>Bush</v>
      </c>
      <c r="D2118" s="13" t="str">
        <f t="shared" si="3"/>
        <v>#N/A</v>
      </c>
      <c r="E2118" s="1" t="s">
        <v>66</v>
      </c>
    </row>
    <row r="2119" ht="15.75" customHeight="1">
      <c r="A2119" s="1" t="s">
        <v>2354</v>
      </c>
      <c r="B2119" s="13" t="str">
        <f t="shared" si="1"/>
        <v>Michael</v>
      </c>
      <c r="C2119" s="13" t="str">
        <f t="shared" si="2"/>
        <v>Campanaro</v>
      </c>
      <c r="D2119" s="13" t="str">
        <f t="shared" si="3"/>
        <v>#N/A</v>
      </c>
      <c r="E2119" s="1" t="s">
        <v>69</v>
      </c>
    </row>
    <row r="2120" ht="15.75" customHeight="1">
      <c r="A2120" s="1" t="s">
        <v>443</v>
      </c>
      <c r="B2120" s="13" t="str">
        <f t="shared" si="1"/>
        <v>Michael</v>
      </c>
      <c r="C2120" s="13" t="str">
        <f t="shared" si="2"/>
        <v>Carter</v>
      </c>
      <c r="D2120" s="13" t="str">
        <f t="shared" si="3"/>
        <v>#N/A</v>
      </c>
      <c r="E2120" s="1" t="s">
        <v>66</v>
      </c>
    </row>
    <row r="2121" ht="15.75" customHeight="1">
      <c r="A2121" s="1" t="s">
        <v>2355</v>
      </c>
      <c r="B2121" s="13" t="str">
        <f t="shared" si="1"/>
        <v>Michael</v>
      </c>
      <c r="C2121" s="13" t="str">
        <f t="shared" si="2"/>
        <v>Clark</v>
      </c>
      <c r="D2121" s="13" t="str">
        <f t="shared" si="3"/>
        <v>#N/A</v>
      </c>
      <c r="E2121" s="1" t="s">
        <v>69</v>
      </c>
    </row>
    <row r="2122" ht="15.75" customHeight="1">
      <c r="A2122" s="1" t="s">
        <v>2356</v>
      </c>
      <c r="B2122" s="13" t="str">
        <f t="shared" si="1"/>
        <v>Michael</v>
      </c>
      <c r="C2122" s="13" t="str">
        <f t="shared" si="2"/>
        <v>Colubiale</v>
      </c>
      <c r="D2122" s="13" t="str">
        <f t="shared" si="3"/>
        <v>#N/A</v>
      </c>
      <c r="E2122" s="1" t="s">
        <v>69</v>
      </c>
    </row>
    <row r="2123" ht="15.75" customHeight="1">
      <c r="A2123" s="1" t="s">
        <v>2357</v>
      </c>
      <c r="B2123" s="13" t="str">
        <f t="shared" si="1"/>
        <v>Michael</v>
      </c>
      <c r="C2123" s="13" t="str">
        <f t="shared" si="2"/>
        <v>Cox</v>
      </c>
      <c r="D2123" s="13" t="str">
        <f t="shared" si="3"/>
        <v>#N/A</v>
      </c>
      <c r="E2123" s="1" t="s">
        <v>66</v>
      </c>
    </row>
    <row r="2124" ht="15.75" customHeight="1">
      <c r="A2124" s="1" t="s">
        <v>1390</v>
      </c>
      <c r="B2124" s="13" t="str">
        <f t="shared" si="1"/>
        <v>Michael</v>
      </c>
      <c r="C2124" s="13" t="str">
        <f t="shared" si="2"/>
        <v>Crabtree</v>
      </c>
      <c r="D2124" s="13" t="str">
        <f t="shared" si="3"/>
        <v>#N/A</v>
      </c>
      <c r="E2124" s="1" t="s">
        <v>69</v>
      </c>
    </row>
    <row r="2125" ht="15.75" customHeight="1">
      <c r="A2125" s="1" t="s">
        <v>2358</v>
      </c>
      <c r="B2125" s="13" t="str">
        <f t="shared" si="1"/>
        <v>Michael</v>
      </c>
      <c r="C2125" s="13" t="str">
        <f t="shared" si="2"/>
        <v>Dyer</v>
      </c>
      <c r="D2125" s="13" t="str">
        <f t="shared" si="3"/>
        <v>#N/A</v>
      </c>
      <c r="E2125" s="1" t="s">
        <v>66</v>
      </c>
    </row>
    <row r="2126" ht="15.75" customHeight="1">
      <c r="A2126" s="1" t="s">
        <v>2359</v>
      </c>
      <c r="B2126" s="13" t="str">
        <f t="shared" si="1"/>
        <v>Michael</v>
      </c>
      <c r="C2126" s="13" t="str">
        <f t="shared" si="2"/>
        <v>Egnew</v>
      </c>
      <c r="D2126" s="13" t="str">
        <f t="shared" si="3"/>
        <v>#N/A</v>
      </c>
      <c r="E2126" s="1" t="s">
        <v>68</v>
      </c>
    </row>
    <row r="2127" ht="15.75" customHeight="1">
      <c r="A2127" s="1" t="s">
        <v>1977</v>
      </c>
      <c r="B2127" s="13" t="str">
        <f t="shared" si="1"/>
        <v>Michael</v>
      </c>
      <c r="C2127" s="13" t="str">
        <f t="shared" si="2"/>
        <v>Floyd</v>
      </c>
      <c r="D2127" s="13" t="str">
        <f t="shared" si="3"/>
        <v>#N/A</v>
      </c>
      <c r="E2127" s="1" t="s">
        <v>69</v>
      </c>
    </row>
    <row r="2128" ht="15.75" customHeight="1">
      <c r="A2128" s="1" t="s">
        <v>2360</v>
      </c>
      <c r="B2128" s="13" t="str">
        <f t="shared" si="1"/>
        <v>Michael</v>
      </c>
      <c r="C2128" s="13" t="str">
        <f t="shared" si="2"/>
        <v>Ford</v>
      </c>
      <c r="D2128" s="13" t="str">
        <f t="shared" si="3"/>
        <v>#N/A</v>
      </c>
      <c r="E2128" s="1" t="s">
        <v>66</v>
      </c>
    </row>
    <row r="2129" ht="15.75" customHeight="1">
      <c r="A2129" s="1" t="s">
        <v>150</v>
      </c>
      <c r="B2129" s="13" t="str">
        <f t="shared" si="1"/>
        <v>Michael</v>
      </c>
      <c r="C2129" s="13" t="str">
        <f t="shared" si="2"/>
        <v>Gallup</v>
      </c>
      <c r="D2129" s="13" t="str">
        <f t="shared" si="3"/>
        <v>#N/A</v>
      </c>
      <c r="E2129" s="1" t="s">
        <v>69</v>
      </c>
    </row>
    <row r="2130" ht="15.75" customHeight="1">
      <c r="A2130" s="1" t="s">
        <v>2361</v>
      </c>
      <c r="B2130" s="13" t="str">
        <f t="shared" si="1"/>
        <v>Michael</v>
      </c>
      <c r="C2130" s="13" t="str">
        <f t="shared" si="2"/>
        <v>Hill</v>
      </c>
      <c r="D2130" s="13" t="str">
        <f t="shared" si="3"/>
        <v>#N/A</v>
      </c>
      <c r="E2130" s="1" t="s">
        <v>66</v>
      </c>
    </row>
    <row r="2131" ht="15.75" customHeight="1">
      <c r="A2131" s="1" t="s">
        <v>2362</v>
      </c>
      <c r="B2131" s="13" t="str">
        <f t="shared" si="1"/>
        <v>Michael</v>
      </c>
      <c r="C2131" s="13" t="str">
        <f t="shared" si="2"/>
        <v>Hoomanawanui</v>
      </c>
      <c r="D2131" s="13" t="str">
        <f t="shared" si="3"/>
        <v>#N/A</v>
      </c>
      <c r="E2131" s="1" t="s">
        <v>68</v>
      </c>
    </row>
    <row r="2132" ht="15.75" customHeight="1">
      <c r="A2132" s="1" t="s">
        <v>2363</v>
      </c>
      <c r="B2132" s="13" t="str">
        <f t="shared" si="1"/>
        <v>Michael</v>
      </c>
      <c r="C2132" s="13" t="str">
        <f t="shared" si="2"/>
        <v>Mayer</v>
      </c>
      <c r="D2132" s="13" t="str">
        <f t="shared" si="3"/>
        <v>#N/A</v>
      </c>
      <c r="E2132" s="1" t="s">
        <v>68</v>
      </c>
    </row>
    <row r="2133" ht="15.75" customHeight="1">
      <c r="A2133" s="1" t="s">
        <v>2364</v>
      </c>
      <c r="B2133" s="13" t="str">
        <f t="shared" si="1"/>
        <v>Michael</v>
      </c>
      <c r="C2133" s="13" t="str">
        <f t="shared" si="2"/>
        <v>Penix</v>
      </c>
      <c r="D2133" s="13" t="str">
        <f t="shared" si="3"/>
        <v>#N/A</v>
      </c>
      <c r="E2133" s="1" t="s">
        <v>65</v>
      </c>
    </row>
    <row r="2134" ht="15.75" customHeight="1">
      <c r="A2134" s="1" t="s">
        <v>2365</v>
      </c>
      <c r="B2134" s="13" t="str">
        <f t="shared" si="1"/>
        <v>Michael</v>
      </c>
      <c r="C2134" s="13" t="str">
        <f t="shared" si="2"/>
        <v>Pittman</v>
      </c>
      <c r="D2134" s="13" t="str">
        <f t="shared" si="3"/>
        <v>#N/A</v>
      </c>
      <c r="E2134" s="1" t="s">
        <v>69</v>
      </c>
    </row>
    <row r="2135" ht="15.75" customHeight="1">
      <c r="A2135" s="1" t="s">
        <v>2366</v>
      </c>
      <c r="B2135" s="13" t="str">
        <f t="shared" si="1"/>
        <v>Michael</v>
      </c>
      <c r="C2135" s="13" t="str">
        <f t="shared" si="2"/>
        <v>Preston</v>
      </c>
      <c r="D2135" s="13" t="str">
        <f t="shared" si="3"/>
        <v>#N/A</v>
      </c>
      <c r="E2135" s="1" t="s">
        <v>69</v>
      </c>
    </row>
    <row r="2136" ht="15.75" customHeight="1">
      <c r="A2136" s="1" t="s">
        <v>2367</v>
      </c>
      <c r="B2136" s="13" t="str">
        <f t="shared" si="1"/>
        <v>Michael</v>
      </c>
      <c r="C2136" s="13" t="str">
        <f t="shared" si="2"/>
        <v>Rector</v>
      </c>
      <c r="D2136" s="13" t="str">
        <f t="shared" si="3"/>
        <v>#N/A</v>
      </c>
      <c r="E2136" s="1" t="s">
        <v>69</v>
      </c>
    </row>
    <row r="2137" ht="15.75" customHeight="1">
      <c r="A2137" s="1" t="s">
        <v>2368</v>
      </c>
      <c r="B2137" s="13" t="str">
        <f t="shared" si="1"/>
        <v>Michael</v>
      </c>
      <c r="C2137" s="13" t="str">
        <f t="shared" si="2"/>
        <v>Roberts</v>
      </c>
      <c r="D2137" s="13" t="str">
        <f t="shared" si="3"/>
        <v>#N/A</v>
      </c>
      <c r="E2137" s="1" t="s">
        <v>68</v>
      </c>
    </row>
    <row r="2138" ht="15.75" customHeight="1">
      <c r="A2138" s="1" t="s">
        <v>2369</v>
      </c>
      <c r="B2138" s="13" t="str">
        <f t="shared" si="1"/>
        <v>Michael</v>
      </c>
      <c r="C2138" s="13" t="str">
        <f t="shared" si="2"/>
        <v>Smith</v>
      </c>
      <c r="D2138" s="13" t="str">
        <f t="shared" si="3"/>
        <v>#N/A</v>
      </c>
      <c r="E2138" s="1" t="s">
        <v>66</v>
      </c>
    </row>
    <row r="2139" ht="15.75" customHeight="1">
      <c r="A2139" s="1" t="s">
        <v>270</v>
      </c>
      <c r="B2139" s="13" t="str">
        <f t="shared" si="1"/>
        <v>Michael</v>
      </c>
      <c r="C2139" s="13" t="str">
        <f t="shared" si="2"/>
        <v>Thomas</v>
      </c>
      <c r="D2139" s="13" t="str">
        <f t="shared" si="3"/>
        <v>#N/A</v>
      </c>
      <c r="E2139" s="1" t="s">
        <v>69</v>
      </c>
    </row>
    <row r="2140" ht="15.75" customHeight="1">
      <c r="A2140" s="1" t="s">
        <v>2370</v>
      </c>
      <c r="B2140" s="13" t="str">
        <f t="shared" si="1"/>
        <v>Michael</v>
      </c>
      <c r="C2140" s="13" t="str">
        <f t="shared" si="2"/>
        <v>Trigg</v>
      </c>
      <c r="D2140" s="13" t="str">
        <f t="shared" si="3"/>
        <v>#N/A</v>
      </c>
      <c r="E2140" s="1" t="s">
        <v>68</v>
      </c>
    </row>
    <row r="2141" ht="15.75" customHeight="1">
      <c r="A2141" s="1" t="s">
        <v>2371</v>
      </c>
      <c r="B2141" s="13" t="str">
        <f t="shared" si="1"/>
        <v>Michael</v>
      </c>
      <c r="C2141" s="13" t="str">
        <f t="shared" si="2"/>
        <v>Vick</v>
      </c>
      <c r="D2141" s="13" t="str">
        <f t="shared" si="3"/>
        <v>#N/A</v>
      </c>
      <c r="E2141" s="1" t="s">
        <v>65</v>
      </c>
    </row>
    <row r="2142" ht="15.75" customHeight="1">
      <c r="A2142" s="1" t="s">
        <v>2372</v>
      </c>
      <c r="B2142" s="13" t="str">
        <f t="shared" si="1"/>
        <v>Michael</v>
      </c>
      <c r="C2142" s="13" t="str">
        <f t="shared" si="2"/>
        <v>Walker</v>
      </c>
      <c r="D2142" s="13" t="str">
        <f t="shared" si="3"/>
        <v>#N/A</v>
      </c>
      <c r="E2142" s="1" t="s">
        <v>69</v>
      </c>
    </row>
    <row r="2143" ht="15.75" customHeight="1">
      <c r="A2143" s="1" t="s">
        <v>2373</v>
      </c>
      <c r="B2143" s="13" t="str">
        <f t="shared" si="1"/>
        <v>Michael</v>
      </c>
      <c r="C2143" s="13" t="str">
        <f t="shared" si="2"/>
        <v>Warren</v>
      </c>
      <c r="D2143" s="13" t="str">
        <f t="shared" si="3"/>
        <v>#N/A</v>
      </c>
      <c r="E2143" s="1" t="s">
        <v>66</v>
      </c>
    </row>
    <row r="2144" ht="15.75" customHeight="1">
      <c r="A2144" s="1" t="s">
        <v>2374</v>
      </c>
      <c r="B2144" s="13" t="str">
        <f t="shared" si="1"/>
        <v>Michael</v>
      </c>
      <c r="C2144" s="13" t="str">
        <f t="shared" si="2"/>
        <v>Wiley</v>
      </c>
      <c r="D2144" s="13" t="str">
        <f t="shared" si="3"/>
        <v>#N/A</v>
      </c>
      <c r="E2144" s="1" t="s">
        <v>66</v>
      </c>
    </row>
    <row r="2145" ht="15.75" customHeight="1">
      <c r="A2145" s="1" t="s">
        <v>2375</v>
      </c>
      <c r="B2145" s="13" t="str">
        <f t="shared" si="1"/>
        <v>Micheal</v>
      </c>
      <c r="C2145" s="13" t="str">
        <f t="shared" si="2"/>
        <v>Spurlock</v>
      </c>
      <c r="D2145" s="13" t="str">
        <f t="shared" si="3"/>
        <v>#N/A</v>
      </c>
      <c r="E2145" s="1" t="s">
        <v>69</v>
      </c>
    </row>
    <row r="2146" ht="15.75" customHeight="1">
      <c r="A2146" s="1" t="s">
        <v>2376</v>
      </c>
      <c r="B2146" s="13" t="str">
        <f t="shared" si="1"/>
        <v>Mickey</v>
      </c>
      <c r="C2146" s="13" t="str">
        <f t="shared" si="2"/>
        <v>Shuler</v>
      </c>
      <c r="D2146" s="13" t="str">
        <f t="shared" si="3"/>
        <v>#N/A</v>
      </c>
      <c r="E2146" s="1" t="s">
        <v>68</v>
      </c>
    </row>
    <row r="2147" ht="15.75" customHeight="1">
      <c r="A2147" s="1" t="s">
        <v>2377</v>
      </c>
      <c r="B2147" s="13" t="str">
        <f t="shared" si="1"/>
        <v>Micky</v>
      </c>
      <c r="C2147" s="13" t="str">
        <f t="shared" si="2"/>
        <v>Crum</v>
      </c>
      <c r="D2147" s="13" t="str">
        <f t="shared" si="3"/>
        <v>#N/A</v>
      </c>
      <c r="E2147" s="1" t="s">
        <v>68</v>
      </c>
    </row>
    <row r="2148" ht="15.75" customHeight="1">
      <c r="A2148" s="1" t="s">
        <v>2378</v>
      </c>
      <c r="B2148" s="13" t="str">
        <f t="shared" si="1"/>
        <v>Mike</v>
      </c>
      <c r="C2148" s="13" t="str">
        <f t="shared" si="2"/>
        <v>A Thomas</v>
      </c>
      <c r="D2148" s="13" t="str">
        <f t="shared" si="3"/>
        <v>#N/A</v>
      </c>
      <c r="E2148" s="1" t="s">
        <v>69</v>
      </c>
    </row>
    <row r="2149" ht="15.75" customHeight="1">
      <c r="A2149" s="1" t="s">
        <v>2379</v>
      </c>
      <c r="B2149" s="13" t="str">
        <f t="shared" si="1"/>
        <v>Mike</v>
      </c>
      <c r="C2149" s="13" t="str">
        <f t="shared" si="2"/>
        <v>A Williams</v>
      </c>
      <c r="D2149" s="13" t="str">
        <f t="shared" si="3"/>
        <v>#N/A</v>
      </c>
      <c r="E2149" s="1" t="s">
        <v>69</v>
      </c>
    </row>
    <row r="2150" ht="15.75" customHeight="1">
      <c r="A2150" s="1" t="s">
        <v>2380</v>
      </c>
      <c r="B2150" s="13" t="str">
        <f t="shared" si="1"/>
        <v>Mike</v>
      </c>
      <c r="C2150" s="13" t="str">
        <f t="shared" si="2"/>
        <v>Bercovici</v>
      </c>
      <c r="D2150" s="13" t="str">
        <f t="shared" si="3"/>
        <v>#N/A</v>
      </c>
      <c r="E2150" s="1" t="s">
        <v>65</v>
      </c>
    </row>
    <row r="2151" ht="15.75" customHeight="1">
      <c r="A2151" s="1" t="s">
        <v>2381</v>
      </c>
      <c r="B2151" s="13" t="str">
        <f t="shared" si="1"/>
        <v>Mike</v>
      </c>
      <c r="C2151" s="13" t="str">
        <f t="shared" si="2"/>
        <v>Boone</v>
      </c>
      <c r="D2151" s="13" t="str">
        <f t="shared" si="3"/>
        <v>#N/A</v>
      </c>
      <c r="E2151" s="1" t="s">
        <v>66</v>
      </c>
    </row>
    <row r="2152" ht="15.75" customHeight="1">
      <c r="A2152" s="1" t="s">
        <v>2382</v>
      </c>
      <c r="B2152" s="13" t="str">
        <f t="shared" si="1"/>
        <v>Mike</v>
      </c>
      <c r="C2152" s="13" t="str">
        <f t="shared" si="2"/>
        <v>Brown</v>
      </c>
      <c r="D2152" s="13" t="str">
        <f t="shared" si="3"/>
        <v>#N/A</v>
      </c>
      <c r="E2152" s="1" t="s">
        <v>69</v>
      </c>
    </row>
    <row r="2153" ht="15.75" customHeight="1">
      <c r="A2153" s="1" t="s">
        <v>2383</v>
      </c>
      <c r="B2153" s="13" t="str">
        <f t="shared" si="1"/>
        <v>Mike</v>
      </c>
      <c r="C2153" s="13" t="str">
        <f t="shared" si="2"/>
        <v>Burton</v>
      </c>
      <c r="D2153" s="13" t="str">
        <f t="shared" si="3"/>
        <v>#N/A</v>
      </c>
      <c r="E2153" s="1" t="s">
        <v>66</v>
      </c>
    </row>
    <row r="2154" ht="15.75" customHeight="1">
      <c r="A2154" s="1" t="s">
        <v>310</v>
      </c>
      <c r="B2154" s="13" t="str">
        <f t="shared" si="1"/>
        <v>Mike</v>
      </c>
      <c r="C2154" s="13" t="str">
        <f t="shared" si="2"/>
        <v>Davis</v>
      </c>
      <c r="D2154" s="13" t="str">
        <f t="shared" si="3"/>
        <v>#N/A</v>
      </c>
      <c r="E2154" s="1" t="s">
        <v>69</v>
      </c>
    </row>
    <row r="2155" ht="15.75" customHeight="1">
      <c r="A2155" s="1" t="s">
        <v>310</v>
      </c>
      <c r="B2155" s="13" t="str">
        <f t="shared" si="1"/>
        <v>Mike</v>
      </c>
      <c r="C2155" s="13" t="str">
        <f t="shared" si="2"/>
        <v>Davis</v>
      </c>
      <c r="D2155" s="13" t="str">
        <f t="shared" si="3"/>
        <v>#N/A</v>
      </c>
      <c r="E2155" s="1" t="s">
        <v>66</v>
      </c>
    </row>
    <row r="2156" ht="15.75" customHeight="1">
      <c r="A2156" s="1" t="s">
        <v>391</v>
      </c>
      <c r="B2156" s="13" t="str">
        <f t="shared" si="1"/>
        <v>Mike</v>
      </c>
      <c r="C2156" s="13" t="str">
        <f t="shared" si="2"/>
        <v>Evans</v>
      </c>
      <c r="D2156" s="13" t="str">
        <f t="shared" si="3"/>
        <v>#N/A</v>
      </c>
      <c r="E2156" s="1" t="s">
        <v>69</v>
      </c>
    </row>
    <row r="2157" ht="15.75" customHeight="1">
      <c r="A2157" s="1" t="s">
        <v>2384</v>
      </c>
      <c r="B2157" s="13" t="str">
        <f t="shared" si="1"/>
        <v>Mike</v>
      </c>
      <c r="C2157" s="13" t="str">
        <f t="shared" si="2"/>
        <v>Flacco</v>
      </c>
      <c r="D2157" s="13" t="str">
        <f t="shared" si="3"/>
        <v>#N/A</v>
      </c>
      <c r="E2157" s="1" t="s">
        <v>68</v>
      </c>
    </row>
    <row r="2158" ht="15.75" customHeight="1">
      <c r="A2158" s="1" t="s">
        <v>118</v>
      </c>
      <c r="B2158" s="13" t="str">
        <f t="shared" si="1"/>
        <v>Mike</v>
      </c>
      <c r="C2158" s="13" t="str">
        <f t="shared" si="2"/>
        <v>Gesicki</v>
      </c>
      <c r="D2158" s="13" t="str">
        <f t="shared" si="3"/>
        <v>#N/A</v>
      </c>
      <c r="E2158" s="1" t="s">
        <v>68</v>
      </c>
    </row>
    <row r="2159" ht="15.75" customHeight="1">
      <c r="A2159" s="1" t="s">
        <v>1592</v>
      </c>
      <c r="B2159" s="13" t="str">
        <f t="shared" si="1"/>
        <v>Mike</v>
      </c>
      <c r="C2159" s="13" t="str">
        <f t="shared" si="2"/>
        <v>Gillislee</v>
      </c>
      <c r="D2159" s="13" t="str">
        <f t="shared" si="3"/>
        <v>#N/A</v>
      </c>
      <c r="E2159" s="1" t="s">
        <v>66</v>
      </c>
    </row>
    <row r="2160" ht="15.75" customHeight="1">
      <c r="A2160" s="1" t="s">
        <v>2385</v>
      </c>
      <c r="B2160" s="13" t="str">
        <f t="shared" si="1"/>
        <v>Mike</v>
      </c>
      <c r="C2160" s="13" t="str">
        <f t="shared" si="2"/>
        <v>Glennon</v>
      </c>
      <c r="D2160" s="13" t="str">
        <f t="shared" si="3"/>
        <v>#N/A</v>
      </c>
      <c r="E2160" s="1" t="s">
        <v>65</v>
      </c>
    </row>
    <row r="2161" ht="15.75" customHeight="1">
      <c r="A2161" s="1" t="s">
        <v>2386</v>
      </c>
      <c r="B2161" s="13" t="str">
        <f t="shared" si="1"/>
        <v>Mike</v>
      </c>
      <c r="C2161" s="13" t="str">
        <f t="shared" si="2"/>
        <v>Goodson</v>
      </c>
      <c r="D2161" s="13" t="str">
        <f t="shared" si="3"/>
        <v>#N/A</v>
      </c>
      <c r="E2161" s="1" t="s">
        <v>66</v>
      </c>
    </row>
    <row r="2162" ht="15.75" customHeight="1">
      <c r="A2162" s="1" t="s">
        <v>2387</v>
      </c>
      <c r="B2162" s="13" t="str">
        <f t="shared" si="1"/>
        <v>Mike</v>
      </c>
      <c r="C2162" s="13" t="str">
        <f t="shared" si="2"/>
        <v>Harley</v>
      </c>
      <c r="D2162" s="13" t="str">
        <f t="shared" si="3"/>
        <v>#N/A</v>
      </c>
      <c r="E2162" s="1" t="s">
        <v>69</v>
      </c>
    </row>
    <row r="2163" ht="15.75" customHeight="1">
      <c r="A2163" s="1" t="s">
        <v>2388</v>
      </c>
      <c r="B2163" s="13" t="str">
        <f t="shared" si="1"/>
        <v>Mike</v>
      </c>
      <c r="C2163" s="13" t="str">
        <f t="shared" si="2"/>
        <v>James</v>
      </c>
      <c r="D2163" s="13" t="str">
        <f t="shared" si="3"/>
        <v>#N/A</v>
      </c>
      <c r="E2163" s="1" t="s">
        <v>66</v>
      </c>
    </row>
    <row r="2164" ht="15.75" customHeight="1">
      <c r="A2164" s="1" t="s">
        <v>2389</v>
      </c>
      <c r="B2164" s="13" t="str">
        <f t="shared" si="1"/>
        <v>Mike</v>
      </c>
      <c r="C2164" s="13" t="str">
        <f t="shared" si="2"/>
        <v>Kafka</v>
      </c>
      <c r="D2164" s="13" t="str">
        <f t="shared" si="3"/>
        <v>#N/A</v>
      </c>
      <c r="E2164" s="1" t="s">
        <v>65</v>
      </c>
    </row>
    <row r="2165" ht="15.75" customHeight="1">
      <c r="A2165" s="1" t="s">
        <v>2390</v>
      </c>
      <c r="B2165" s="13" t="str">
        <f t="shared" si="1"/>
        <v>Mike</v>
      </c>
      <c r="C2165" s="13" t="str">
        <f t="shared" si="2"/>
        <v>McFarland</v>
      </c>
      <c r="D2165" s="13" t="str">
        <f t="shared" si="3"/>
        <v>#N/A</v>
      </c>
      <c r="E2165" s="1" t="s">
        <v>68</v>
      </c>
    </row>
    <row r="2166" ht="15.75" customHeight="1">
      <c r="A2166" s="1" t="s">
        <v>2391</v>
      </c>
      <c r="B2166" s="13" t="str">
        <f t="shared" si="1"/>
        <v>Mike</v>
      </c>
      <c r="C2166" s="13" t="str">
        <f t="shared" si="2"/>
        <v>Strachan</v>
      </c>
      <c r="D2166" s="13" t="str">
        <f t="shared" si="3"/>
        <v>#N/A</v>
      </c>
      <c r="E2166" s="1" t="s">
        <v>69</v>
      </c>
    </row>
    <row r="2167" ht="15.75" customHeight="1">
      <c r="A2167" s="1" t="s">
        <v>2392</v>
      </c>
      <c r="B2167" s="13" t="str">
        <f t="shared" si="1"/>
        <v>Mike</v>
      </c>
      <c r="C2167" s="13" t="str">
        <f t="shared" si="2"/>
        <v>T Williams</v>
      </c>
      <c r="D2167" s="13" t="str">
        <f t="shared" si="3"/>
        <v>#N/A</v>
      </c>
      <c r="E2167" s="1" t="s">
        <v>69</v>
      </c>
    </row>
    <row r="2168" ht="15.75" customHeight="1">
      <c r="A2168" s="1" t="s">
        <v>2393</v>
      </c>
      <c r="B2168" s="13" t="str">
        <f t="shared" si="1"/>
        <v>Mike</v>
      </c>
      <c r="C2168" s="13" t="str">
        <f t="shared" si="2"/>
        <v>Thomas</v>
      </c>
      <c r="D2168" s="13" t="str">
        <f t="shared" si="3"/>
        <v>#N/A</v>
      </c>
      <c r="E2168" s="1" t="s">
        <v>69</v>
      </c>
    </row>
    <row r="2169" ht="15.75" customHeight="1">
      <c r="A2169" s="1" t="s">
        <v>2394</v>
      </c>
      <c r="B2169" s="13" t="str">
        <f t="shared" si="1"/>
        <v>Mike</v>
      </c>
      <c r="C2169" s="13" t="str">
        <f t="shared" si="2"/>
        <v>Tolbert</v>
      </c>
      <c r="D2169" s="13" t="str">
        <f t="shared" si="3"/>
        <v>#N/A</v>
      </c>
      <c r="E2169" s="1" t="s">
        <v>66</v>
      </c>
    </row>
    <row r="2170" ht="15.75" customHeight="1">
      <c r="A2170" s="1" t="s">
        <v>1547</v>
      </c>
      <c r="B2170" s="13" t="str">
        <f t="shared" si="1"/>
        <v>Mike</v>
      </c>
      <c r="C2170" s="13" t="str">
        <f t="shared" si="2"/>
        <v>Wallace</v>
      </c>
      <c r="D2170" s="13" t="str">
        <f t="shared" si="3"/>
        <v>#N/A</v>
      </c>
      <c r="E2170" s="1" t="s">
        <v>69</v>
      </c>
    </row>
    <row r="2171" ht="15.75" customHeight="1">
      <c r="A2171" s="1" t="s">
        <v>2395</v>
      </c>
      <c r="B2171" s="13" t="str">
        <f t="shared" si="1"/>
        <v>Mike</v>
      </c>
      <c r="C2171" s="13" t="str">
        <f t="shared" si="2"/>
        <v>Warren</v>
      </c>
      <c r="D2171" s="13" t="str">
        <f t="shared" si="3"/>
        <v>#N/A</v>
      </c>
      <c r="E2171" s="1" t="s">
        <v>66</v>
      </c>
    </row>
    <row r="2172" ht="15.75" customHeight="1">
      <c r="A2172" s="1" t="s">
        <v>2396</v>
      </c>
      <c r="B2172" s="13" t="str">
        <f t="shared" si="1"/>
        <v>Mike</v>
      </c>
      <c r="C2172" s="13" t="str">
        <f t="shared" si="2"/>
        <v>Weber</v>
      </c>
      <c r="D2172" s="13" t="str">
        <f t="shared" si="3"/>
        <v>#N/A</v>
      </c>
      <c r="E2172" s="1" t="s">
        <v>66</v>
      </c>
    </row>
    <row r="2173" ht="15.75" customHeight="1">
      <c r="A2173" s="1" t="s">
        <v>2397</v>
      </c>
      <c r="B2173" s="13" t="str">
        <f t="shared" si="1"/>
        <v>Mike</v>
      </c>
      <c r="C2173" s="13" t="str">
        <f t="shared" si="2"/>
        <v>White</v>
      </c>
      <c r="D2173" s="13" t="str">
        <f t="shared" si="3"/>
        <v>#N/A</v>
      </c>
      <c r="E2173" s="1" t="s">
        <v>65</v>
      </c>
    </row>
    <row r="2174" ht="15.75" customHeight="1">
      <c r="A2174" s="1" t="s">
        <v>320</v>
      </c>
      <c r="B2174" s="13" t="str">
        <f t="shared" si="1"/>
        <v>Mike</v>
      </c>
      <c r="C2174" s="13" t="str">
        <f t="shared" si="2"/>
        <v>Williams</v>
      </c>
      <c r="D2174" s="13" t="str">
        <f t="shared" si="3"/>
        <v>#N/A</v>
      </c>
      <c r="E2174" s="1" t="s">
        <v>69</v>
      </c>
    </row>
    <row r="2175" ht="15.75" customHeight="1">
      <c r="A2175" s="1" t="s">
        <v>2398</v>
      </c>
      <c r="B2175" s="13" t="str">
        <f t="shared" si="1"/>
        <v>Mike</v>
      </c>
      <c r="C2175" s="13" t="str">
        <f t="shared" si="2"/>
        <v>Woods</v>
      </c>
      <c r="D2175" s="13" t="str">
        <f t="shared" si="3"/>
        <v>#N/A</v>
      </c>
      <c r="E2175" s="1" t="s">
        <v>69</v>
      </c>
    </row>
    <row r="2176" ht="15.75" customHeight="1">
      <c r="A2176" s="1" t="s">
        <v>2399</v>
      </c>
      <c r="B2176" s="13" t="str">
        <f t="shared" si="1"/>
        <v>Mikel</v>
      </c>
      <c r="C2176" s="13" t="str">
        <f t="shared" si="2"/>
        <v>Leshoure</v>
      </c>
      <c r="D2176" s="13" t="str">
        <f t="shared" si="3"/>
        <v>#N/A</v>
      </c>
      <c r="E2176" s="1" t="s">
        <v>66</v>
      </c>
    </row>
    <row r="2177" ht="15.75" customHeight="1">
      <c r="A2177" s="1" t="s">
        <v>2400</v>
      </c>
      <c r="B2177" s="13" t="str">
        <f t="shared" si="1"/>
        <v>Mik'Quan</v>
      </c>
      <c r="C2177" s="13" t="str">
        <f t="shared" si="2"/>
        <v>Deane</v>
      </c>
      <c r="D2177" s="13" t="str">
        <f t="shared" si="3"/>
        <v>#N/A</v>
      </c>
      <c r="E2177" s="1" t="s">
        <v>68</v>
      </c>
    </row>
    <row r="2178" ht="15.75" customHeight="1">
      <c r="A2178" s="1" t="s">
        <v>2401</v>
      </c>
      <c r="B2178" s="13" t="str">
        <f t="shared" si="1"/>
        <v>Miles</v>
      </c>
      <c r="C2178" s="13" t="str">
        <f t="shared" si="2"/>
        <v>Austin</v>
      </c>
      <c r="D2178" s="13" t="str">
        <f t="shared" si="3"/>
        <v>#N/A</v>
      </c>
      <c r="E2178" s="1" t="s">
        <v>69</v>
      </c>
    </row>
    <row r="2179" ht="15.75" customHeight="1">
      <c r="A2179" s="1" t="s">
        <v>2402</v>
      </c>
      <c r="B2179" s="13" t="str">
        <f t="shared" si="1"/>
        <v>Miles</v>
      </c>
      <c r="C2179" s="13" t="str">
        <f t="shared" si="2"/>
        <v>Boykin</v>
      </c>
      <c r="D2179" s="13" t="str">
        <f t="shared" si="3"/>
        <v>#N/A</v>
      </c>
      <c r="E2179" s="1" t="s">
        <v>69</v>
      </c>
    </row>
    <row r="2180" ht="15.75" customHeight="1">
      <c r="A2180" s="1" t="s">
        <v>219</v>
      </c>
      <c r="B2180" s="13" t="str">
        <f t="shared" si="1"/>
        <v>Miles</v>
      </c>
      <c r="C2180" s="13" t="str">
        <f t="shared" si="2"/>
        <v>Sanders</v>
      </c>
      <c r="D2180" s="13" t="str">
        <f t="shared" si="3"/>
        <v>#N/A</v>
      </c>
      <c r="E2180" s="1" t="s">
        <v>66</v>
      </c>
    </row>
    <row r="2181" ht="15.75" customHeight="1">
      <c r="A2181" s="1" t="s">
        <v>2403</v>
      </c>
      <c r="B2181" s="13" t="str">
        <f t="shared" si="1"/>
        <v>Miller</v>
      </c>
      <c r="C2181" s="13" t="str">
        <f t="shared" si="2"/>
        <v>Forristall</v>
      </c>
      <c r="D2181" s="13" t="str">
        <f t="shared" si="3"/>
        <v>#N/A</v>
      </c>
      <c r="E2181" s="1" t="s">
        <v>68</v>
      </c>
    </row>
    <row r="2182" ht="15.75" customHeight="1">
      <c r="A2182" s="1" t="s">
        <v>2404</v>
      </c>
      <c r="B2182" s="13" t="str">
        <f t="shared" si="1"/>
        <v>Milton</v>
      </c>
      <c r="C2182" s="13" t="str">
        <f t="shared" si="2"/>
        <v>Wright</v>
      </c>
      <c r="D2182" s="13" t="str">
        <f t="shared" si="3"/>
        <v>#N/A</v>
      </c>
      <c r="E2182" s="1" t="s">
        <v>69</v>
      </c>
    </row>
    <row r="2183" ht="15.75" customHeight="1">
      <c r="A2183" s="1" t="s">
        <v>502</v>
      </c>
      <c r="B2183" s="13" t="str">
        <f t="shared" si="1"/>
        <v>#VALUE!</v>
      </c>
      <c r="C2183" s="13" t="str">
        <f t="shared" si="2"/>
        <v>#VALUE!</v>
      </c>
      <c r="D2183" s="13" t="str">
        <f t="shared" si="3"/>
        <v>#N/A</v>
      </c>
      <c r="E2183" s="1" t="s">
        <v>63</v>
      </c>
    </row>
    <row r="2184" ht="15.75" customHeight="1">
      <c r="A2184" s="1" t="s">
        <v>2405</v>
      </c>
      <c r="B2184" s="13" t="str">
        <f t="shared" si="1"/>
        <v>Mitch</v>
      </c>
      <c r="C2184" s="13" t="str">
        <f t="shared" si="2"/>
        <v>Leidner</v>
      </c>
      <c r="D2184" s="13" t="str">
        <f t="shared" si="3"/>
        <v>#N/A</v>
      </c>
      <c r="E2184" s="1" t="s">
        <v>65</v>
      </c>
    </row>
    <row r="2185" ht="15.75" customHeight="1">
      <c r="A2185" s="1" t="s">
        <v>2406</v>
      </c>
      <c r="B2185" s="13" t="str">
        <f t="shared" si="1"/>
        <v>Mitch</v>
      </c>
      <c r="C2185" s="13" t="str">
        <f t="shared" si="2"/>
        <v>Mathews</v>
      </c>
      <c r="D2185" s="13" t="str">
        <f t="shared" si="3"/>
        <v>#N/A</v>
      </c>
      <c r="E2185" s="1" t="s">
        <v>69</v>
      </c>
    </row>
    <row r="2186" ht="15.75" customHeight="1">
      <c r="A2186" s="1" t="s">
        <v>2407</v>
      </c>
      <c r="B2186" s="13" t="str">
        <f t="shared" si="1"/>
        <v>Mitch</v>
      </c>
      <c r="C2186" s="13" t="str">
        <f t="shared" si="2"/>
        <v>Trubisky</v>
      </c>
      <c r="D2186" s="13" t="str">
        <f t="shared" si="3"/>
        <v>#N/A</v>
      </c>
      <c r="E2186" s="1" t="s">
        <v>65</v>
      </c>
    </row>
    <row r="2187" ht="15.75" customHeight="1">
      <c r="A2187" s="1" t="s">
        <v>2408</v>
      </c>
      <c r="B2187" s="13" t="str">
        <f t="shared" si="1"/>
        <v>Mitchell</v>
      </c>
      <c r="C2187" s="13" t="str">
        <f t="shared" si="2"/>
        <v>Henry</v>
      </c>
      <c r="D2187" s="13" t="str">
        <f t="shared" si="3"/>
        <v>#N/A</v>
      </c>
      <c r="E2187" s="1" t="s">
        <v>68</v>
      </c>
    </row>
    <row r="2188" ht="15.75" customHeight="1">
      <c r="A2188" s="1" t="s">
        <v>2409</v>
      </c>
      <c r="B2188" s="13" t="str">
        <f t="shared" si="1"/>
        <v>Mitchell</v>
      </c>
      <c r="C2188" s="13" t="str">
        <f t="shared" si="2"/>
        <v>Wilcox</v>
      </c>
      <c r="D2188" s="13" t="str">
        <f t="shared" si="3"/>
        <v>#N/A</v>
      </c>
      <c r="E2188" s="1" t="s">
        <v>68</v>
      </c>
    </row>
    <row r="2189" ht="15.75" customHeight="1">
      <c r="A2189" s="1" t="s">
        <v>2410</v>
      </c>
      <c r="B2189" s="13" t="str">
        <f t="shared" si="1"/>
        <v>Mo</v>
      </c>
      <c r="C2189" s="13" t="str">
        <f t="shared" si="2"/>
        <v>Alie-Cox</v>
      </c>
      <c r="D2189" s="13" t="str">
        <f t="shared" si="3"/>
        <v>#N/A</v>
      </c>
      <c r="E2189" s="1" t="s">
        <v>68</v>
      </c>
    </row>
    <row r="2190" ht="15.75" customHeight="1">
      <c r="A2190" s="1" t="s">
        <v>2411</v>
      </c>
      <c r="B2190" s="13" t="str">
        <f t="shared" si="1"/>
        <v>Moe</v>
      </c>
      <c r="C2190" s="13" t="str">
        <f t="shared" si="2"/>
        <v>Neal</v>
      </c>
      <c r="D2190" s="13" t="str">
        <f t="shared" si="3"/>
        <v>#N/A</v>
      </c>
      <c r="E2190" s="1" t="s">
        <v>66</v>
      </c>
    </row>
    <row r="2191" ht="15.75" customHeight="1">
      <c r="A2191" s="1" t="s">
        <v>2412</v>
      </c>
      <c r="B2191" s="13" t="str">
        <f t="shared" si="1"/>
        <v>Mohamed</v>
      </c>
      <c r="C2191" s="13" t="str">
        <f t="shared" si="2"/>
        <v>Ibrahim</v>
      </c>
      <c r="D2191" s="13" t="str">
        <f t="shared" si="3"/>
        <v>#N/A</v>
      </c>
      <c r="E2191" s="1" t="s">
        <v>66</v>
      </c>
    </row>
    <row r="2192" ht="15.75" customHeight="1">
      <c r="A2192" s="1" t="s">
        <v>2413</v>
      </c>
      <c r="B2192" s="13" t="str">
        <f t="shared" si="1"/>
        <v>Mohamed</v>
      </c>
      <c r="C2192" s="13" t="str">
        <f t="shared" si="2"/>
        <v>Sanu</v>
      </c>
      <c r="D2192" s="13" t="str">
        <f t="shared" si="3"/>
        <v>#N/A</v>
      </c>
      <c r="E2192" s="1" t="s">
        <v>69</v>
      </c>
    </row>
    <row r="2193" ht="15.75" customHeight="1">
      <c r="A2193" s="1" t="s">
        <v>2414</v>
      </c>
      <c r="B2193" s="13" t="str">
        <f t="shared" si="1"/>
        <v>Montay</v>
      </c>
      <c r="C2193" s="13" t="str">
        <f t="shared" si="2"/>
        <v>Crockett</v>
      </c>
      <c r="D2193" s="13" t="str">
        <f t="shared" si="3"/>
        <v>#N/A</v>
      </c>
      <c r="E2193" s="1" t="s">
        <v>69</v>
      </c>
    </row>
    <row r="2194" ht="15.75" customHeight="1">
      <c r="A2194" s="1" t="s">
        <v>2415</v>
      </c>
      <c r="B2194" s="13" t="str">
        <f t="shared" si="1"/>
        <v>Montee</v>
      </c>
      <c r="C2194" s="13" t="str">
        <f t="shared" si="2"/>
        <v>Ball</v>
      </c>
      <c r="D2194" s="13" t="str">
        <f t="shared" si="3"/>
        <v>#N/A</v>
      </c>
      <c r="E2194" s="1" t="s">
        <v>66</v>
      </c>
    </row>
    <row r="2195" ht="15.75" customHeight="1">
      <c r="A2195" s="1" t="s">
        <v>2416</v>
      </c>
      <c r="B2195" s="13" t="str">
        <f t="shared" si="1"/>
        <v>Montrell</v>
      </c>
      <c r="C2195" s="13" t="str">
        <f t="shared" si="2"/>
        <v>Johnson</v>
      </c>
      <c r="D2195" s="13" t="str">
        <f t="shared" si="3"/>
        <v>#N/A</v>
      </c>
      <c r="E2195" s="1" t="s">
        <v>66</v>
      </c>
    </row>
    <row r="2196" ht="15.75" customHeight="1">
      <c r="A2196" s="1" t="s">
        <v>2417</v>
      </c>
      <c r="B2196" s="13" t="str">
        <f t="shared" si="1"/>
        <v>Montrell</v>
      </c>
      <c r="C2196" s="13" t="str">
        <f t="shared" si="2"/>
        <v>Washington</v>
      </c>
      <c r="D2196" s="13" t="str">
        <f t="shared" si="3"/>
        <v>#N/A</v>
      </c>
      <c r="E2196" s="1" t="s">
        <v>69</v>
      </c>
    </row>
    <row r="2197" ht="15.75" customHeight="1">
      <c r="A2197" s="1" t="s">
        <v>2418</v>
      </c>
      <c r="B2197" s="13" t="str">
        <f t="shared" si="1"/>
        <v>Moose</v>
      </c>
      <c r="C2197" s="13" t="str">
        <f t="shared" si="2"/>
        <v>Muhammad III</v>
      </c>
      <c r="D2197" s="13" t="str">
        <f t="shared" si="3"/>
        <v>#N/A</v>
      </c>
      <c r="E2197" s="1" t="s">
        <v>69</v>
      </c>
    </row>
    <row r="2198" ht="15.75" customHeight="1">
      <c r="A2198" s="1" t="s">
        <v>2419</v>
      </c>
      <c r="B2198" s="13" t="str">
        <f t="shared" si="1"/>
        <v>Moral</v>
      </c>
      <c r="C2198" s="13" t="str">
        <f t="shared" si="2"/>
        <v>Stephens</v>
      </c>
      <c r="D2198" s="13" t="str">
        <f t="shared" si="3"/>
        <v>#N/A</v>
      </c>
      <c r="E2198" s="1" t="s">
        <v>68</v>
      </c>
    </row>
    <row r="2199" ht="15.75" customHeight="1">
      <c r="A2199" s="1" t="s">
        <v>2420</v>
      </c>
      <c r="B2199" s="13" t="str">
        <f t="shared" si="1"/>
        <v>Moritz</v>
      </c>
      <c r="C2199" s="13" t="str">
        <f t="shared" si="2"/>
        <v>Boehringer</v>
      </c>
      <c r="D2199" s="13" t="str">
        <f t="shared" si="3"/>
        <v>#N/A</v>
      </c>
      <c r="E2199" s="1" t="s">
        <v>68</v>
      </c>
    </row>
    <row r="2200" ht="15.75" customHeight="1">
      <c r="A2200" s="1" t="s">
        <v>2421</v>
      </c>
      <c r="B2200" s="13" t="str">
        <f t="shared" si="1"/>
        <v>Mose</v>
      </c>
      <c r="C2200" s="13" t="str">
        <f t="shared" si="2"/>
        <v>Frazier</v>
      </c>
      <c r="D2200" s="13" t="str">
        <f t="shared" si="3"/>
        <v>#N/A</v>
      </c>
      <c r="E2200" s="1" t="s">
        <v>69</v>
      </c>
    </row>
    <row r="2201" ht="15.75" customHeight="1">
      <c r="A2201" s="1" t="s">
        <v>2422</v>
      </c>
      <c r="B2201" s="13" t="str">
        <f t="shared" si="1"/>
        <v>Mycah</v>
      </c>
      <c r="C2201" s="13" t="str">
        <f t="shared" si="2"/>
        <v>Pittman</v>
      </c>
      <c r="D2201" s="13" t="str">
        <f t="shared" si="3"/>
        <v>#N/A</v>
      </c>
      <c r="E2201" s="1" t="s">
        <v>69</v>
      </c>
    </row>
    <row r="2202" ht="15.75" customHeight="1">
      <c r="A2202" s="1" t="s">
        <v>2423</v>
      </c>
      <c r="B2202" s="13" t="str">
        <f t="shared" si="1"/>
        <v>Mychal</v>
      </c>
      <c r="C2202" s="13" t="str">
        <f t="shared" si="2"/>
        <v>Rivera</v>
      </c>
      <c r="D2202" s="13" t="str">
        <f t="shared" si="3"/>
        <v>#N/A</v>
      </c>
      <c r="E2202" s="1" t="s">
        <v>68</v>
      </c>
    </row>
    <row r="2203" ht="15.75" customHeight="1">
      <c r="A2203" s="1" t="s">
        <v>2424</v>
      </c>
      <c r="B2203" s="13" t="str">
        <f t="shared" si="1"/>
        <v>MyCole</v>
      </c>
      <c r="C2203" s="13" t="str">
        <f t="shared" si="2"/>
        <v>Pruitt</v>
      </c>
      <c r="D2203" s="13" t="str">
        <f t="shared" si="3"/>
        <v>#N/A</v>
      </c>
      <c r="E2203" s="1" t="s">
        <v>68</v>
      </c>
    </row>
    <row r="2204" ht="15.75" customHeight="1">
      <c r="A2204" s="1" t="s">
        <v>2425</v>
      </c>
      <c r="B2204" s="13" t="str">
        <f t="shared" si="1"/>
        <v>Myles</v>
      </c>
      <c r="C2204" s="13" t="str">
        <f t="shared" si="2"/>
        <v>Brennan</v>
      </c>
      <c r="D2204" s="13" t="str">
        <f t="shared" si="3"/>
        <v>#N/A</v>
      </c>
      <c r="E2204" s="1" t="s">
        <v>65</v>
      </c>
    </row>
    <row r="2205" ht="15.75" customHeight="1">
      <c r="A2205" s="1" t="s">
        <v>2426</v>
      </c>
      <c r="B2205" s="13" t="str">
        <f t="shared" si="1"/>
        <v>Myles</v>
      </c>
      <c r="C2205" s="13" t="str">
        <f t="shared" si="2"/>
        <v>Fells</v>
      </c>
      <c r="D2205" s="13" t="str">
        <f t="shared" si="3"/>
        <v>#N/A</v>
      </c>
      <c r="E2205" s="1" t="s">
        <v>66</v>
      </c>
    </row>
    <row r="2206" ht="15.75" customHeight="1">
      <c r="A2206" s="1" t="s">
        <v>145</v>
      </c>
      <c r="B2206" s="13" t="str">
        <f t="shared" si="1"/>
        <v>Myles</v>
      </c>
      <c r="C2206" s="13" t="str">
        <f t="shared" si="2"/>
        <v>Gaskin</v>
      </c>
      <c r="D2206" s="13" t="str">
        <f t="shared" si="3"/>
        <v>#N/A</v>
      </c>
      <c r="E2206" s="1" t="s">
        <v>66</v>
      </c>
    </row>
    <row r="2207" ht="15.75" customHeight="1">
      <c r="A2207" s="1" t="s">
        <v>2427</v>
      </c>
      <c r="B2207" s="13" t="str">
        <f t="shared" si="1"/>
        <v>Myles</v>
      </c>
      <c r="C2207" s="13" t="str">
        <f t="shared" si="2"/>
        <v>White</v>
      </c>
      <c r="D2207" s="13" t="str">
        <f t="shared" si="3"/>
        <v>#N/A</v>
      </c>
      <c r="E2207" s="1" t="s">
        <v>69</v>
      </c>
    </row>
    <row r="2208" ht="15.75" customHeight="1">
      <c r="A2208" s="1" t="s">
        <v>2428</v>
      </c>
      <c r="B2208" s="13" t="str">
        <f t="shared" si="1"/>
        <v>Myron</v>
      </c>
      <c r="C2208" s="13" t="str">
        <f t="shared" si="2"/>
        <v>Mitchell</v>
      </c>
      <c r="D2208" s="13" t="str">
        <f t="shared" si="3"/>
        <v>#N/A</v>
      </c>
      <c r="E2208" s="1" t="s">
        <v>69</v>
      </c>
    </row>
    <row r="2209" ht="15.75" customHeight="1">
      <c r="A2209" s="1" t="s">
        <v>385</v>
      </c>
      <c r="B2209" s="13" t="str">
        <f t="shared" si="1"/>
        <v>Najee</v>
      </c>
      <c r="C2209" s="13" t="str">
        <f t="shared" si="2"/>
        <v>Harris</v>
      </c>
      <c r="D2209" s="13" t="str">
        <f t="shared" si="3"/>
        <v>#N/A</v>
      </c>
      <c r="E2209" s="1" t="s">
        <v>66</v>
      </c>
    </row>
    <row r="2210" ht="15.75" customHeight="1">
      <c r="A2210" s="1" t="s">
        <v>2429</v>
      </c>
      <c r="B2210" s="13" t="str">
        <f t="shared" si="1"/>
        <v>Nate</v>
      </c>
      <c r="C2210" s="13" t="str">
        <f t="shared" si="2"/>
        <v>Becker</v>
      </c>
      <c r="D2210" s="13" t="str">
        <f t="shared" si="3"/>
        <v>#N/A</v>
      </c>
      <c r="E2210" s="1" t="s">
        <v>68</v>
      </c>
    </row>
    <row r="2211" ht="15.75" customHeight="1">
      <c r="A2211" s="1" t="s">
        <v>2430</v>
      </c>
      <c r="B2211" s="13" t="str">
        <f t="shared" si="1"/>
        <v>Nate</v>
      </c>
      <c r="C2211" s="13" t="str">
        <f t="shared" si="2"/>
        <v>Burleson</v>
      </c>
      <c r="D2211" s="13" t="str">
        <f t="shared" si="3"/>
        <v>#N/A</v>
      </c>
      <c r="E2211" s="1" t="s">
        <v>69</v>
      </c>
    </row>
    <row r="2212" ht="15.75" customHeight="1">
      <c r="A2212" s="1" t="s">
        <v>2431</v>
      </c>
      <c r="B2212" s="13" t="str">
        <f t="shared" si="1"/>
        <v>Nate</v>
      </c>
      <c r="C2212" s="13" t="str">
        <f t="shared" si="2"/>
        <v>McCrary</v>
      </c>
      <c r="D2212" s="13" t="str">
        <f t="shared" si="3"/>
        <v>#N/A</v>
      </c>
      <c r="E2212" s="1" t="s">
        <v>66</v>
      </c>
    </row>
    <row r="2213" ht="15.75" customHeight="1">
      <c r="A2213" s="1" t="s">
        <v>2432</v>
      </c>
      <c r="B2213" s="13" t="str">
        <f t="shared" si="1"/>
        <v>Nate</v>
      </c>
      <c r="C2213" s="13" t="str">
        <f t="shared" si="2"/>
        <v>Stanley</v>
      </c>
      <c r="D2213" s="13" t="str">
        <f t="shared" si="3"/>
        <v>#N/A</v>
      </c>
      <c r="E2213" s="1" t="s">
        <v>65</v>
      </c>
    </row>
    <row r="2214" ht="15.75" customHeight="1">
      <c r="A2214" s="1" t="s">
        <v>2433</v>
      </c>
      <c r="B2214" s="13" t="str">
        <f t="shared" si="1"/>
        <v>Nate</v>
      </c>
      <c r="C2214" s="13" t="str">
        <f t="shared" si="2"/>
        <v>Sudfeld</v>
      </c>
      <c r="D2214" s="13" t="str">
        <f t="shared" si="3"/>
        <v>#N/A</v>
      </c>
      <c r="E2214" s="1" t="s">
        <v>65</v>
      </c>
    </row>
    <row r="2215" ht="15.75" customHeight="1">
      <c r="A2215" s="1" t="s">
        <v>2434</v>
      </c>
      <c r="B2215" s="13" t="str">
        <f t="shared" si="1"/>
        <v>Nate</v>
      </c>
      <c r="C2215" s="13" t="str">
        <f t="shared" si="2"/>
        <v>Washington</v>
      </c>
      <c r="D2215" s="13" t="str">
        <f t="shared" si="3"/>
        <v>#N/A</v>
      </c>
      <c r="E2215" s="1" t="s">
        <v>69</v>
      </c>
    </row>
    <row r="2216" ht="15.75" customHeight="1">
      <c r="A2216" s="1" t="s">
        <v>2435</v>
      </c>
      <c r="B2216" s="13" t="str">
        <f t="shared" si="1"/>
        <v>Nathan</v>
      </c>
      <c r="C2216" s="13" t="str">
        <f t="shared" si="2"/>
        <v>Cottrell</v>
      </c>
      <c r="D2216" s="13" t="str">
        <f t="shared" si="3"/>
        <v>#N/A</v>
      </c>
      <c r="E2216" s="1" t="s">
        <v>66</v>
      </c>
    </row>
    <row r="2217" ht="15.75" customHeight="1">
      <c r="A2217" s="1" t="s">
        <v>2436</v>
      </c>
      <c r="B2217" s="13" t="str">
        <f t="shared" si="1"/>
        <v>Nathan</v>
      </c>
      <c r="C2217" s="13" t="str">
        <f t="shared" si="2"/>
        <v>Palmer</v>
      </c>
      <c r="D2217" s="13" t="str">
        <f t="shared" si="3"/>
        <v>#N/A</v>
      </c>
      <c r="E2217" s="1" t="s">
        <v>69</v>
      </c>
    </row>
    <row r="2218" ht="15.75" customHeight="1">
      <c r="A2218" s="1" t="s">
        <v>2437</v>
      </c>
      <c r="B2218" s="13" t="str">
        <f t="shared" si="1"/>
        <v>Nathan</v>
      </c>
      <c r="C2218" s="13" t="str">
        <f t="shared" si="2"/>
        <v>Peterman</v>
      </c>
      <c r="D2218" s="13" t="str">
        <f t="shared" si="3"/>
        <v>#N/A</v>
      </c>
      <c r="E2218" s="1" t="s">
        <v>65</v>
      </c>
    </row>
    <row r="2219" ht="15.75" customHeight="1">
      <c r="A2219" s="1" t="s">
        <v>2438</v>
      </c>
      <c r="B2219" s="13" t="str">
        <f t="shared" si="1"/>
        <v>Nathan</v>
      </c>
      <c r="C2219" s="13" t="str">
        <f t="shared" si="2"/>
        <v>Slaughter</v>
      </c>
      <c r="D2219" s="13" t="str">
        <f t="shared" si="3"/>
        <v>#N/A</v>
      </c>
      <c r="E2219" s="1" t="s">
        <v>69</v>
      </c>
    </row>
    <row r="2220" ht="15.75" customHeight="1">
      <c r="A2220" s="1" t="s">
        <v>2439</v>
      </c>
      <c r="B2220" s="13" t="str">
        <f t="shared" si="1"/>
        <v>Neal</v>
      </c>
      <c r="C2220" s="13" t="str">
        <f t="shared" si="2"/>
        <v>Sterling</v>
      </c>
      <c r="D2220" s="13" t="str">
        <f t="shared" si="3"/>
        <v>#N/A</v>
      </c>
      <c r="E2220" s="1" t="s">
        <v>68</v>
      </c>
    </row>
    <row r="2221" ht="15.75" customHeight="1">
      <c r="A2221" s="1" t="s">
        <v>136</v>
      </c>
      <c r="B2221" s="13" t="str">
        <f t="shared" si="1"/>
        <v>Nelson</v>
      </c>
      <c r="C2221" s="13" t="str">
        <f t="shared" si="2"/>
        <v>Agholor</v>
      </c>
      <c r="D2221" s="13" t="str">
        <f t="shared" si="3"/>
        <v>#N/A</v>
      </c>
      <c r="E2221" s="1" t="s">
        <v>69</v>
      </c>
    </row>
    <row r="2222" ht="15.75" customHeight="1">
      <c r="A2222" s="1" t="s">
        <v>2440</v>
      </c>
      <c r="B2222" s="13" t="str">
        <f t="shared" si="1"/>
        <v>Nelson</v>
      </c>
      <c r="C2222" s="13" t="str">
        <f t="shared" si="2"/>
        <v>Spruce</v>
      </c>
      <c r="D2222" s="13" t="str">
        <f t="shared" si="3"/>
        <v>#N/A</v>
      </c>
      <c r="E2222" s="1" t="s">
        <v>69</v>
      </c>
    </row>
    <row r="2223" ht="15.75" customHeight="1">
      <c r="A2223" s="1" t="s">
        <v>369</v>
      </c>
      <c r="B2223" s="13" t="str">
        <f t="shared" si="1"/>
        <v>New</v>
      </c>
      <c r="C2223" s="13" t="str">
        <f t="shared" si="2"/>
        <v>England</v>
      </c>
      <c r="D2223" s="13" t="str">
        <f t="shared" si="3"/>
        <v>#N/A</v>
      </c>
      <c r="E2223" s="1" t="s">
        <v>63</v>
      </c>
    </row>
    <row r="2224" ht="15.75" customHeight="1">
      <c r="A2224" s="1" t="s">
        <v>662</v>
      </c>
      <c r="B2224" s="13" t="str">
        <f t="shared" si="1"/>
        <v>New</v>
      </c>
      <c r="C2224" s="13" t="str">
        <f t="shared" si="2"/>
        <v>Orleans</v>
      </c>
      <c r="D2224" s="13" t="str">
        <f t="shared" si="3"/>
        <v>#N/A</v>
      </c>
      <c r="E2224" s="1" t="s">
        <v>63</v>
      </c>
    </row>
    <row r="2225" ht="15.75" customHeight="1">
      <c r="A2225" s="1" t="s">
        <v>1598</v>
      </c>
      <c r="B2225" s="13" t="str">
        <f t="shared" si="1"/>
        <v>New</v>
      </c>
      <c r="C2225" s="13" t="str">
        <f t="shared" si="2"/>
        <v>York</v>
      </c>
      <c r="D2225" s="13" t="str">
        <f t="shared" si="3"/>
        <v>#N/A</v>
      </c>
      <c r="E2225" s="1" t="s">
        <v>63</v>
      </c>
    </row>
    <row r="2226" ht="15.75" customHeight="1">
      <c r="A2226" s="1" t="s">
        <v>2441</v>
      </c>
      <c r="B2226" s="13" t="str">
        <f t="shared" si="1"/>
        <v>Nic</v>
      </c>
      <c r="C2226" s="13" t="str">
        <f t="shared" si="2"/>
        <v>Anderson</v>
      </c>
      <c r="D2226" s="13" t="str">
        <f t="shared" si="3"/>
        <v>#N/A</v>
      </c>
      <c r="E2226" s="1" t="s">
        <v>69</v>
      </c>
    </row>
    <row r="2227" ht="15.75" customHeight="1">
      <c r="A2227" s="1" t="s">
        <v>2442</v>
      </c>
      <c r="B2227" s="13" t="str">
        <f t="shared" si="1"/>
        <v>Nic</v>
      </c>
      <c r="C2227" s="13" t="str">
        <f t="shared" si="2"/>
        <v>Jacobs</v>
      </c>
      <c r="D2227" s="13" t="str">
        <f t="shared" si="3"/>
        <v>#N/A</v>
      </c>
      <c r="E2227" s="1" t="s">
        <v>68</v>
      </c>
    </row>
    <row r="2228" ht="15.75" customHeight="1">
      <c r="A2228" s="1" t="s">
        <v>2443</v>
      </c>
      <c r="B2228" s="13" t="str">
        <f t="shared" si="1"/>
        <v>Nic</v>
      </c>
      <c r="C2228" s="13" t="str">
        <f t="shared" si="2"/>
        <v>Shimonek</v>
      </c>
      <c r="D2228" s="13" t="str">
        <f t="shared" si="3"/>
        <v>#N/A</v>
      </c>
      <c r="E2228" s="1" t="s">
        <v>65</v>
      </c>
    </row>
    <row r="2229" ht="15.75" customHeight="1">
      <c r="A2229" s="1" t="s">
        <v>2444</v>
      </c>
      <c r="B2229" s="13" t="str">
        <f t="shared" si="1"/>
        <v>Nicholas</v>
      </c>
      <c r="C2229" s="13" t="str">
        <f t="shared" si="2"/>
        <v>Singleton</v>
      </c>
      <c r="D2229" s="13" t="str">
        <f t="shared" si="3"/>
        <v>#N/A</v>
      </c>
      <c r="E2229" s="1" t="s">
        <v>66</v>
      </c>
    </row>
    <row r="2230" ht="15.75" customHeight="1">
      <c r="A2230" s="1" t="s">
        <v>2445</v>
      </c>
      <c r="B2230" s="13" t="str">
        <f t="shared" si="1"/>
        <v>Nicholaus</v>
      </c>
      <c r="C2230" s="13" t="str">
        <f t="shared" si="2"/>
        <v>Iamaleava</v>
      </c>
      <c r="D2230" s="13" t="str">
        <f t="shared" si="3"/>
        <v>#N/A</v>
      </c>
      <c r="E2230" s="1" t="s">
        <v>65</v>
      </c>
    </row>
    <row r="2231" ht="15.75" customHeight="1">
      <c r="A2231" s="1" t="s">
        <v>2446</v>
      </c>
      <c r="B2231" s="13" t="str">
        <f t="shared" si="1"/>
        <v>Nick</v>
      </c>
      <c r="C2231" s="13" t="str">
        <f t="shared" si="2"/>
        <v>Bawden</v>
      </c>
      <c r="D2231" s="13" t="str">
        <f t="shared" si="3"/>
        <v>#N/A</v>
      </c>
      <c r="E2231" s="1" t="s">
        <v>66</v>
      </c>
    </row>
    <row r="2232" ht="15.75" customHeight="1">
      <c r="A2232" s="1" t="s">
        <v>2447</v>
      </c>
      <c r="B2232" s="13" t="str">
        <f t="shared" si="1"/>
        <v>Nick</v>
      </c>
      <c r="C2232" s="13" t="str">
        <f t="shared" si="2"/>
        <v>Bellore</v>
      </c>
      <c r="D2232" s="13" t="str">
        <f t="shared" si="3"/>
        <v>#N/A</v>
      </c>
      <c r="E2232" s="1" t="s">
        <v>66</v>
      </c>
    </row>
    <row r="2233" ht="15.75" customHeight="1">
      <c r="A2233" s="1" t="s">
        <v>2448</v>
      </c>
      <c r="B2233" s="13" t="str">
        <f t="shared" si="1"/>
        <v>Nick</v>
      </c>
      <c r="C2233" s="13" t="str">
        <f t="shared" si="2"/>
        <v>Bowers</v>
      </c>
      <c r="D2233" s="13" t="str">
        <f t="shared" si="3"/>
        <v>#N/A</v>
      </c>
      <c r="E2233" s="1" t="s">
        <v>68</v>
      </c>
    </row>
    <row r="2234" ht="15.75" customHeight="1">
      <c r="A2234" s="1" t="s">
        <v>2449</v>
      </c>
      <c r="B2234" s="13" t="str">
        <f t="shared" si="1"/>
        <v>Nick</v>
      </c>
      <c r="C2234" s="13" t="str">
        <f t="shared" si="2"/>
        <v>Boyle</v>
      </c>
      <c r="D2234" s="13" t="str">
        <f t="shared" si="3"/>
        <v>#N/A</v>
      </c>
      <c r="E2234" s="1" t="s">
        <v>68</v>
      </c>
    </row>
    <row r="2235" ht="15.75" customHeight="1">
      <c r="A2235" s="1" t="s">
        <v>2450</v>
      </c>
      <c r="B2235" s="13" t="str">
        <f t="shared" si="1"/>
        <v>Nick</v>
      </c>
      <c r="C2235" s="13" t="str">
        <f t="shared" si="2"/>
        <v>Brossette</v>
      </c>
      <c r="D2235" s="13" t="str">
        <f t="shared" si="3"/>
        <v>#N/A</v>
      </c>
      <c r="E2235" s="1" t="s">
        <v>66</v>
      </c>
    </row>
    <row r="2236" ht="15.75" customHeight="1">
      <c r="A2236" s="1" t="s">
        <v>425</v>
      </c>
      <c r="B2236" s="13" t="str">
        <f t="shared" si="1"/>
        <v>Nick</v>
      </c>
      <c r="C2236" s="13" t="str">
        <f t="shared" si="2"/>
        <v>Chubb</v>
      </c>
      <c r="D2236" s="13" t="str">
        <f t="shared" si="3"/>
        <v>#N/A</v>
      </c>
      <c r="E2236" s="1" t="s">
        <v>66</v>
      </c>
    </row>
    <row r="2237" ht="15.75" customHeight="1">
      <c r="A2237" s="1" t="s">
        <v>2451</v>
      </c>
      <c r="B2237" s="13" t="str">
        <f t="shared" si="1"/>
        <v>Nick</v>
      </c>
      <c r="C2237" s="13" t="str">
        <f t="shared" si="2"/>
        <v>Easley</v>
      </c>
      <c r="D2237" s="13" t="str">
        <f t="shared" si="3"/>
        <v>#N/A</v>
      </c>
      <c r="E2237" s="1" t="s">
        <v>69</v>
      </c>
    </row>
    <row r="2238" ht="15.75" customHeight="1">
      <c r="A2238" s="1" t="s">
        <v>2452</v>
      </c>
      <c r="B2238" s="13" t="str">
        <f t="shared" si="1"/>
        <v>Nick</v>
      </c>
      <c r="C2238" s="13" t="str">
        <f t="shared" si="2"/>
        <v>Eubanks</v>
      </c>
      <c r="D2238" s="13" t="str">
        <f t="shared" si="3"/>
        <v>#N/A</v>
      </c>
      <c r="E2238" s="1" t="s">
        <v>68</v>
      </c>
    </row>
    <row r="2239" ht="15.75" customHeight="1">
      <c r="A2239" s="1" t="s">
        <v>2453</v>
      </c>
      <c r="B2239" s="13" t="str">
        <f t="shared" si="1"/>
        <v>Nick</v>
      </c>
      <c r="C2239" s="13" t="str">
        <f t="shared" si="2"/>
        <v>Evers</v>
      </c>
      <c r="D2239" s="13" t="str">
        <f t="shared" si="3"/>
        <v>#N/A</v>
      </c>
      <c r="E2239" s="1" t="s">
        <v>65</v>
      </c>
    </row>
    <row r="2240" ht="15.75" customHeight="1">
      <c r="A2240" s="1" t="s">
        <v>2454</v>
      </c>
      <c r="B2240" s="13" t="str">
        <f t="shared" si="1"/>
        <v>Nick</v>
      </c>
      <c r="C2240" s="13" t="str">
        <f t="shared" si="2"/>
        <v>Fitzgerald</v>
      </c>
      <c r="D2240" s="13" t="str">
        <f t="shared" si="3"/>
        <v>#N/A</v>
      </c>
      <c r="E2240" s="1" t="s">
        <v>65</v>
      </c>
    </row>
    <row r="2241" ht="15.75" customHeight="1">
      <c r="A2241" s="1" t="s">
        <v>2455</v>
      </c>
      <c r="B2241" s="13" t="str">
        <f t="shared" si="1"/>
        <v>Nick</v>
      </c>
      <c r="C2241" s="13" t="str">
        <f t="shared" si="2"/>
        <v>Foles</v>
      </c>
      <c r="D2241" s="13" t="str">
        <f t="shared" si="3"/>
        <v>#N/A</v>
      </c>
      <c r="E2241" s="1" t="s">
        <v>65</v>
      </c>
    </row>
    <row r="2242" ht="15.75" customHeight="1">
      <c r="A2242" s="1" t="s">
        <v>2456</v>
      </c>
      <c r="B2242" s="13" t="str">
        <f t="shared" si="1"/>
        <v>Nick</v>
      </c>
      <c r="C2242" s="13" t="str">
        <f t="shared" si="2"/>
        <v>Harwell</v>
      </c>
      <c r="D2242" s="13" t="str">
        <f t="shared" si="3"/>
        <v>#N/A</v>
      </c>
      <c r="E2242" s="1" t="s">
        <v>69</v>
      </c>
    </row>
    <row r="2243" ht="15.75" customHeight="1">
      <c r="A2243" s="1" t="s">
        <v>2457</v>
      </c>
      <c r="B2243" s="13" t="str">
        <f t="shared" si="1"/>
        <v>Nick</v>
      </c>
      <c r="C2243" s="13" t="str">
        <f t="shared" si="2"/>
        <v>Holley</v>
      </c>
      <c r="D2243" s="13" t="str">
        <f t="shared" si="3"/>
        <v>#N/A</v>
      </c>
      <c r="E2243" s="1" t="s">
        <v>66</v>
      </c>
    </row>
    <row r="2244" ht="15.75" customHeight="1">
      <c r="A2244" s="1" t="s">
        <v>2458</v>
      </c>
      <c r="B2244" s="13" t="str">
        <f t="shared" si="1"/>
        <v>Nick</v>
      </c>
      <c r="C2244" s="13" t="str">
        <f t="shared" si="2"/>
        <v>Kasa</v>
      </c>
      <c r="D2244" s="13" t="str">
        <f t="shared" si="3"/>
        <v>#N/A</v>
      </c>
      <c r="E2244" s="1" t="s">
        <v>68</v>
      </c>
    </row>
    <row r="2245" ht="15.75" customHeight="1">
      <c r="A2245" s="1" t="s">
        <v>2459</v>
      </c>
      <c r="B2245" s="13" t="str">
        <f t="shared" si="1"/>
        <v>Nick</v>
      </c>
      <c r="C2245" s="13" t="str">
        <f t="shared" si="2"/>
        <v>Keizer</v>
      </c>
      <c r="D2245" s="13" t="str">
        <f t="shared" si="3"/>
        <v>#N/A</v>
      </c>
      <c r="E2245" s="1" t="s">
        <v>68</v>
      </c>
    </row>
    <row r="2246" ht="15.75" customHeight="1">
      <c r="A2246" s="1" t="s">
        <v>2460</v>
      </c>
      <c r="B2246" s="13" t="str">
        <f t="shared" si="1"/>
        <v>Nick</v>
      </c>
      <c r="C2246" s="13" t="str">
        <f t="shared" si="2"/>
        <v>Mullens</v>
      </c>
      <c r="D2246" s="13" t="str">
        <f t="shared" si="3"/>
        <v>#N/A</v>
      </c>
      <c r="E2246" s="1" t="s">
        <v>65</v>
      </c>
    </row>
    <row r="2247" ht="15.75" customHeight="1">
      <c r="A2247" s="1" t="s">
        <v>2461</v>
      </c>
      <c r="B2247" s="13" t="str">
        <f t="shared" si="1"/>
        <v>Nick</v>
      </c>
      <c r="C2247" s="13" t="str">
        <f t="shared" si="2"/>
        <v>Muse</v>
      </c>
      <c r="D2247" s="13" t="str">
        <f t="shared" si="3"/>
        <v>#N/A</v>
      </c>
      <c r="E2247" s="1" t="s">
        <v>68</v>
      </c>
    </row>
    <row r="2248" ht="15.75" customHeight="1">
      <c r="A2248" s="1" t="s">
        <v>1908</v>
      </c>
      <c r="B2248" s="13" t="str">
        <f t="shared" si="1"/>
        <v>Nick</v>
      </c>
      <c r="C2248" s="13" t="str">
        <f t="shared" si="2"/>
        <v>Novak</v>
      </c>
      <c r="D2248" s="13" t="str">
        <f t="shared" si="3"/>
        <v>#N/A</v>
      </c>
      <c r="E2248" s="1" t="s">
        <v>64</v>
      </c>
    </row>
    <row r="2249" ht="15.75" customHeight="1">
      <c r="A2249" s="1" t="s">
        <v>2462</v>
      </c>
      <c r="B2249" s="13" t="str">
        <f t="shared" si="1"/>
        <v>Nick</v>
      </c>
      <c r="C2249" s="13" t="str">
        <f t="shared" si="2"/>
        <v>O'Leary</v>
      </c>
      <c r="D2249" s="13" t="str">
        <f t="shared" si="3"/>
        <v>#N/A</v>
      </c>
      <c r="E2249" s="1" t="s">
        <v>68</v>
      </c>
    </row>
    <row r="2250" ht="15.75" customHeight="1">
      <c r="A2250" s="1" t="s">
        <v>2463</v>
      </c>
      <c r="B2250" s="13" t="str">
        <f t="shared" si="1"/>
        <v>Nick</v>
      </c>
      <c r="C2250" s="13" t="str">
        <f t="shared" si="2"/>
        <v>Toon</v>
      </c>
      <c r="D2250" s="13" t="str">
        <f t="shared" si="3"/>
        <v>#N/A</v>
      </c>
      <c r="E2250" s="1" t="s">
        <v>69</v>
      </c>
    </row>
    <row r="2251" ht="15.75" customHeight="1">
      <c r="A2251" s="1" t="s">
        <v>2464</v>
      </c>
      <c r="B2251" s="13" t="str">
        <f t="shared" si="1"/>
        <v>Nick</v>
      </c>
      <c r="C2251" s="13" t="str">
        <f t="shared" si="2"/>
        <v>Truesdell</v>
      </c>
      <c r="D2251" s="13" t="str">
        <f t="shared" si="3"/>
        <v>#N/A</v>
      </c>
      <c r="E2251" s="1" t="s">
        <v>68</v>
      </c>
    </row>
    <row r="2252" ht="15.75" customHeight="1">
      <c r="A2252" s="1" t="s">
        <v>2465</v>
      </c>
      <c r="B2252" s="13" t="str">
        <f t="shared" si="1"/>
        <v>Nick</v>
      </c>
      <c r="C2252" s="13" t="str">
        <f t="shared" si="2"/>
        <v>Vannett</v>
      </c>
      <c r="D2252" s="13" t="str">
        <f t="shared" si="3"/>
        <v>#N/A</v>
      </c>
      <c r="E2252" s="1" t="s">
        <v>68</v>
      </c>
    </row>
    <row r="2253" ht="15.75" customHeight="1">
      <c r="A2253" s="1" t="s">
        <v>2466</v>
      </c>
      <c r="B2253" s="13" t="str">
        <f t="shared" si="1"/>
        <v>Nick</v>
      </c>
      <c r="C2253" s="13" t="str">
        <f t="shared" si="2"/>
        <v>Westbrook-Ikhine</v>
      </c>
      <c r="D2253" s="13" t="str">
        <f t="shared" si="3"/>
        <v>#N/A</v>
      </c>
      <c r="E2253" s="1" t="s">
        <v>69</v>
      </c>
    </row>
    <row r="2254" ht="15.75" customHeight="1">
      <c r="A2254" s="1" t="s">
        <v>2467</v>
      </c>
      <c r="B2254" s="13" t="str">
        <f t="shared" si="1"/>
        <v>Nick</v>
      </c>
      <c r="C2254" s="13" t="str">
        <f t="shared" si="2"/>
        <v>Williams</v>
      </c>
      <c r="D2254" s="13" t="str">
        <f t="shared" si="3"/>
        <v>#N/A</v>
      </c>
      <c r="E2254" s="1" t="s">
        <v>69</v>
      </c>
    </row>
    <row r="2255" ht="15.75" customHeight="1">
      <c r="A2255" s="1" t="s">
        <v>2468</v>
      </c>
      <c r="B2255" s="13" t="str">
        <f t="shared" si="1"/>
        <v>Nico</v>
      </c>
      <c r="C2255" s="13" t="str">
        <f t="shared" si="2"/>
        <v>Collins</v>
      </c>
      <c r="D2255" s="13" t="str">
        <f t="shared" si="3"/>
        <v>#N/A</v>
      </c>
      <c r="E2255" s="1" t="s">
        <v>69</v>
      </c>
    </row>
    <row r="2256" ht="15.75" customHeight="1">
      <c r="A2256" s="1" t="s">
        <v>2469</v>
      </c>
      <c r="B2256" s="13" t="str">
        <f t="shared" si="1"/>
        <v>Nico</v>
      </c>
      <c r="C2256" s="13" t="str">
        <f t="shared" si="2"/>
        <v>Evans</v>
      </c>
      <c r="D2256" s="13" t="str">
        <f t="shared" si="3"/>
        <v>#N/A</v>
      </c>
      <c r="E2256" s="1" t="s">
        <v>66</v>
      </c>
    </row>
    <row r="2257" ht="15.75" customHeight="1">
      <c r="A2257" s="1" t="s">
        <v>2470</v>
      </c>
      <c r="B2257" s="13" t="str">
        <f t="shared" si="1"/>
        <v>Nigel</v>
      </c>
      <c r="C2257" s="13" t="str">
        <f t="shared" si="2"/>
        <v>King</v>
      </c>
      <c r="D2257" s="13" t="str">
        <f t="shared" si="3"/>
        <v>#N/A</v>
      </c>
      <c r="E2257" s="1" t="s">
        <v>69</v>
      </c>
    </row>
    <row r="2258" ht="15.75" customHeight="1">
      <c r="A2258" s="1" t="s">
        <v>2471</v>
      </c>
      <c r="B2258" s="13" t="str">
        <f t="shared" si="1"/>
        <v>Niles</v>
      </c>
      <c r="C2258" s="13" t="str">
        <f t="shared" si="2"/>
        <v>Paul</v>
      </c>
      <c r="D2258" s="13" t="str">
        <f t="shared" si="3"/>
        <v>#N/A</v>
      </c>
      <c r="E2258" s="1" t="s">
        <v>68</v>
      </c>
    </row>
    <row r="2259" ht="15.75" customHeight="1">
      <c r="A2259" s="1" t="s">
        <v>566</v>
      </c>
      <c r="B2259" s="13" t="str">
        <f t="shared" si="1"/>
        <v>N'Keal</v>
      </c>
      <c r="C2259" s="13" t="str">
        <f t="shared" si="2"/>
        <v>Harry</v>
      </c>
      <c r="D2259" s="13" t="str">
        <f t="shared" si="3"/>
        <v>#N/A</v>
      </c>
      <c r="E2259" s="1" t="s">
        <v>69</v>
      </c>
    </row>
    <row r="2260" ht="15.75" customHeight="1">
      <c r="A2260" s="1" t="s">
        <v>2472</v>
      </c>
      <c r="B2260" s="13" t="str">
        <f t="shared" si="1"/>
        <v>Noah</v>
      </c>
      <c r="C2260" s="13" t="str">
        <f t="shared" si="2"/>
        <v>Brown</v>
      </c>
      <c r="D2260" s="13" t="str">
        <f t="shared" si="3"/>
        <v>#N/A</v>
      </c>
      <c r="E2260" s="1" t="s">
        <v>69</v>
      </c>
    </row>
    <row r="2261" ht="15.75" customHeight="1">
      <c r="A2261" s="1" t="s">
        <v>2473</v>
      </c>
      <c r="B2261" s="13" t="str">
        <f t="shared" si="1"/>
        <v>Noah</v>
      </c>
      <c r="C2261" s="13" t="str">
        <f t="shared" si="2"/>
        <v>Cain</v>
      </c>
      <c r="D2261" s="13" t="str">
        <f t="shared" si="3"/>
        <v>#N/A</v>
      </c>
      <c r="E2261" s="1" t="s">
        <v>66</v>
      </c>
    </row>
    <row r="2262" ht="15.75" customHeight="1">
      <c r="A2262" s="1" t="s">
        <v>315</v>
      </c>
      <c r="B2262" s="13" t="str">
        <f t="shared" si="1"/>
        <v>Noah</v>
      </c>
      <c r="C2262" s="13" t="str">
        <f t="shared" si="2"/>
        <v>Fant</v>
      </c>
      <c r="D2262" s="13" t="str">
        <f t="shared" si="3"/>
        <v>#N/A</v>
      </c>
      <c r="E2262" s="1" t="s">
        <v>68</v>
      </c>
    </row>
    <row r="2263" ht="15.75" customHeight="1">
      <c r="A2263" s="1" t="s">
        <v>2474</v>
      </c>
      <c r="B2263" s="13" t="str">
        <f t="shared" si="1"/>
        <v>Noah</v>
      </c>
      <c r="C2263" s="13" t="str">
        <f t="shared" si="2"/>
        <v>Gray</v>
      </c>
      <c r="D2263" s="13" t="str">
        <f t="shared" si="3"/>
        <v>#N/A</v>
      </c>
      <c r="E2263" s="1" t="s">
        <v>68</v>
      </c>
    </row>
    <row r="2264" ht="15.75" customHeight="1">
      <c r="A2264" s="1" t="s">
        <v>2475</v>
      </c>
      <c r="B2264" s="13" t="str">
        <f t="shared" si="1"/>
        <v>Noah</v>
      </c>
      <c r="C2264" s="13" t="str">
        <f t="shared" si="2"/>
        <v>Togiai</v>
      </c>
      <c r="D2264" s="13" t="str">
        <f t="shared" si="3"/>
        <v>#N/A</v>
      </c>
      <c r="E2264" s="1" t="s">
        <v>68</v>
      </c>
    </row>
    <row r="2265" ht="15.75" customHeight="1">
      <c r="A2265" s="1" t="s">
        <v>2476</v>
      </c>
      <c r="B2265" s="13" t="str">
        <f t="shared" si="1"/>
        <v>Noel</v>
      </c>
      <c r="C2265" s="13" t="str">
        <f t="shared" si="2"/>
        <v>Grigsby</v>
      </c>
      <c r="D2265" s="13" t="str">
        <f t="shared" si="3"/>
        <v>#N/A</v>
      </c>
      <c r="E2265" s="1" t="s">
        <v>69</v>
      </c>
    </row>
    <row r="2266" ht="15.75" customHeight="1">
      <c r="A2266" s="1" t="s">
        <v>2477</v>
      </c>
      <c r="B2266" s="13" t="str">
        <f t="shared" si="1"/>
        <v>Noel</v>
      </c>
      <c r="C2266" s="13" t="str">
        <f t="shared" si="2"/>
        <v>Thomas</v>
      </c>
      <c r="D2266" s="13" t="str">
        <f t="shared" si="3"/>
        <v>#N/A</v>
      </c>
      <c r="E2266" s="1" t="s">
        <v>69</v>
      </c>
    </row>
    <row r="2267" ht="15.75" customHeight="1">
      <c r="A2267" s="1" t="s">
        <v>2478</v>
      </c>
      <c r="B2267" s="13" t="str">
        <f t="shared" si="1"/>
        <v>Nsimba</v>
      </c>
      <c r="C2267" s="13" t="str">
        <f t="shared" si="2"/>
        <v>Webster</v>
      </c>
      <c r="D2267" s="13" t="str">
        <f t="shared" si="3"/>
        <v>#N/A</v>
      </c>
      <c r="E2267" s="1" t="s">
        <v>69</v>
      </c>
    </row>
    <row r="2268" ht="15.75" customHeight="1">
      <c r="A2268" s="1" t="s">
        <v>102</v>
      </c>
      <c r="B2268" s="13" t="str">
        <f t="shared" si="1"/>
        <v>Nyheim</v>
      </c>
      <c r="C2268" s="13" t="str">
        <f t="shared" si="2"/>
        <v>Hines</v>
      </c>
      <c r="D2268" s="13" t="str">
        <f t="shared" si="3"/>
        <v>#N/A</v>
      </c>
      <c r="E2268" s="1" t="s">
        <v>66</v>
      </c>
    </row>
    <row r="2269" ht="15.75" customHeight="1">
      <c r="A2269" s="1" t="s">
        <v>2479</v>
      </c>
      <c r="B2269" s="13" t="str">
        <f t="shared" si="1"/>
        <v>Nyqwan</v>
      </c>
      <c r="C2269" s="13" t="str">
        <f t="shared" si="2"/>
        <v>Murray</v>
      </c>
      <c r="D2269" s="13" t="str">
        <f t="shared" si="3"/>
        <v>#N/A</v>
      </c>
      <c r="E2269" s="1" t="s">
        <v>69</v>
      </c>
    </row>
    <row r="2270" ht="15.75" customHeight="1">
      <c r="A2270" s="1" t="s">
        <v>932</v>
      </c>
      <c r="B2270" s="13" t="str">
        <f t="shared" si="1"/>
        <v>OJ</v>
      </c>
      <c r="C2270" s="13" t="str">
        <f t="shared" si="2"/>
        <v>Howard</v>
      </c>
      <c r="D2270" s="13" t="str">
        <f t="shared" si="3"/>
        <v>#N/A</v>
      </c>
      <c r="E2270" s="1" t="s">
        <v>68</v>
      </c>
    </row>
    <row r="2271" ht="15.75" customHeight="1">
      <c r="A2271" s="1" t="s">
        <v>2480</v>
      </c>
      <c r="B2271" s="13" t="str">
        <f t="shared" si="1"/>
        <v>Odell</v>
      </c>
      <c r="C2271" s="13" t="str">
        <f t="shared" si="2"/>
        <v>Beckham</v>
      </c>
      <c r="D2271" s="13" t="str">
        <f t="shared" si="3"/>
        <v>#N/A</v>
      </c>
      <c r="E2271" s="1" t="s">
        <v>69</v>
      </c>
    </row>
    <row r="2272" ht="15.75" customHeight="1">
      <c r="A2272" s="1" t="s">
        <v>2481</v>
      </c>
      <c r="B2272" s="13" t="str">
        <f t="shared" si="1"/>
        <v>Olabisi</v>
      </c>
      <c r="C2272" s="13" t="str">
        <f t="shared" si="2"/>
        <v>Johnson</v>
      </c>
      <c r="D2272" s="13" t="str">
        <f t="shared" si="3"/>
        <v>#N/A</v>
      </c>
      <c r="E2272" s="1" t="s">
        <v>69</v>
      </c>
    </row>
    <row r="2273" ht="15.75" customHeight="1">
      <c r="A2273" s="1" t="s">
        <v>2482</v>
      </c>
      <c r="B2273" s="13" t="str">
        <f t="shared" si="1"/>
        <v>Olamide</v>
      </c>
      <c r="C2273" s="13" t="str">
        <f t="shared" si="2"/>
        <v>Zaccheaus</v>
      </c>
      <c r="D2273" s="13" t="str">
        <f t="shared" si="3"/>
        <v>#N/A</v>
      </c>
      <c r="E2273" s="1" t="s">
        <v>69</v>
      </c>
    </row>
    <row r="2274" ht="15.75" customHeight="1">
      <c r="A2274" s="1" t="s">
        <v>2483</v>
      </c>
      <c r="B2274" s="13" t="str">
        <f t="shared" si="1"/>
        <v>Omar</v>
      </c>
      <c r="C2274" s="13" t="str">
        <f t="shared" si="2"/>
        <v>Bayless</v>
      </c>
      <c r="D2274" s="13" t="str">
        <f t="shared" si="3"/>
        <v>#N/A</v>
      </c>
      <c r="E2274" s="1" t="s">
        <v>69</v>
      </c>
    </row>
    <row r="2275" ht="15.75" customHeight="1">
      <c r="A2275" s="1" t="s">
        <v>2484</v>
      </c>
      <c r="B2275" s="13" t="str">
        <f t="shared" si="1"/>
        <v>Orleans</v>
      </c>
      <c r="C2275" s="13" t="str">
        <f t="shared" si="2"/>
        <v>Darkwa</v>
      </c>
      <c r="D2275" s="13" t="str">
        <f t="shared" si="3"/>
        <v>#N/A</v>
      </c>
      <c r="E2275" s="1" t="s">
        <v>66</v>
      </c>
    </row>
    <row r="2276" ht="15.75" customHeight="1">
      <c r="A2276" s="1" t="s">
        <v>2485</v>
      </c>
      <c r="B2276" s="13" t="str">
        <f t="shared" si="1"/>
        <v>Orson</v>
      </c>
      <c r="C2276" s="13" t="str">
        <f t="shared" si="2"/>
        <v>Charles</v>
      </c>
      <c r="D2276" s="13" t="str">
        <f t="shared" si="3"/>
        <v>#N/A</v>
      </c>
      <c r="E2276" s="1" t="s">
        <v>68</v>
      </c>
    </row>
    <row r="2277" ht="15.75" customHeight="1">
      <c r="A2277" s="1" t="s">
        <v>2486</v>
      </c>
      <c r="B2277" s="13" t="str">
        <f t="shared" si="1"/>
        <v>Osirus</v>
      </c>
      <c r="C2277" s="13" t="str">
        <f t="shared" si="2"/>
        <v>Mitchell</v>
      </c>
      <c r="D2277" s="13" t="str">
        <f t="shared" si="3"/>
        <v>#N/A</v>
      </c>
      <c r="E2277" s="1" t="s">
        <v>69</v>
      </c>
    </row>
    <row r="2278" ht="15.75" customHeight="1">
      <c r="A2278" s="1" t="s">
        <v>2487</v>
      </c>
      <c r="B2278" s="13" t="str">
        <f t="shared" si="1"/>
        <v>Otis</v>
      </c>
      <c r="C2278" s="13" t="str">
        <f t="shared" si="2"/>
        <v>Anderson</v>
      </c>
      <c r="D2278" s="13" t="str">
        <f t="shared" si="3"/>
        <v>#N/A</v>
      </c>
      <c r="E2278" s="1" t="s">
        <v>66</v>
      </c>
    </row>
    <row r="2279" ht="15.75" customHeight="1">
      <c r="A2279" s="1" t="s">
        <v>2488</v>
      </c>
      <c r="B2279" s="13" t="str">
        <f t="shared" si="1"/>
        <v>Owen</v>
      </c>
      <c r="C2279" s="13" t="str">
        <f t="shared" si="2"/>
        <v>Daniels</v>
      </c>
      <c r="D2279" s="13" t="str">
        <f t="shared" si="3"/>
        <v>#N/A</v>
      </c>
      <c r="E2279" s="1" t="s">
        <v>68</v>
      </c>
    </row>
    <row r="2280" ht="15.75" customHeight="1">
      <c r="A2280" s="1" t="s">
        <v>2489</v>
      </c>
      <c r="B2280" s="13" t="str">
        <f t="shared" si="1"/>
        <v>PJ</v>
      </c>
      <c r="C2280" s="13" t="str">
        <f t="shared" si="2"/>
        <v>Walker</v>
      </c>
      <c r="D2280" s="13" t="str">
        <f t="shared" si="3"/>
        <v>#N/A</v>
      </c>
      <c r="E2280" s="1" t="s">
        <v>65</v>
      </c>
    </row>
    <row r="2281" ht="15.75" customHeight="1">
      <c r="A2281" s="1" t="s">
        <v>2490</v>
      </c>
      <c r="B2281" s="13" t="str">
        <f t="shared" si="1"/>
        <v>Papi</v>
      </c>
      <c r="C2281" s="13" t="str">
        <f t="shared" si="2"/>
        <v>White</v>
      </c>
      <c r="D2281" s="13" t="str">
        <f t="shared" si="3"/>
        <v>#N/A</v>
      </c>
      <c r="E2281" s="1" t="s">
        <v>69</v>
      </c>
    </row>
    <row r="2282" ht="15.75" customHeight="1">
      <c r="A2282" s="1" t="s">
        <v>2491</v>
      </c>
      <c r="B2282" s="13" t="str">
        <f t="shared" si="1"/>
        <v>Parker</v>
      </c>
      <c r="C2282" s="13" t="str">
        <f t="shared" si="2"/>
        <v>Hesse</v>
      </c>
      <c r="D2282" s="13" t="str">
        <f t="shared" si="3"/>
        <v>#N/A</v>
      </c>
      <c r="E2282" s="1" t="s">
        <v>68</v>
      </c>
    </row>
    <row r="2283" ht="15.75" customHeight="1">
      <c r="A2283" s="1" t="s">
        <v>2492</v>
      </c>
      <c r="B2283" s="13" t="str">
        <f t="shared" si="1"/>
        <v>Parker</v>
      </c>
      <c r="C2283" s="13" t="str">
        <f t="shared" si="2"/>
        <v>Washington</v>
      </c>
      <c r="D2283" s="13" t="str">
        <f t="shared" si="3"/>
        <v>#N/A</v>
      </c>
      <c r="E2283" s="1" t="s">
        <v>69</v>
      </c>
    </row>
    <row r="2284" ht="15.75" customHeight="1">
      <c r="A2284" s="1" t="s">
        <v>104</v>
      </c>
      <c r="B2284" s="13" t="str">
        <f t="shared" si="1"/>
        <v>Parris</v>
      </c>
      <c r="C2284" s="13" t="str">
        <f t="shared" si="2"/>
        <v>Campbell</v>
      </c>
      <c r="D2284" s="13" t="str">
        <f t="shared" si="3"/>
        <v>#N/A</v>
      </c>
      <c r="E2284" s="1" t="s">
        <v>69</v>
      </c>
    </row>
    <row r="2285" ht="15.75" customHeight="1">
      <c r="A2285" s="1" t="s">
        <v>2493</v>
      </c>
      <c r="B2285" s="13" t="str">
        <f t="shared" si="1"/>
        <v>Pat</v>
      </c>
      <c r="C2285" s="13" t="str">
        <f t="shared" si="2"/>
        <v>Devlin</v>
      </c>
      <c r="D2285" s="13" t="str">
        <f t="shared" si="3"/>
        <v>#N/A</v>
      </c>
      <c r="E2285" s="1" t="s">
        <v>65</v>
      </c>
    </row>
    <row r="2286" ht="15.75" customHeight="1">
      <c r="A2286" s="1" t="s">
        <v>2494</v>
      </c>
      <c r="B2286" s="13" t="str">
        <f t="shared" si="1"/>
        <v>Pat</v>
      </c>
      <c r="C2286" s="13" t="str">
        <f t="shared" si="2"/>
        <v>Freiermuth</v>
      </c>
      <c r="D2286" s="13" t="str">
        <f t="shared" si="3"/>
        <v>#N/A</v>
      </c>
      <c r="E2286" s="1" t="s">
        <v>68</v>
      </c>
    </row>
    <row r="2287" ht="15.75" customHeight="1">
      <c r="A2287" s="1" t="s">
        <v>2495</v>
      </c>
      <c r="B2287" s="13" t="str">
        <f t="shared" si="1"/>
        <v>Pat</v>
      </c>
      <c r="C2287" s="13" t="str">
        <f t="shared" si="2"/>
        <v>Garwo III</v>
      </c>
      <c r="D2287" s="13" t="str">
        <f t="shared" si="3"/>
        <v>#N/A</v>
      </c>
      <c r="E2287" s="1" t="s">
        <v>66</v>
      </c>
    </row>
    <row r="2288" ht="15.75" customHeight="1">
      <c r="A2288" s="1" t="s">
        <v>2496</v>
      </c>
      <c r="B2288" s="13" t="str">
        <f t="shared" si="1"/>
        <v>Patrick</v>
      </c>
      <c r="C2288" s="13" t="str">
        <f t="shared" si="2"/>
        <v>DiMarco</v>
      </c>
      <c r="D2288" s="13" t="str">
        <f t="shared" si="3"/>
        <v>#N/A</v>
      </c>
      <c r="E2288" s="1" t="s">
        <v>66</v>
      </c>
    </row>
    <row r="2289" ht="15.75" customHeight="1">
      <c r="A2289" s="1" t="s">
        <v>2497</v>
      </c>
      <c r="B2289" s="13" t="str">
        <f t="shared" si="1"/>
        <v>Patrick</v>
      </c>
      <c r="C2289" s="13" t="str">
        <f t="shared" si="2"/>
        <v>Edwards</v>
      </c>
      <c r="D2289" s="13" t="str">
        <f t="shared" si="3"/>
        <v>#N/A</v>
      </c>
      <c r="E2289" s="1" t="s">
        <v>69</v>
      </c>
    </row>
    <row r="2290" ht="15.75" customHeight="1">
      <c r="A2290" s="1" t="s">
        <v>2498</v>
      </c>
      <c r="B2290" s="13" t="str">
        <f t="shared" si="1"/>
        <v>Patrick</v>
      </c>
      <c r="C2290" s="13" t="str">
        <f t="shared" si="2"/>
        <v>Laird</v>
      </c>
      <c r="D2290" s="13" t="str">
        <f t="shared" si="3"/>
        <v>#N/A</v>
      </c>
      <c r="E2290" s="1" t="s">
        <v>66</v>
      </c>
    </row>
    <row r="2291" ht="15.75" customHeight="1">
      <c r="A2291" s="1" t="s">
        <v>110</v>
      </c>
      <c r="B2291" s="13" t="str">
        <f t="shared" si="1"/>
        <v>Patrick</v>
      </c>
      <c r="C2291" s="13" t="str">
        <f t="shared" si="2"/>
        <v>Mahomes</v>
      </c>
      <c r="D2291" s="13" t="str">
        <f t="shared" si="3"/>
        <v>#N/A</v>
      </c>
      <c r="E2291" s="1" t="s">
        <v>65</v>
      </c>
    </row>
    <row r="2292" ht="15.75" customHeight="1">
      <c r="A2292" s="1" t="s">
        <v>2499</v>
      </c>
      <c r="B2292" s="13" t="str">
        <f t="shared" si="1"/>
        <v>Patrick</v>
      </c>
      <c r="C2292" s="13" t="str">
        <f t="shared" si="2"/>
        <v>Taylor</v>
      </c>
      <c r="D2292" s="13" t="str">
        <f t="shared" si="3"/>
        <v>#N/A</v>
      </c>
      <c r="E2292" s="1" t="s">
        <v>66</v>
      </c>
    </row>
    <row r="2293" ht="15.75" customHeight="1">
      <c r="A2293" s="1" t="s">
        <v>2500</v>
      </c>
      <c r="B2293" s="13" t="str">
        <f t="shared" si="1"/>
        <v>Paul</v>
      </c>
      <c r="C2293" s="13" t="str">
        <f t="shared" si="2"/>
        <v>Butler</v>
      </c>
      <c r="D2293" s="13" t="str">
        <f t="shared" si="3"/>
        <v>#N/A</v>
      </c>
      <c r="E2293" s="1" t="s">
        <v>68</v>
      </c>
    </row>
    <row r="2294" ht="15.75" customHeight="1">
      <c r="A2294" s="1" t="s">
        <v>2501</v>
      </c>
      <c r="B2294" s="13" t="str">
        <f t="shared" si="1"/>
        <v>Paul</v>
      </c>
      <c r="C2294" s="13" t="str">
        <f t="shared" si="2"/>
        <v>Lucas</v>
      </c>
      <c r="D2294" s="13" t="str">
        <f t="shared" si="3"/>
        <v>#N/A</v>
      </c>
      <c r="E2294" s="1" t="s">
        <v>66</v>
      </c>
    </row>
    <row r="2295" ht="15.75" customHeight="1">
      <c r="A2295" s="1" t="s">
        <v>2502</v>
      </c>
      <c r="B2295" s="13" t="str">
        <f t="shared" si="1"/>
        <v>Paul</v>
      </c>
      <c r="C2295" s="13" t="str">
        <f t="shared" si="2"/>
        <v>McRoberts</v>
      </c>
      <c r="D2295" s="13" t="str">
        <f t="shared" si="3"/>
        <v>#N/A</v>
      </c>
      <c r="E2295" s="1" t="s">
        <v>69</v>
      </c>
    </row>
    <row r="2296" ht="15.75" customHeight="1">
      <c r="A2296" s="1" t="s">
        <v>1703</v>
      </c>
      <c r="B2296" s="13" t="str">
        <f t="shared" si="1"/>
        <v>Paul</v>
      </c>
      <c r="C2296" s="13" t="str">
        <f t="shared" si="2"/>
        <v>Perkins</v>
      </c>
      <c r="D2296" s="13" t="str">
        <f t="shared" si="3"/>
        <v>#N/A</v>
      </c>
      <c r="E2296" s="1" t="s">
        <v>66</v>
      </c>
    </row>
    <row r="2297" ht="15.75" customHeight="1">
      <c r="A2297" s="1" t="s">
        <v>2503</v>
      </c>
      <c r="B2297" s="13" t="str">
        <f t="shared" si="1"/>
        <v>Paul</v>
      </c>
      <c r="C2297" s="13" t="str">
        <f t="shared" si="2"/>
        <v>Richardson</v>
      </c>
      <c r="D2297" s="13" t="str">
        <f t="shared" si="3"/>
        <v>#N/A</v>
      </c>
      <c r="E2297" s="1" t="s">
        <v>69</v>
      </c>
    </row>
    <row r="2298" ht="15.75" customHeight="1">
      <c r="A2298" s="1" t="s">
        <v>2504</v>
      </c>
      <c r="B2298" s="13" t="str">
        <f t="shared" si="1"/>
        <v>Paul</v>
      </c>
      <c r="C2298" s="13" t="str">
        <f t="shared" si="2"/>
        <v>Turner</v>
      </c>
      <c r="D2298" s="13" t="str">
        <f t="shared" si="3"/>
        <v>#N/A</v>
      </c>
      <c r="E2298" s="1" t="s">
        <v>69</v>
      </c>
    </row>
    <row r="2299" ht="15.75" customHeight="1">
      <c r="A2299" s="1" t="s">
        <v>2505</v>
      </c>
      <c r="B2299" s="13" t="str">
        <f t="shared" si="1"/>
        <v>Paxton</v>
      </c>
      <c r="C2299" s="13" t="str">
        <f t="shared" si="2"/>
        <v>Lynch</v>
      </c>
      <c r="D2299" s="13" t="str">
        <f t="shared" si="3"/>
        <v>#N/A</v>
      </c>
      <c r="E2299" s="1" t="s">
        <v>65</v>
      </c>
    </row>
    <row r="2300" ht="15.75" customHeight="1">
      <c r="A2300" s="1" t="s">
        <v>2506</v>
      </c>
      <c r="B2300" s="13" t="str">
        <f t="shared" si="1"/>
        <v>Penny</v>
      </c>
      <c r="C2300" s="13" t="str">
        <f t="shared" si="2"/>
        <v>Hart</v>
      </c>
      <c r="D2300" s="13" t="str">
        <f t="shared" si="3"/>
        <v>#N/A</v>
      </c>
      <c r="E2300" s="1" t="s">
        <v>69</v>
      </c>
    </row>
    <row r="2301" ht="15.75" customHeight="1">
      <c r="A2301" s="1" t="s">
        <v>2507</v>
      </c>
      <c r="B2301" s="13" t="str">
        <f t="shared" si="1"/>
        <v>Percy</v>
      </c>
      <c r="C2301" s="13" t="str">
        <f t="shared" si="2"/>
        <v>Harvin</v>
      </c>
      <c r="D2301" s="13" t="str">
        <f t="shared" si="3"/>
        <v>#N/A</v>
      </c>
      <c r="E2301" s="1" t="s">
        <v>69</v>
      </c>
    </row>
    <row r="2302" ht="15.75" customHeight="1">
      <c r="A2302" s="1" t="s">
        <v>2508</v>
      </c>
      <c r="B2302" s="13" t="str">
        <f t="shared" si="1"/>
        <v>Pete</v>
      </c>
      <c r="C2302" s="13" t="str">
        <f t="shared" si="2"/>
        <v>Guerriero</v>
      </c>
      <c r="D2302" s="13" t="str">
        <f t="shared" si="3"/>
        <v>#N/A</v>
      </c>
      <c r="E2302" s="1" t="s">
        <v>66</v>
      </c>
    </row>
    <row r="2303" ht="15.75" customHeight="1">
      <c r="A2303" s="1" t="s">
        <v>2509</v>
      </c>
      <c r="B2303" s="13" t="str">
        <f t="shared" si="1"/>
        <v>Peter</v>
      </c>
      <c r="C2303" s="13" t="str">
        <f t="shared" si="2"/>
        <v>Pujals</v>
      </c>
      <c r="D2303" s="13" t="str">
        <f t="shared" si="3"/>
        <v>#N/A</v>
      </c>
      <c r="E2303" s="1" t="s">
        <v>65</v>
      </c>
    </row>
    <row r="2304" ht="15.75" customHeight="1">
      <c r="A2304" s="1" t="s">
        <v>2510</v>
      </c>
      <c r="B2304" s="13" t="str">
        <f t="shared" si="1"/>
        <v>Peter</v>
      </c>
      <c r="C2304" s="13" t="str">
        <f t="shared" si="2"/>
        <v>Warrick</v>
      </c>
      <c r="D2304" s="13" t="str">
        <f t="shared" si="3"/>
        <v>#N/A</v>
      </c>
      <c r="E2304" s="1" t="s">
        <v>69</v>
      </c>
    </row>
    <row r="2305" ht="15.75" customHeight="1">
      <c r="A2305" s="1" t="s">
        <v>1007</v>
      </c>
      <c r="B2305" s="13" t="str">
        <f t="shared" si="1"/>
        <v>Peyton</v>
      </c>
      <c r="C2305" s="13" t="str">
        <f t="shared" si="2"/>
        <v>Barber</v>
      </c>
      <c r="D2305" s="13" t="str">
        <f t="shared" si="3"/>
        <v>#N/A</v>
      </c>
      <c r="E2305" s="1" t="s">
        <v>66</v>
      </c>
    </row>
    <row r="2306" ht="15.75" customHeight="1">
      <c r="A2306" s="1" t="s">
        <v>2511</v>
      </c>
      <c r="B2306" s="13" t="str">
        <f t="shared" si="1"/>
        <v>Peyton</v>
      </c>
      <c r="C2306" s="13" t="str">
        <f t="shared" si="2"/>
        <v>Hendershot</v>
      </c>
      <c r="D2306" s="13" t="str">
        <f t="shared" si="3"/>
        <v>#N/A</v>
      </c>
      <c r="E2306" s="1" t="s">
        <v>68</v>
      </c>
    </row>
    <row r="2307" ht="15.75" customHeight="1">
      <c r="A2307" s="1" t="s">
        <v>2512</v>
      </c>
      <c r="B2307" s="13" t="str">
        <f t="shared" si="1"/>
        <v>Peyton</v>
      </c>
      <c r="C2307" s="13" t="str">
        <f t="shared" si="2"/>
        <v>Hillis</v>
      </c>
      <c r="D2307" s="13" t="str">
        <f t="shared" si="3"/>
        <v>#N/A</v>
      </c>
      <c r="E2307" s="1" t="s">
        <v>66</v>
      </c>
    </row>
    <row r="2308" ht="15.75" customHeight="1">
      <c r="A2308" s="1" t="s">
        <v>2513</v>
      </c>
      <c r="B2308" s="13" t="str">
        <f t="shared" si="1"/>
        <v>Peyton</v>
      </c>
      <c r="C2308" s="13" t="str">
        <f t="shared" si="2"/>
        <v>Manning</v>
      </c>
      <c r="D2308" s="13" t="str">
        <f t="shared" si="3"/>
        <v>#N/A</v>
      </c>
      <c r="E2308" s="1" t="s">
        <v>65</v>
      </c>
    </row>
    <row r="2309" ht="15.75" customHeight="1">
      <c r="A2309" s="1" t="s">
        <v>2514</v>
      </c>
      <c r="B2309" s="13" t="str">
        <f t="shared" si="1"/>
        <v>Peyton</v>
      </c>
      <c r="C2309" s="13" t="str">
        <f t="shared" si="2"/>
        <v>Ramsey</v>
      </c>
      <c r="D2309" s="13" t="str">
        <f t="shared" si="3"/>
        <v>#N/A</v>
      </c>
      <c r="E2309" s="1" t="s">
        <v>65</v>
      </c>
    </row>
    <row r="2310" ht="15.75" customHeight="1">
      <c r="A2310" s="1" t="s">
        <v>2515</v>
      </c>
      <c r="B2310" s="13" t="str">
        <f t="shared" si="1"/>
        <v>Pharaoh</v>
      </c>
      <c r="C2310" s="13" t="str">
        <f t="shared" si="2"/>
        <v>Brown</v>
      </c>
      <c r="D2310" s="13" t="str">
        <f t="shared" si="3"/>
        <v>#N/A</v>
      </c>
      <c r="E2310" s="1" t="s">
        <v>68</v>
      </c>
    </row>
    <row r="2311" ht="15.75" customHeight="1">
      <c r="A2311" s="1" t="s">
        <v>2516</v>
      </c>
      <c r="B2311" s="13" t="str">
        <f t="shared" si="1"/>
        <v>Pharoah</v>
      </c>
      <c r="C2311" s="13" t="str">
        <f t="shared" si="2"/>
        <v>McKever</v>
      </c>
      <c r="D2311" s="13" t="str">
        <f t="shared" si="3"/>
        <v>#N/A</v>
      </c>
      <c r="E2311" s="1" t="s">
        <v>68</v>
      </c>
    </row>
    <row r="2312" ht="15.75" customHeight="1">
      <c r="A2312" s="1" t="s">
        <v>2517</v>
      </c>
      <c r="B2312" s="13" t="str">
        <f t="shared" si="1"/>
        <v>Pharoh</v>
      </c>
      <c r="C2312" s="13" t="str">
        <f t="shared" si="2"/>
        <v>Cooper</v>
      </c>
      <c r="D2312" s="13" t="str">
        <f t="shared" si="3"/>
        <v>#N/A</v>
      </c>
      <c r="E2312" s="1" t="s">
        <v>69</v>
      </c>
    </row>
    <row r="2313" ht="15.75" customHeight="1">
      <c r="A2313" s="1" t="s">
        <v>2518</v>
      </c>
      <c r="B2313" s="13" t="str">
        <f t="shared" si="1"/>
        <v>Phazahn</v>
      </c>
      <c r="C2313" s="13" t="str">
        <f t="shared" si="2"/>
        <v>Odom</v>
      </c>
      <c r="D2313" s="13" t="str">
        <f t="shared" si="3"/>
        <v>#N/A</v>
      </c>
      <c r="E2313" s="1" t="s">
        <v>68</v>
      </c>
    </row>
    <row r="2314" ht="15.75" customHeight="1">
      <c r="A2314" s="1" t="s">
        <v>2519</v>
      </c>
      <c r="B2314" s="13" t="str">
        <f t="shared" si="1"/>
        <v>Phil</v>
      </c>
      <c r="C2314" s="13" t="str">
        <f t="shared" si="2"/>
        <v>Bates</v>
      </c>
      <c r="D2314" s="13" t="str">
        <f t="shared" si="3"/>
        <v>#N/A</v>
      </c>
      <c r="E2314" s="1" t="s">
        <v>69</v>
      </c>
    </row>
    <row r="2315" ht="15.75" customHeight="1">
      <c r="A2315" s="1" t="s">
        <v>2520</v>
      </c>
      <c r="B2315" s="13" t="str">
        <f t="shared" si="1"/>
        <v>Phil</v>
      </c>
      <c r="C2315" s="13" t="str">
        <f t="shared" si="2"/>
        <v>Jurkovec</v>
      </c>
      <c r="D2315" s="13" t="str">
        <f t="shared" si="3"/>
        <v>#N/A</v>
      </c>
      <c r="E2315" s="1" t="s">
        <v>65</v>
      </c>
    </row>
    <row r="2316" ht="15.75" customHeight="1">
      <c r="A2316" s="1" t="s">
        <v>573</v>
      </c>
      <c r="B2316" s="13" t="str">
        <f t="shared" si="1"/>
        <v>#VALUE!</v>
      </c>
      <c r="C2316" s="13" t="str">
        <f t="shared" si="2"/>
        <v>#VALUE!</v>
      </c>
      <c r="D2316" s="13" t="str">
        <f t="shared" si="3"/>
        <v>#N/A</v>
      </c>
      <c r="E2316" s="1" t="s">
        <v>63</v>
      </c>
    </row>
    <row r="2317" ht="15.75" customHeight="1">
      <c r="A2317" s="1" t="s">
        <v>862</v>
      </c>
      <c r="B2317" s="13" t="str">
        <f t="shared" si="1"/>
        <v>Philip</v>
      </c>
      <c r="C2317" s="13" t="str">
        <f t="shared" si="2"/>
        <v>Rivers</v>
      </c>
      <c r="D2317" s="13" t="str">
        <f t="shared" si="3"/>
        <v>#N/A</v>
      </c>
      <c r="E2317" s="1" t="s">
        <v>65</v>
      </c>
    </row>
    <row r="2318" ht="15.75" customHeight="1">
      <c r="A2318" s="1" t="s">
        <v>2521</v>
      </c>
      <c r="B2318" s="13" t="str">
        <f t="shared" si="1"/>
        <v>Phillip</v>
      </c>
      <c r="C2318" s="13" t="str">
        <f t="shared" si="2"/>
        <v>Dorsett</v>
      </c>
      <c r="D2318" s="13" t="str">
        <f t="shared" si="3"/>
        <v>#N/A</v>
      </c>
      <c r="E2318" s="1" t="s">
        <v>69</v>
      </c>
    </row>
    <row r="2319" ht="15.75" customHeight="1">
      <c r="A2319" s="1" t="s">
        <v>620</v>
      </c>
      <c r="B2319" s="13" t="str">
        <f t="shared" si="1"/>
        <v>Phillip</v>
      </c>
      <c r="C2319" s="13" t="str">
        <f t="shared" si="2"/>
        <v>Lindsay</v>
      </c>
      <c r="D2319" s="13" t="str">
        <f t="shared" si="3"/>
        <v>#N/A</v>
      </c>
      <c r="E2319" s="1" t="s">
        <v>66</v>
      </c>
    </row>
    <row r="2320" ht="15.75" customHeight="1">
      <c r="A2320" s="1" t="s">
        <v>2522</v>
      </c>
      <c r="B2320" s="13" t="str">
        <f t="shared" si="1"/>
        <v>Phillip</v>
      </c>
      <c r="C2320" s="13" t="str">
        <f t="shared" si="2"/>
        <v>Supernaw</v>
      </c>
      <c r="D2320" s="13" t="str">
        <f t="shared" si="3"/>
        <v>#N/A</v>
      </c>
      <c r="E2320" s="1" t="s">
        <v>68</v>
      </c>
    </row>
    <row r="2321" ht="15.75" customHeight="1">
      <c r="A2321" s="1" t="s">
        <v>2523</v>
      </c>
      <c r="B2321" s="13" t="str">
        <f t="shared" si="1"/>
        <v>Phillip</v>
      </c>
      <c r="C2321" s="13" t="str">
        <f t="shared" si="2"/>
        <v>Tanner</v>
      </c>
      <c r="D2321" s="13" t="str">
        <f t="shared" si="3"/>
        <v>#N/A</v>
      </c>
      <c r="E2321" s="1" t="s">
        <v>66</v>
      </c>
    </row>
    <row r="2322" ht="15.75" customHeight="1">
      <c r="A2322" s="1" t="s">
        <v>1312</v>
      </c>
      <c r="B2322" s="13" t="str">
        <f t="shared" si="1"/>
        <v>Pierre</v>
      </c>
      <c r="C2322" s="13" t="str">
        <f t="shared" si="2"/>
        <v>Garcon</v>
      </c>
      <c r="D2322" s="13" t="str">
        <f t="shared" si="3"/>
        <v>#N/A</v>
      </c>
      <c r="E2322" s="1" t="s">
        <v>69</v>
      </c>
    </row>
    <row r="2323" ht="15.75" customHeight="1">
      <c r="A2323" s="1" t="s">
        <v>2524</v>
      </c>
      <c r="B2323" s="13" t="str">
        <f t="shared" si="1"/>
        <v>Pierre</v>
      </c>
      <c r="C2323" s="13" t="str">
        <f t="shared" si="2"/>
        <v>Strong</v>
      </c>
      <c r="D2323" s="13" t="str">
        <f t="shared" si="3"/>
        <v>#N/A</v>
      </c>
      <c r="E2323" s="1" t="s">
        <v>66</v>
      </c>
    </row>
    <row r="2324" ht="15.75" customHeight="1">
      <c r="A2324" s="1" t="s">
        <v>2525</v>
      </c>
      <c r="B2324" s="13" t="str">
        <f t="shared" si="1"/>
        <v>Pierre</v>
      </c>
      <c r="C2324" s="13" t="str">
        <f t="shared" si="2"/>
        <v>Thomas</v>
      </c>
      <c r="D2324" s="13" t="str">
        <f t="shared" si="3"/>
        <v>#N/A</v>
      </c>
      <c r="E2324" s="1" t="s">
        <v>66</v>
      </c>
    </row>
    <row r="2325" ht="15.75" customHeight="1">
      <c r="A2325" s="1" t="s">
        <v>2526</v>
      </c>
      <c r="B2325" s="13" t="str">
        <f t="shared" si="1"/>
        <v>Pig</v>
      </c>
      <c r="C2325" s="13" t="str">
        <f t="shared" si="2"/>
        <v>Howard</v>
      </c>
      <c r="D2325" s="13" t="str">
        <f t="shared" si="3"/>
        <v>#N/A</v>
      </c>
      <c r="E2325" s="1" t="s">
        <v>69</v>
      </c>
    </row>
    <row r="2326" ht="15.75" customHeight="1">
      <c r="A2326" s="1" t="s">
        <v>132</v>
      </c>
      <c r="B2326" s="13" t="str">
        <f t="shared" si="1"/>
        <v>#VALUE!</v>
      </c>
      <c r="C2326" s="13" t="str">
        <f t="shared" si="2"/>
        <v>#VALUE!</v>
      </c>
      <c r="D2326" s="13" t="str">
        <f t="shared" si="3"/>
        <v>#N/A</v>
      </c>
      <c r="E2326" s="1" t="s">
        <v>63</v>
      </c>
    </row>
    <row r="2327" ht="15.75" customHeight="1">
      <c r="A2327" s="1" t="s">
        <v>1326</v>
      </c>
      <c r="B2327" s="13" t="str">
        <f t="shared" si="1"/>
        <v>Pittsburgh</v>
      </c>
      <c r="C2327" s="13" t="str">
        <f t="shared" si="2"/>
        <v/>
      </c>
      <c r="D2327" s="13" t="str">
        <f t="shared" si="3"/>
        <v>#N/A</v>
      </c>
      <c r="E2327" s="1" t="s">
        <v>63</v>
      </c>
    </row>
    <row r="2328" ht="15.75" customHeight="1">
      <c r="A2328" s="1" t="s">
        <v>2527</v>
      </c>
      <c r="B2328" s="13" t="str">
        <f t="shared" si="1"/>
        <v>Plaxico</v>
      </c>
      <c r="C2328" s="13" t="str">
        <f t="shared" si="2"/>
        <v>Burress</v>
      </c>
      <c r="D2328" s="13" t="str">
        <f t="shared" si="3"/>
        <v>#N/A</v>
      </c>
      <c r="E2328" s="1" t="s">
        <v>69</v>
      </c>
    </row>
    <row r="2329" ht="15.75" customHeight="1">
      <c r="A2329" s="1" t="s">
        <v>2528</v>
      </c>
      <c r="B2329" s="13" t="str">
        <f t="shared" si="1"/>
        <v>Pooka</v>
      </c>
      <c r="C2329" s="13" t="str">
        <f t="shared" si="2"/>
        <v>Williams</v>
      </c>
      <c r="D2329" s="13" t="str">
        <f t="shared" si="3"/>
        <v>#N/A</v>
      </c>
      <c r="E2329" s="1" t="s">
        <v>66</v>
      </c>
    </row>
    <row r="2330" ht="15.75" customHeight="1">
      <c r="A2330" s="1" t="s">
        <v>2529</v>
      </c>
      <c r="B2330" s="13" t="str">
        <f t="shared" si="1"/>
        <v>Preston</v>
      </c>
      <c r="C2330" s="13" t="str">
        <f t="shared" si="2"/>
        <v>Parker</v>
      </c>
      <c r="D2330" s="13" t="str">
        <f t="shared" si="3"/>
        <v>#N/A</v>
      </c>
      <c r="E2330" s="1" t="s">
        <v>69</v>
      </c>
    </row>
    <row r="2331" ht="15.75" customHeight="1">
      <c r="A2331" s="1" t="s">
        <v>534</v>
      </c>
      <c r="B2331" s="13" t="str">
        <f t="shared" si="1"/>
        <v>Preston</v>
      </c>
      <c r="C2331" s="13" t="str">
        <f t="shared" si="2"/>
        <v>Williams</v>
      </c>
      <c r="D2331" s="13" t="str">
        <f t="shared" si="3"/>
        <v>#N/A</v>
      </c>
      <c r="E2331" s="1" t="s">
        <v>69</v>
      </c>
    </row>
    <row r="2332" ht="15.75" customHeight="1">
      <c r="A2332" s="1" t="s">
        <v>2530</v>
      </c>
      <c r="B2332" s="13" t="str">
        <f t="shared" si="1"/>
        <v>Pro</v>
      </c>
      <c r="C2332" s="13" t="str">
        <f t="shared" si="2"/>
        <v>Wells</v>
      </c>
      <c r="D2332" s="13" t="str">
        <f t="shared" si="3"/>
        <v>#N/A</v>
      </c>
      <c r="E2332" s="1" t="s">
        <v>68</v>
      </c>
    </row>
    <row r="2333" ht="15.75" customHeight="1">
      <c r="A2333" s="1" t="s">
        <v>2531</v>
      </c>
      <c r="B2333" s="13" t="str">
        <f t="shared" si="1"/>
        <v>Qadree</v>
      </c>
      <c r="C2333" s="13" t="str">
        <f t="shared" si="2"/>
        <v>Ollison</v>
      </c>
      <c r="D2333" s="13" t="str">
        <f t="shared" si="3"/>
        <v>#N/A</v>
      </c>
      <c r="E2333" s="1" t="s">
        <v>66</v>
      </c>
    </row>
    <row r="2334" ht="15.75" customHeight="1">
      <c r="A2334" s="1" t="s">
        <v>2532</v>
      </c>
      <c r="B2334" s="13" t="str">
        <f t="shared" si="1"/>
        <v>Quadree</v>
      </c>
      <c r="C2334" s="13" t="str">
        <f t="shared" si="2"/>
        <v>Henderson</v>
      </c>
      <c r="D2334" s="13" t="str">
        <f t="shared" si="3"/>
        <v>#N/A</v>
      </c>
      <c r="E2334" s="1" t="s">
        <v>69</v>
      </c>
    </row>
    <row r="2335" ht="15.75" customHeight="1">
      <c r="A2335" s="1" t="s">
        <v>2533</v>
      </c>
      <c r="B2335" s="13" t="str">
        <f t="shared" si="1"/>
        <v>Quan</v>
      </c>
      <c r="C2335" s="13" t="str">
        <f t="shared" si="2"/>
        <v>Bray</v>
      </c>
      <c r="D2335" s="13" t="str">
        <f t="shared" si="3"/>
        <v>#N/A</v>
      </c>
      <c r="E2335" s="1" t="s">
        <v>69</v>
      </c>
    </row>
    <row r="2336" ht="15.75" customHeight="1">
      <c r="A2336" s="1" t="s">
        <v>2534</v>
      </c>
      <c r="B2336" s="13" t="str">
        <f t="shared" si="1"/>
        <v>Quartney</v>
      </c>
      <c r="C2336" s="13" t="str">
        <f t="shared" si="2"/>
        <v>Davis</v>
      </c>
      <c r="D2336" s="13" t="str">
        <f t="shared" si="3"/>
        <v>#N/A</v>
      </c>
      <c r="E2336" s="1" t="s">
        <v>69</v>
      </c>
    </row>
    <row r="2337" ht="15.75" customHeight="1">
      <c r="A2337" s="1" t="s">
        <v>2535</v>
      </c>
      <c r="B2337" s="13" t="str">
        <f t="shared" si="1"/>
        <v>Quentin</v>
      </c>
      <c r="C2337" s="13" t="str">
        <f t="shared" si="2"/>
        <v>Johnston</v>
      </c>
      <c r="D2337" s="13" t="str">
        <f t="shared" si="3"/>
        <v>#N/A</v>
      </c>
      <c r="E2337" s="1" t="s">
        <v>69</v>
      </c>
    </row>
    <row r="2338" ht="15.75" customHeight="1">
      <c r="A2338" s="1" t="s">
        <v>2536</v>
      </c>
      <c r="B2338" s="13" t="str">
        <f t="shared" si="1"/>
        <v>Quenton</v>
      </c>
      <c r="C2338" s="13" t="str">
        <f t="shared" si="2"/>
        <v>Bundrage</v>
      </c>
      <c r="D2338" s="13" t="str">
        <f t="shared" si="3"/>
        <v>#N/A</v>
      </c>
      <c r="E2338" s="1" t="s">
        <v>69</v>
      </c>
    </row>
    <row r="2339" ht="15.75" customHeight="1">
      <c r="A2339" s="1" t="s">
        <v>2537</v>
      </c>
      <c r="B2339" s="13" t="str">
        <f t="shared" si="1"/>
        <v>Quez</v>
      </c>
      <c r="C2339" s="13" t="str">
        <f t="shared" si="2"/>
        <v>Watkins</v>
      </c>
      <c r="D2339" s="13" t="str">
        <f t="shared" si="3"/>
        <v>#N/A</v>
      </c>
      <c r="E2339" s="1" t="s">
        <v>69</v>
      </c>
    </row>
    <row r="2340" ht="15.75" customHeight="1">
      <c r="A2340" s="1" t="s">
        <v>2538</v>
      </c>
      <c r="B2340" s="13" t="str">
        <f t="shared" si="1"/>
        <v>Quincy</v>
      </c>
      <c r="C2340" s="13" t="str">
        <f t="shared" si="2"/>
        <v>Adeboyejo</v>
      </c>
      <c r="D2340" s="13" t="str">
        <f t="shared" si="3"/>
        <v>#N/A</v>
      </c>
      <c r="E2340" s="1" t="s">
        <v>69</v>
      </c>
    </row>
    <row r="2341" ht="15.75" customHeight="1">
      <c r="A2341" s="1" t="s">
        <v>2539</v>
      </c>
      <c r="B2341" s="13" t="str">
        <f t="shared" si="1"/>
        <v>Quincy</v>
      </c>
      <c r="C2341" s="13" t="str">
        <f t="shared" si="2"/>
        <v>Enunwa</v>
      </c>
      <c r="D2341" s="13" t="str">
        <f t="shared" si="3"/>
        <v>#N/A</v>
      </c>
      <c r="E2341" s="1" t="s">
        <v>69</v>
      </c>
    </row>
    <row r="2342" ht="15.75" customHeight="1">
      <c r="A2342" s="1" t="s">
        <v>2540</v>
      </c>
      <c r="B2342" s="13" t="str">
        <f t="shared" si="1"/>
        <v>Quinn</v>
      </c>
      <c r="C2342" s="13" t="str">
        <f t="shared" si="2"/>
        <v>Ewers</v>
      </c>
      <c r="D2342" s="13" t="str">
        <f t="shared" si="3"/>
        <v>#N/A</v>
      </c>
      <c r="E2342" s="1" t="s">
        <v>65</v>
      </c>
    </row>
    <row r="2343" ht="15.75" customHeight="1">
      <c r="A2343" s="1" t="s">
        <v>2541</v>
      </c>
      <c r="B2343" s="13" t="str">
        <f t="shared" si="1"/>
        <v>Quinshad</v>
      </c>
      <c r="C2343" s="13" t="str">
        <f t="shared" si="2"/>
        <v>Davis</v>
      </c>
      <c r="D2343" s="13" t="str">
        <f t="shared" si="3"/>
        <v>#N/A</v>
      </c>
      <c r="E2343" s="1" t="s">
        <v>69</v>
      </c>
    </row>
    <row r="2344" ht="15.75" customHeight="1">
      <c r="A2344" s="1" t="s">
        <v>2542</v>
      </c>
      <c r="B2344" s="13" t="str">
        <f t="shared" si="1"/>
        <v>Quintez</v>
      </c>
      <c r="C2344" s="13" t="str">
        <f t="shared" si="2"/>
        <v>Cephus</v>
      </c>
      <c r="D2344" s="13" t="str">
        <f t="shared" si="3"/>
        <v>#N/A</v>
      </c>
      <c r="E2344" s="1" t="s">
        <v>69</v>
      </c>
    </row>
    <row r="2345" ht="15.75" customHeight="1">
      <c r="A2345" s="1" t="s">
        <v>2543</v>
      </c>
      <c r="B2345" s="13" t="str">
        <f t="shared" si="1"/>
        <v>Quintin</v>
      </c>
      <c r="C2345" s="13" t="str">
        <f t="shared" si="2"/>
        <v>Morris</v>
      </c>
      <c r="D2345" s="13" t="str">
        <f t="shared" si="3"/>
        <v>#N/A</v>
      </c>
      <c r="E2345" s="1" t="s">
        <v>68</v>
      </c>
    </row>
    <row r="2346" ht="15.75" customHeight="1">
      <c r="A2346" s="1" t="s">
        <v>2544</v>
      </c>
      <c r="B2346" s="13" t="str">
        <f t="shared" si="1"/>
        <v>Quinton</v>
      </c>
      <c r="C2346" s="13" t="str">
        <f t="shared" si="2"/>
        <v>Flowers</v>
      </c>
      <c r="D2346" s="13" t="str">
        <f t="shared" si="3"/>
        <v>#N/A</v>
      </c>
      <c r="E2346" s="1" t="s">
        <v>66</v>
      </c>
    </row>
    <row r="2347" ht="15.75" customHeight="1">
      <c r="A2347" s="1" t="s">
        <v>2545</v>
      </c>
      <c r="B2347" s="13" t="str">
        <f t="shared" si="1"/>
        <v>Quinton</v>
      </c>
      <c r="C2347" s="13" t="str">
        <f t="shared" si="2"/>
        <v>Patton</v>
      </c>
      <c r="D2347" s="13" t="str">
        <f t="shared" si="3"/>
        <v>#N/A</v>
      </c>
      <c r="E2347" s="1" t="s">
        <v>69</v>
      </c>
    </row>
    <row r="2348" ht="15.75" customHeight="1">
      <c r="A2348" s="1" t="s">
        <v>2546</v>
      </c>
      <c r="B2348" s="13" t="str">
        <f t="shared" si="1"/>
        <v>Quron</v>
      </c>
      <c r="C2348" s="13" t="str">
        <f t="shared" si="2"/>
        <v>Pratt</v>
      </c>
      <c r="D2348" s="13" t="str">
        <f t="shared" si="3"/>
        <v>#N/A</v>
      </c>
      <c r="E2348" s="1" t="s">
        <v>69</v>
      </c>
    </row>
    <row r="2349" ht="15.75" customHeight="1">
      <c r="A2349" s="1" t="s">
        <v>2547</v>
      </c>
      <c r="B2349" s="13" t="str">
        <f t="shared" si="1"/>
        <v>RJ</v>
      </c>
      <c r="C2349" s="13" t="str">
        <f t="shared" si="2"/>
        <v>Harris</v>
      </c>
      <c r="D2349" s="13" t="str">
        <f t="shared" si="3"/>
        <v>#N/A</v>
      </c>
      <c r="E2349" s="1" t="s">
        <v>69</v>
      </c>
    </row>
    <row r="2350" ht="15.75" customHeight="1">
      <c r="A2350" s="1" t="s">
        <v>2548</v>
      </c>
      <c r="B2350" s="13" t="str">
        <f t="shared" si="1"/>
        <v>RJ</v>
      </c>
      <c r="C2350" s="13" t="str">
        <f t="shared" si="2"/>
        <v>Shelton</v>
      </c>
      <c r="D2350" s="13" t="str">
        <f t="shared" si="3"/>
        <v>#N/A</v>
      </c>
      <c r="E2350" s="1" t="s">
        <v>69</v>
      </c>
    </row>
    <row r="2351" ht="15.75" customHeight="1">
      <c r="A2351" s="1" t="s">
        <v>2549</v>
      </c>
      <c r="B2351" s="13" t="str">
        <f t="shared" si="1"/>
        <v>RJ</v>
      </c>
      <c r="C2351" s="13" t="str">
        <f t="shared" si="2"/>
        <v>Sneed</v>
      </c>
      <c r="D2351" s="13" t="str">
        <f t="shared" si="3"/>
        <v>#N/A</v>
      </c>
      <c r="E2351" s="1" t="s">
        <v>69</v>
      </c>
    </row>
    <row r="2352" ht="15.75" customHeight="1">
      <c r="A2352" s="1" t="s">
        <v>2550</v>
      </c>
      <c r="B2352" s="13" t="str">
        <f t="shared" si="1"/>
        <v>Racey</v>
      </c>
      <c r="C2352" s="13" t="str">
        <f t="shared" si="2"/>
        <v>McMath</v>
      </c>
      <c r="D2352" s="13" t="str">
        <f t="shared" si="3"/>
        <v>#N/A</v>
      </c>
      <c r="E2352" s="1" t="s">
        <v>69</v>
      </c>
    </row>
    <row r="2353" ht="15.75" customHeight="1">
      <c r="A2353" s="1" t="s">
        <v>2551</v>
      </c>
      <c r="B2353" s="13" t="str">
        <f t="shared" si="1"/>
        <v>Rachaad</v>
      </c>
      <c r="C2353" s="13" t="str">
        <f t="shared" si="2"/>
        <v>White</v>
      </c>
      <c r="D2353" s="13" t="str">
        <f t="shared" si="3"/>
        <v>#N/A</v>
      </c>
      <c r="E2353" s="1" t="s">
        <v>66</v>
      </c>
    </row>
    <row r="2354" ht="15.75" customHeight="1">
      <c r="A2354" s="1" t="s">
        <v>2552</v>
      </c>
      <c r="B2354" s="13" t="str">
        <f t="shared" si="1"/>
        <v>Raheem</v>
      </c>
      <c r="C2354" s="13" t="str">
        <f t="shared" si="2"/>
        <v>Blackshear</v>
      </c>
      <c r="D2354" s="13" t="str">
        <f t="shared" si="3"/>
        <v>#N/A</v>
      </c>
      <c r="E2354" s="1" t="s">
        <v>66</v>
      </c>
    </row>
    <row r="2355" ht="15.75" customHeight="1">
      <c r="A2355" s="1" t="s">
        <v>352</v>
      </c>
      <c r="B2355" s="13" t="str">
        <f t="shared" si="1"/>
        <v>Raheem</v>
      </c>
      <c r="C2355" s="13" t="str">
        <f t="shared" si="2"/>
        <v>Mostert</v>
      </c>
      <c r="D2355" s="13" t="str">
        <f t="shared" si="3"/>
        <v>#N/A</v>
      </c>
      <c r="E2355" s="1" t="s">
        <v>66</v>
      </c>
    </row>
    <row r="2356" ht="15.75" customHeight="1">
      <c r="A2356" s="1" t="s">
        <v>2553</v>
      </c>
      <c r="B2356" s="13" t="str">
        <f t="shared" si="1"/>
        <v>Raheim</v>
      </c>
      <c r="C2356" s="13" t="str">
        <f t="shared" si="2"/>
        <v>Sanders</v>
      </c>
      <c r="D2356" s="13" t="str">
        <f t="shared" si="3"/>
        <v>#N/A</v>
      </c>
      <c r="E2356" s="1" t="s">
        <v>66</v>
      </c>
    </row>
    <row r="2357" ht="15.75" customHeight="1">
      <c r="A2357" s="1" t="s">
        <v>2554</v>
      </c>
      <c r="B2357" s="13" t="str">
        <f t="shared" si="1"/>
        <v>Rahmir</v>
      </c>
      <c r="C2357" s="13" t="str">
        <f t="shared" si="2"/>
        <v>Johnson</v>
      </c>
      <c r="D2357" s="13" t="str">
        <f t="shared" si="3"/>
        <v>#N/A</v>
      </c>
      <c r="E2357" s="1" t="s">
        <v>66</v>
      </c>
    </row>
    <row r="2358" ht="15.75" customHeight="1">
      <c r="A2358" s="1" t="s">
        <v>2555</v>
      </c>
      <c r="B2358" s="13" t="str">
        <f t="shared" si="1"/>
        <v>Rajion</v>
      </c>
      <c r="C2358" s="13" t="str">
        <f t="shared" si="2"/>
        <v>Neal</v>
      </c>
      <c r="D2358" s="13" t="str">
        <f t="shared" si="3"/>
        <v>#N/A</v>
      </c>
      <c r="E2358" s="1" t="s">
        <v>66</v>
      </c>
    </row>
    <row r="2359" ht="15.75" customHeight="1">
      <c r="A2359" s="1" t="s">
        <v>2556</v>
      </c>
      <c r="B2359" s="13" t="str">
        <f t="shared" si="1"/>
        <v>Rakeem</v>
      </c>
      <c r="C2359" s="13" t="str">
        <f t="shared" si="2"/>
        <v>Boyd</v>
      </c>
      <c r="D2359" s="13" t="str">
        <f t="shared" si="3"/>
        <v>#N/A</v>
      </c>
      <c r="E2359" s="1" t="s">
        <v>66</v>
      </c>
    </row>
    <row r="2360" ht="15.75" customHeight="1">
      <c r="A2360" s="1" t="s">
        <v>2557</v>
      </c>
      <c r="B2360" s="13" t="str">
        <f t="shared" si="1"/>
        <v>Rakim</v>
      </c>
      <c r="C2360" s="13" t="str">
        <f t="shared" si="2"/>
        <v>Jarrett</v>
      </c>
      <c r="D2360" s="13" t="str">
        <f t="shared" si="3"/>
        <v>#N/A</v>
      </c>
      <c r="E2360" s="1" t="s">
        <v>69</v>
      </c>
    </row>
    <row r="2361" ht="15.75" customHeight="1">
      <c r="A2361" s="1" t="s">
        <v>2558</v>
      </c>
      <c r="B2361" s="13" t="str">
        <f t="shared" si="1"/>
        <v>Raleek</v>
      </c>
      <c r="C2361" s="13" t="str">
        <f t="shared" si="2"/>
        <v>Brown</v>
      </c>
      <c r="D2361" s="13" t="str">
        <f t="shared" si="3"/>
        <v>#N/A</v>
      </c>
      <c r="E2361" s="1" t="s">
        <v>66</v>
      </c>
    </row>
    <row r="2362" ht="15.75" customHeight="1">
      <c r="A2362" s="1" t="s">
        <v>2559</v>
      </c>
      <c r="B2362" s="13" t="str">
        <f t="shared" si="1"/>
        <v>Ralph</v>
      </c>
      <c r="C2362" s="13" t="str">
        <f t="shared" si="2"/>
        <v>Webb</v>
      </c>
      <c r="D2362" s="13" t="str">
        <f t="shared" si="3"/>
        <v>#N/A</v>
      </c>
      <c r="E2362" s="1" t="s">
        <v>66</v>
      </c>
    </row>
    <row r="2363" ht="15.75" customHeight="1">
      <c r="A2363" s="1" t="s">
        <v>2560</v>
      </c>
      <c r="B2363" s="13" t="str">
        <f t="shared" si="1"/>
        <v>Ramaud</v>
      </c>
      <c r="C2363" s="13" t="str">
        <f t="shared" si="2"/>
        <v>Chiaokhlao-Bowman</v>
      </c>
      <c r="D2363" s="13" t="str">
        <f t="shared" si="3"/>
        <v>#N/A</v>
      </c>
      <c r="E2363" s="1" t="s">
        <v>69</v>
      </c>
    </row>
    <row r="2364" ht="15.75" customHeight="1">
      <c r="A2364" s="1" t="s">
        <v>2561</v>
      </c>
      <c r="B2364" s="13" t="str">
        <f t="shared" si="1"/>
        <v>Ramses</v>
      </c>
      <c r="C2364" s="13" t="str">
        <f t="shared" si="2"/>
        <v>Barden</v>
      </c>
      <c r="D2364" s="13" t="str">
        <f t="shared" si="3"/>
        <v>#N/A</v>
      </c>
      <c r="E2364" s="1" t="s">
        <v>69</v>
      </c>
    </row>
    <row r="2365" ht="15.75" customHeight="1">
      <c r="A2365" s="1" t="s">
        <v>335</v>
      </c>
      <c r="B2365" s="13" t="str">
        <f t="shared" si="1"/>
        <v>Randall</v>
      </c>
      <c r="C2365" s="13" t="str">
        <f t="shared" si="2"/>
        <v>Cobb</v>
      </c>
      <c r="D2365" s="13" t="str">
        <f t="shared" si="3"/>
        <v>#N/A</v>
      </c>
      <c r="E2365" s="1" t="s">
        <v>69</v>
      </c>
    </row>
    <row r="2366" ht="15.75" customHeight="1">
      <c r="A2366" s="1" t="s">
        <v>2562</v>
      </c>
      <c r="B2366" s="13" t="str">
        <f t="shared" si="1"/>
        <v>Randall</v>
      </c>
      <c r="C2366" s="13" t="str">
        <f t="shared" si="2"/>
        <v>Telfer</v>
      </c>
      <c r="D2366" s="13" t="str">
        <f t="shared" si="3"/>
        <v>#N/A</v>
      </c>
      <c r="E2366" s="1" t="s">
        <v>68</v>
      </c>
    </row>
    <row r="2367" ht="15.75" customHeight="1">
      <c r="A2367" s="1" t="s">
        <v>2563</v>
      </c>
      <c r="B2367" s="13" t="str">
        <f t="shared" si="1"/>
        <v>Randy</v>
      </c>
      <c r="C2367" s="13" t="str">
        <f t="shared" si="2"/>
        <v>Moss</v>
      </c>
      <c r="D2367" s="13" t="str">
        <f t="shared" si="3"/>
        <v>#N/A</v>
      </c>
      <c r="E2367" s="1" t="s">
        <v>69</v>
      </c>
    </row>
    <row r="2368" ht="15.75" customHeight="1">
      <c r="A2368" s="1" t="s">
        <v>2564</v>
      </c>
      <c r="B2368" s="13" t="str">
        <f t="shared" si="1"/>
        <v>Rannell</v>
      </c>
      <c r="C2368" s="13" t="str">
        <f t="shared" si="2"/>
        <v>Hall</v>
      </c>
      <c r="D2368" s="13" t="str">
        <f t="shared" si="3"/>
        <v>#N/A</v>
      </c>
      <c r="E2368" s="1" t="s">
        <v>69</v>
      </c>
    </row>
    <row r="2369" ht="15.75" customHeight="1">
      <c r="A2369" s="1" t="s">
        <v>2565</v>
      </c>
      <c r="B2369" s="13" t="str">
        <f t="shared" si="1"/>
        <v>Raphael</v>
      </c>
      <c r="C2369" s="13" t="str">
        <f t="shared" si="2"/>
        <v>Leonard</v>
      </c>
      <c r="D2369" s="13" t="str">
        <f t="shared" si="3"/>
        <v>#N/A</v>
      </c>
      <c r="E2369" s="1" t="s">
        <v>69</v>
      </c>
    </row>
    <row r="2370" ht="15.75" customHeight="1">
      <c r="A2370" s="1" t="s">
        <v>2566</v>
      </c>
      <c r="B2370" s="13" t="str">
        <f t="shared" si="1"/>
        <v>Ra'Quanne</v>
      </c>
      <c r="C2370" s="13" t="str">
        <f t="shared" si="2"/>
        <v>Dickens</v>
      </c>
      <c r="D2370" s="13" t="str">
        <f t="shared" si="3"/>
        <v>#N/A</v>
      </c>
      <c r="E2370" s="1" t="s">
        <v>66</v>
      </c>
    </row>
    <row r="2371" ht="15.75" customHeight="1">
      <c r="A2371" s="1" t="s">
        <v>375</v>
      </c>
      <c r="B2371" s="13" t="str">
        <f t="shared" si="1"/>
        <v>Rashaad</v>
      </c>
      <c r="C2371" s="13" t="str">
        <f t="shared" si="2"/>
        <v>Penny</v>
      </c>
      <c r="D2371" s="13" t="str">
        <f t="shared" si="3"/>
        <v>#N/A</v>
      </c>
      <c r="E2371" s="1" t="s">
        <v>66</v>
      </c>
    </row>
    <row r="2372" ht="15.75" customHeight="1">
      <c r="A2372" s="1" t="s">
        <v>2567</v>
      </c>
      <c r="B2372" s="13" t="str">
        <f t="shared" si="1"/>
        <v>Rashad</v>
      </c>
      <c r="C2372" s="13" t="str">
        <f t="shared" si="2"/>
        <v>Greene</v>
      </c>
      <c r="D2372" s="13" t="str">
        <f t="shared" si="3"/>
        <v>#N/A</v>
      </c>
      <c r="E2372" s="1" t="s">
        <v>69</v>
      </c>
    </row>
    <row r="2373" ht="15.75" customHeight="1">
      <c r="A2373" s="1" t="s">
        <v>1878</v>
      </c>
      <c r="B2373" s="13" t="str">
        <f t="shared" si="1"/>
        <v>Rashad</v>
      </c>
      <c r="C2373" s="13" t="str">
        <f t="shared" si="2"/>
        <v>Jennings</v>
      </c>
      <c r="D2373" s="13" t="str">
        <f t="shared" si="3"/>
        <v>#N/A</v>
      </c>
      <c r="E2373" s="1" t="s">
        <v>66</v>
      </c>
    </row>
    <row r="2374" ht="15.75" customHeight="1">
      <c r="A2374" s="1" t="s">
        <v>2568</v>
      </c>
      <c r="B2374" s="13" t="str">
        <f t="shared" si="1"/>
        <v>Rashad</v>
      </c>
      <c r="C2374" s="13" t="str">
        <f t="shared" si="2"/>
        <v>Ross</v>
      </c>
      <c r="D2374" s="13" t="str">
        <f t="shared" si="3"/>
        <v>#N/A</v>
      </c>
      <c r="E2374" s="1" t="s">
        <v>69</v>
      </c>
    </row>
    <row r="2375" ht="15.75" customHeight="1">
      <c r="A2375" s="1" t="s">
        <v>2569</v>
      </c>
      <c r="B2375" s="13" t="str">
        <f t="shared" si="1"/>
        <v>Rashard</v>
      </c>
      <c r="C2375" s="13" t="str">
        <f t="shared" si="2"/>
        <v>Davis</v>
      </c>
      <c r="D2375" s="13" t="str">
        <f t="shared" si="3"/>
        <v>#N/A</v>
      </c>
      <c r="E2375" s="1" t="s">
        <v>69</v>
      </c>
    </row>
    <row r="2376" ht="15.75" customHeight="1">
      <c r="A2376" s="1" t="s">
        <v>2570</v>
      </c>
      <c r="B2376" s="13" t="str">
        <f t="shared" si="1"/>
        <v>Rashard</v>
      </c>
      <c r="C2376" s="13" t="str">
        <f t="shared" si="2"/>
        <v>Higgins</v>
      </c>
      <c r="D2376" s="13" t="str">
        <f t="shared" si="3"/>
        <v>#N/A</v>
      </c>
      <c r="E2376" s="1" t="s">
        <v>69</v>
      </c>
    </row>
    <row r="2377" ht="15.75" customHeight="1">
      <c r="A2377" s="1" t="s">
        <v>2571</v>
      </c>
      <c r="B2377" s="13" t="str">
        <f t="shared" si="1"/>
        <v>Rashawn</v>
      </c>
      <c r="C2377" s="13" t="str">
        <f t="shared" si="2"/>
        <v>Scott</v>
      </c>
      <c r="D2377" s="13" t="str">
        <f t="shared" si="3"/>
        <v>#N/A</v>
      </c>
      <c r="E2377" s="1" t="s">
        <v>69</v>
      </c>
    </row>
    <row r="2378" ht="15.75" customHeight="1">
      <c r="A2378" s="1" t="s">
        <v>2572</v>
      </c>
      <c r="B2378" s="13" t="str">
        <f t="shared" si="1"/>
        <v>Rasheed</v>
      </c>
      <c r="C2378" s="13" t="str">
        <f t="shared" si="2"/>
        <v>Bailey</v>
      </c>
      <c r="D2378" s="13" t="str">
        <f t="shared" si="3"/>
        <v>#N/A</v>
      </c>
      <c r="E2378" s="1" t="s">
        <v>69</v>
      </c>
    </row>
    <row r="2379" ht="15.75" customHeight="1">
      <c r="A2379" s="1" t="s">
        <v>2573</v>
      </c>
      <c r="B2379" s="13" t="str">
        <f t="shared" si="1"/>
        <v>Rasheed</v>
      </c>
      <c r="C2379" s="13" t="str">
        <f t="shared" si="2"/>
        <v>Williams</v>
      </c>
      <c r="D2379" s="13" t="str">
        <f t="shared" si="3"/>
        <v>#N/A</v>
      </c>
      <c r="E2379" s="1" t="s">
        <v>66</v>
      </c>
    </row>
    <row r="2380" ht="15.75" customHeight="1">
      <c r="A2380" s="1" t="s">
        <v>2574</v>
      </c>
      <c r="B2380" s="13" t="str">
        <f t="shared" si="1"/>
        <v>Rashod</v>
      </c>
      <c r="C2380" s="13" t="str">
        <f t="shared" si="2"/>
        <v>Bateman</v>
      </c>
      <c r="D2380" s="13" t="str">
        <f t="shared" si="3"/>
        <v>#N/A</v>
      </c>
      <c r="E2380" s="1" t="s">
        <v>69</v>
      </c>
    </row>
    <row r="2381" ht="15.75" customHeight="1">
      <c r="A2381" s="1" t="s">
        <v>2575</v>
      </c>
      <c r="B2381" s="13" t="str">
        <f t="shared" si="1"/>
        <v>Ray</v>
      </c>
      <c r="C2381" s="13" t="str">
        <f t="shared" si="2"/>
        <v>Graham</v>
      </c>
      <c r="D2381" s="13" t="str">
        <f t="shared" si="3"/>
        <v>#N/A</v>
      </c>
      <c r="E2381" s="1" t="s">
        <v>66</v>
      </c>
    </row>
    <row r="2382" ht="15.75" customHeight="1">
      <c r="A2382" s="1" t="s">
        <v>2576</v>
      </c>
      <c r="B2382" s="13" t="str">
        <f t="shared" si="1"/>
        <v>Ray</v>
      </c>
      <c r="C2382" s="13" t="str">
        <f t="shared" si="2"/>
        <v>Lawry</v>
      </c>
      <c r="D2382" s="13" t="str">
        <f t="shared" si="3"/>
        <v>#N/A</v>
      </c>
      <c r="E2382" s="1" t="s">
        <v>66</v>
      </c>
    </row>
    <row r="2383" ht="15.75" customHeight="1">
      <c r="A2383" s="1" t="s">
        <v>2577</v>
      </c>
      <c r="B2383" s="13" t="str">
        <f t="shared" si="1"/>
        <v>Ray</v>
      </c>
      <c r="C2383" s="13" t="str">
        <f t="shared" si="2"/>
        <v>Rice</v>
      </c>
      <c r="D2383" s="13" t="str">
        <f t="shared" si="3"/>
        <v>#N/A</v>
      </c>
      <c r="E2383" s="1" t="s">
        <v>66</v>
      </c>
    </row>
    <row r="2384" ht="15.75" customHeight="1">
      <c r="A2384" s="1" t="s">
        <v>2578</v>
      </c>
      <c r="B2384" s="13" t="str">
        <f t="shared" si="1"/>
        <v>Raymond</v>
      </c>
      <c r="C2384" s="13" t="str">
        <f t="shared" si="2"/>
        <v>Calais</v>
      </c>
      <c r="D2384" s="13" t="str">
        <f t="shared" si="3"/>
        <v>#N/A</v>
      </c>
      <c r="E2384" s="1" t="s">
        <v>66</v>
      </c>
    </row>
    <row r="2385" ht="15.75" customHeight="1">
      <c r="A2385" s="1" t="s">
        <v>2579</v>
      </c>
      <c r="B2385" s="13" t="str">
        <f t="shared" si="1"/>
        <v>Raymond</v>
      </c>
      <c r="C2385" s="13" t="str">
        <f t="shared" si="2"/>
        <v>Maples</v>
      </c>
      <c r="D2385" s="13" t="str">
        <f t="shared" si="3"/>
        <v>#N/A</v>
      </c>
      <c r="E2385" s="1" t="s">
        <v>66</v>
      </c>
    </row>
    <row r="2386" ht="15.75" customHeight="1">
      <c r="A2386" s="1" t="s">
        <v>2580</v>
      </c>
      <c r="B2386" s="13" t="str">
        <f t="shared" si="1"/>
        <v>Ray-Ray</v>
      </c>
      <c r="C2386" s="13" t="str">
        <f t="shared" si="2"/>
        <v>McCloud</v>
      </c>
      <c r="D2386" s="13" t="str">
        <f t="shared" si="3"/>
        <v>#N/A</v>
      </c>
      <c r="E2386" s="1" t="s">
        <v>69</v>
      </c>
    </row>
    <row r="2387" ht="15.75" customHeight="1">
      <c r="A2387" s="1" t="s">
        <v>2581</v>
      </c>
      <c r="B2387" s="13" t="str">
        <f t="shared" si="1"/>
        <v>Rayshon</v>
      </c>
      <c r="C2387" s="13" t="str">
        <f t="shared" si="2"/>
        <v>Luke</v>
      </c>
      <c r="D2387" s="13" t="str">
        <f t="shared" si="3"/>
        <v>#N/A</v>
      </c>
      <c r="E2387" s="1" t="s">
        <v>66</v>
      </c>
    </row>
    <row r="2388" ht="15.75" customHeight="1">
      <c r="A2388" s="1" t="s">
        <v>2582</v>
      </c>
      <c r="B2388" s="13" t="str">
        <f t="shared" si="1"/>
        <v>Reece</v>
      </c>
      <c r="C2388" s="13" t="str">
        <f t="shared" si="2"/>
        <v>Horn</v>
      </c>
      <c r="D2388" s="13" t="str">
        <f t="shared" si="3"/>
        <v>#N/A</v>
      </c>
      <c r="E2388" s="1" t="s">
        <v>69</v>
      </c>
    </row>
    <row r="2389" ht="15.75" customHeight="1">
      <c r="A2389" s="1" t="s">
        <v>2583</v>
      </c>
      <c r="B2389" s="13" t="str">
        <f t="shared" si="1"/>
        <v>Reggie</v>
      </c>
      <c r="C2389" s="13" t="str">
        <f t="shared" si="2"/>
        <v>Begelton</v>
      </c>
      <c r="D2389" s="13" t="str">
        <f t="shared" si="3"/>
        <v>#N/A</v>
      </c>
      <c r="E2389" s="1" t="s">
        <v>69</v>
      </c>
    </row>
    <row r="2390" ht="15.75" customHeight="1">
      <c r="A2390" s="1" t="s">
        <v>2584</v>
      </c>
      <c r="B2390" s="13" t="str">
        <f t="shared" si="1"/>
        <v>Reggie</v>
      </c>
      <c r="C2390" s="13" t="str">
        <f t="shared" si="2"/>
        <v>Bonnafon</v>
      </c>
      <c r="D2390" s="13" t="str">
        <f t="shared" si="3"/>
        <v>#N/A</v>
      </c>
      <c r="E2390" s="1" t="s">
        <v>66</v>
      </c>
    </row>
    <row r="2391" ht="15.75" customHeight="1">
      <c r="A2391" s="1" t="s">
        <v>2585</v>
      </c>
      <c r="B2391" s="13" t="str">
        <f t="shared" si="1"/>
        <v>Reggie</v>
      </c>
      <c r="C2391" s="13" t="str">
        <f t="shared" si="2"/>
        <v>Bush</v>
      </c>
      <c r="D2391" s="13" t="str">
        <f t="shared" si="3"/>
        <v>#N/A</v>
      </c>
      <c r="E2391" s="1" t="s">
        <v>66</v>
      </c>
    </row>
    <row r="2392" ht="15.75" customHeight="1">
      <c r="A2392" s="1" t="s">
        <v>2586</v>
      </c>
      <c r="B2392" s="13" t="str">
        <f t="shared" si="1"/>
        <v>Reggie</v>
      </c>
      <c r="C2392" s="13" t="str">
        <f t="shared" si="2"/>
        <v>Corbin</v>
      </c>
      <c r="D2392" s="13" t="str">
        <f t="shared" si="3"/>
        <v>#N/A</v>
      </c>
      <c r="E2392" s="1" t="s">
        <v>66</v>
      </c>
    </row>
    <row r="2393" ht="15.75" customHeight="1">
      <c r="A2393" s="1" t="s">
        <v>2587</v>
      </c>
      <c r="B2393" s="13" t="str">
        <f t="shared" si="1"/>
        <v>Reggie</v>
      </c>
      <c r="C2393" s="13" t="str">
        <f t="shared" si="2"/>
        <v>Davis</v>
      </c>
      <c r="D2393" s="13" t="str">
        <f t="shared" si="3"/>
        <v>#N/A</v>
      </c>
      <c r="E2393" s="1" t="s">
        <v>69</v>
      </c>
    </row>
    <row r="2394" ht="15.75" customHeight="1">
      <c r="A2394" s="1" t="s">
        <v>2588</v>
      </c>
      <c r="B2394" s="13" t="str">
        <f t="shared" si="1"/>
        <v>Reggie</v>
      </c>
      <c r="C2394" s="13" t="str">
        <f t="shared" si="2"/>
        <v>Diggs</v>
      </c>
      <c r="D2394" s="13" t="str">
        <f t="shared" si="3"/>
        <v>#N/A</v>
      </c>
      <c r="E2394" s="1" t="s">
        <v>69</v>
      </c>
    </row>
    <row r="2395" ht="15.75" customHeight="1">
      <c r="A2395" s="1" t="s">
        <v>2589</v>
      </c>
      <c r="B2395" s="13" t="str">
        <f t="shared" si="1"/>
        <v>Reggie</v>
      </c>
      <c r="C2395" s="13" t="str">
        <f t="shared" si="2"/>
        <v>Gallaspy</v>
      </c>
      <c r="D2395" s="13" t="str">
        <f t="shared" si="3"/>
        <v>#N/A</v>
      </c>
      <c r="E2395" s="1" t="s">
        <v>66</v>
      </c>
    </row>
    <row r="2396" ht="15.75" customHeight="1">
      <c r="A2396" s="1" t="s">
        <v>2590</v>
      </c>
      <c r="B2396" s="13" t="str">
        <f t="shared" si="1"/>
        <v>Reggie</v>
      </c>
      <c r="C2396" s="13" t="str">
        <f t="shared" si="2"/>
        <v>Gilliam</v>
      </c>
      <c r="D2396" s="13" t="str">
        <f t="shared" si="3"/>
        <v>#N/A</v>
      </c>
      <c r="E2396" s="1" t="s">
        <v>68</v>
      </c>
    </row>
    <row r="2397" ht="15.75" customHeight="1">
      <c r="A2397" s="1" t="s">
        <v>2591</v>
      </c>
      <c r="B2397" s="13" t="str">
        <f t="shared" si="1"/>
        <v>Reggie</v>
      </c>
      <c r="C2397" s="13" t="str">
        <f t="shared" si="2"/>
        <v>Jordan</v>
      </c>
      <c r="D2397" s="13" t="str">
        <f t="shared" si="3"/>
        <v>#N/A</v>
      </c>
      <c r="E2397" s="1" t="s">
        <v>68</v>
      </c>
    </row>
    <row r="2398" ht="15.75" customHeight="1">
      <c r="A2398" s="1" t="s">
        <v>2592</v>
      </c>
      <c r="B2398" s="13" t="str">
        <f t="shared" si="1"/>
        <v>Reggie</v>
      </c>
      <c r="C2398" s="13" t="str">
        <f t="shared" si="2"/>
        <v>Roberson</v>
      </c>
      <c r="D2398" s="13" t="str">
        <f t="shared" si="3"/>
        <v>#N/A</v>
      </c>
      <c r="E2398" s="1" t="s">
        <v>69</v>
      </c>
    </row>
    <row r="2399" ht="15.75" customHeight="1">
      <c r="A2399" s="1" t="s">
        <v>2593</v>
      </c>
      <c r="B2399" s="13" t="str">
        <f t="shared" si="1"/>
        <v>Reggie</v>
      </c>
      <c r="C2399" s="13" t="str">
        <f t="shared" si="2"/>
        <v>Wayne</v>
      </c>
      <c r="D2399" s="13" t="str">
        <f t="shared" si="3"/>
        <v>#N/A</v>
      </c>
      <c r="E2399" s="1" t="s">
        <v>69</v>
      </c>
    </row>
    <row r="2400" ht="15.75" customHeight="1">
      <c r="A2400" s="1" t="s">
        <v>2594</v>
      </c>
      <c r="B2400" s="13" t="str">
        <f t="shared" si="1"/>
        <v>Reggie</v>
      </c>
      <c r="C2400" s="13" t="str">
        <f t="shared" si="2"/>
        <v>White</v>
      </c>
      <c r="D2400" s="13" t="str">
        <f t="shared" si="3"/>
        <v>#N/A</v>
      </c>
      <c r="E2400" s="1" t="s">
        <v>69</v>
      </c>
    </row>
    <row r="2401" ht="15.75" customHeight="1">
      <c r="A2401" s="1" t="s">
        <v>2595</v>
      </c>
      <c r="B2401" s="13" t="str">
        <f t="shared" si="1"/>
        <v>Reid</v>
      </c>
      <c r="C2401" s="13" t="str">
        <f t="shared" si="2"/>
        <v>Sinnett</v>
      </c>
      <c r="D2401" s="13" t="str">
        <f t="shared" si="3"/>
        <v>#N/A</v>
      </c>
      <c r="E2401" s="1" t="s">
        <v>65</v>
      </c>
    </row>
    <row r="2402" ht="15.75" customHeight="1">
      <c r="A2402" s="1" t="s">
        <v>2596</v>
      </c>
      <c r="B2402" s="13" t="str">
        <f t="shared" si="1"/>
        <v>Re'Mahn</v>
      </c>
      <c r="C2402" s="13" t="str">
        <f t="shared" si="2"/>
        <v>Davis</v>
      </c>
      <c r="D2402" s="13" t="str">
        <f t="shared" si="3"/>
        <v>#N/A</v>
      </c>
      <c r="E2402" s="1" t="s">
        <v>66</v>
      </c>
    </row>
    <row r="2403" ht="15.75" customHeight="1">
      <c r="A2403" s="1" t="s">
        <v>1276</v>
      </c>
      <c r="B2403" s="13" t="str">
        <f t="shared" si="1"/>
        <v>Rex</v>
      </c>
      <c r="C2403" s="13" t="str">
        <f t="shared" si="2"/>
        <v>Burkhead</v>
      </c>
      <c r="D2403" s="13" t="str">
        <f t="shared" si="3"/>
        <v>#N/A</v>
      </c>
      <c r="E2403" s="1" t="s">
        <v>66</v>
      </c>
    </row>
    <row r="2404" ht="15.75" customHeight="1">
      <c r="A2404" s="1" t="s">
        <v>2597</v>
      </c>
      <c r="B2404" s="13" t="str">
        <f t="shared" si="1"/>
        <v>Rhamondre</v>
      </c>
      <c r="C2404" s="13" t="str">
        <f t="shared" si="2"/>
        <v>Stevenson</v>
      </c>
      <c r="D2404" s="13" t="str">
        <f t="shared" si="3"/>
        <v>#N/A</v>
      </c>
      <c r="E2404" s="1" t="s">
        <v>66</v>
      </c>
    </row>
    <row r="2405" ht="15.75" customHeight="1">
      <c r="A2405" s="1" t="s">
        <v>2598</v>
      </c>
      <c r="B2405" s="13" t="str">
        <f t="shared" si="1"/>
        <v>Rhett</v>
      </c>
      <c r="C2405" s="13" t="str">
        <f t="shared" si="2"/>
        <v>Ellison</v>
      </c>
      <c r="D2405" s="13" t="str">
        <f t="shared" si="3"/>
        <v>#N/A</v>
      </c>
      <c r="E2405" s="1" t="s">
        <v>68</v>
      </c>
    </row>
    <row r="2406" ht="15.75" customHeight="1">
      <c r="A2406" s="1" t="s">
        <v>2599</v>
      </c>
      <c r="B2406" s="13" t="str">
        <f t="shared" si="1"/>
        <v>Ricardo</v>
      </c>
      <c r="C2406" s="13" t="str">
        <f t="shared" si="2"/>
        <v>Lockette</v>
      </c>
      <c r="D2406" s="13" t="str">
        <f t="shared" si="3"/>
        <v>#N/A</v>
      </c>
      <c r="E2406" s="1" t="s">
        <v>69</v>
      </c>
    </row>
    <row r="2407" ht="15.75" customHeight="1">
      <c r="A2407" s="1" t="s">
        <v>2600</v>
      </c>
      <c r="B2407" s="13" t="str">
        <f t="shared" si="1"/>
        <v>Ricardo</v>
      </c>
      <c r="C2407" s="13" t="str">
        <f t="shared" si="2"/>
        <v>Louis</v>
      </c>
      <c r="D2407" s="13" t="str">
        <f t="shared" si="3"/>
        <v>#N/A</v>
      </c>
      <c r="E2407" s="1" t="s">
        <v>69</v>
      </c>
    </row>
    <row r="2408" ht="15.75" customHeight="1">
      <c r="A2408" s="1" t="s">
        <v>2601</v>
      </c>
      <c r="B2408" s="13" t="str">
        <f t="shared" si="1"/>
        <v>Richard</v>
      </c>
      <c r="C2408" s="13" t="str">
        <f t="shared" si="2"/>
        <v>Mullaney</v>
      </c>
      <c r="D2408" s="13" t="str">
        <f t="shared" si="3"/>
        <v>#N/A</v>
      </c>
      <c r="E2408" s="1" t="s">
        <v>69</v>
      </c>
    </row>
    <row r="2409" ht="15.75" customHeight="1">
      <c r="A2409" s="1" t="s">
        <v>2602</v>
      </c>
      <c r="B2409" s="13" t="str">
        <f t="shared" si="1"/>
        <v>Richard</v>
      </c>
      <c r="C2409" s="13" t="str">
        <f t="shared" si="2"/>
        <v>Rodgers</v>
      </c>
      <c r="D2409" s="13" t="str">
        <f t="shared" si="3"/>
        <v>#N/A</v>
      </c>
      <c r="E2409" s="1" t="s">
        <v>68</v>
      </c>
    </row>
    <row r="2410" ht="15.75" customHeight="1">
      <c r="A2410" s="1" t="s">
        <v>2603</v>
      </c>
      <c r="B2410" s="13" t="str">
        <f t="shared" si="1"/>
        <v>Richard</v>
      </c>
      <c r="C2410" s="13" t="str">
        <f t="shared" si="2"/>
        <v>Ross</v>
      </c>
      <c r="D2410" s="13" t="str">
        <f t="shared" si="3"/>
        <v>#N/A</v>
      </c>
      <c r="E2410" s="1" t="s">
        <v>68</v>
      </c>
    </row>
    <row r="2411" ht="15.75" customHeight="1">
      <c r="A2411" s="1" t="s">
        <v>2604</v>
      </c>
      <c r="B2411" s="13" t="str">
        <f t="shared" si="1"/>
        <v>Richie</v>
      </c>
      <c r="C2411" s="13" t="str">
        <f t="shared" si="2"/>
        <v>James</v>
      </c>
      <c r="D2411" s="13" t="str">
        <f t="shared" si="3"/>
        <v>#N/A</v>
      </c>
      <c r="E2411" s="1" t="s">
        <v>69</v>
      </c>
    </row>
    <row r="2412" ht="15.75" customHeight="1">
      <c r="A2412" s="1" t="s">
        <v>2605</v>
      </c>
      <c r="B2412" s="13" t="str">
        <f t="shared" si="1"/>
        <v>Richie</v>
      </c>
      <c r="C2412" s="13" t="str">
        <f t="shared" si="2"/>
        <v>Worship</v>
      </c>
      <c r="D2412" s="13" t="str">
        <f t="shared" si="3"/>
        <v>#N/A</v>
      </c>
      <c r="E2412" s="1" t="s">
        <v>66</v>
      </c>
    </row>
    <row r="2413" ht="15.75" customHeight="1">
      <c r="A2413" s="1" t="s">
        <v>2606</v>
      </c>
      <c r="B2413" s="13" t="str">
        <f t="shared" si="1"/>
        <v>Ricky</v>
      </c>
      <c r="C2413" s="13" t="str">
        <f t="shared" si="2"/>
        <v>Collins</v>
      </c>
      <c r="D2413" s="13" t="str">
        <f t="shared" si="3"/>
        <v>#N/A</v>
      </c>
      <c r="E2413" s="1" t="s">
        <v>69</v>
      </c>
    </row>
    <row r="2414" ht="15.75" customHeight="1">
      <c r="A2414" s="1" t="s">
        <v>2607</v>
      </c>
      <c r="B2414" s="13" t="str">
        <f t="shared" si="1"/>
        <v>Ricky</v>
      </c>
      <c r="C2414" s="13" t="str">
        <f t="shared" si="2"/>
        <v>Jeune</v>
      </c>
      <c r="D2414" s="13" t="str">
        <f t="shared" si="3"/>
        <v>#N/A</v>
      </c>
      <c r="E2414" s="1" t="s">
        <v>69</v>
      </c>
    </row>
    <row r="2415" ht="15.75" customHeight="1">
      <c r="A2415" s="1" t="s">
        <v>2608</v>
      </c>
      <c r="B2415" s="13" t="str">
        <f t="shared" si="1"/>
        <v>Ricky</v>
      </c>
      <c r="C2415" s="13" t="str">
        <f t="shared" si="2"/>
        <v>Ortiz</v>
      </c>
      <c r="D2415" s="13" t="str">
        <f t="shared" si="3"/>
        <v>#N/A</v>
      </c>
      <c r="E2415" s="1" t="s">
        <v>66</v>
      </c>
    </row>
    <row r="2416" ht="15.75" customHeight="1">
      <c r="A2416" s="1" t="s">
        <v>1513</v>
      </c>
      <c r="B2416" s="13" t="str">
        <f t="shared" si="1"/>
        <v>Ricky</v>
      </c>
      <c r="C2416" s="13" t="str">
        <f t="shared" si="2"/>
        <v>Seals-Jones</v>
      </c>
      <c r="D2416" s="13" t="str">
        <f t="shared" si="3"/>
        <v>#N/A</v>
      </c>
      <c r="E2416" s="1" t="s">
        <v>68</v>
      </c>
    </row>
    <row r="2417" ht="15.75" customHeight="1">
      <c r="A2417" s="1" t="s">
        <v>2609</v>
      </c>
      <c r="B2417" s="13" t="str">
        <f t="shared" si="1"/>
        <v>Ricky</v>
      </c>
      <c r="C2417" s="13" t="str">
        <f t="shared" si="2"/>
        <v>Stanzi</v>
      </c>
      <c r="D2417" s="13" t="str">
        <f t="shared" si="3"/>
        <v>#N/A</v>
      </c>
      <c r="E2417" s="1" t="s">
        <v>65</v>
      </c>
    </row>
    <row r="2418" ht="15.75" customHeight="1">
      <c r="A2418" s="1" t="s">
        <v>2610</v>
      </c>
      <c r="B2418" s="13" t="str">
        <f t="shared" si="1"/>
        <v>Rico</v>
      </c>
      <c r="C2418" s="13" t="str">
        <f t="shared" si="2"/>
        <v>Bussey</v>
      </c>
      <c r="D2418" s="13" t="str">
        <f t="shared" si="3"/>
        <v>#N/A</v>
      </c>
      <c r="E2418" s="1" t="s">
        <v>69</v>
      </c>
    </row>
    <row r="2419" ht="15.75" customHeight="1">
      <c r="A2419" s="1" t="s">
        <v>2611</v>
      </c>
      <c r="B2419" s="13" t="str">
        <f t="shared" si="1"/>
        <v>Rico</v>
      </c>
      <c r="C2419" s="13" t="str">
        <f t="shared" si="2"/>
        <v>Dowdle</v>
      </c>
      <c r="D2419" s="13" t="str">
        <f t="shared" si="3"/>
        <v>#N/A</v>
      </c>
      <c r="E2419" s="1" t="s">
        <v>66</v>
      </c>
    </row>
    <row r="2420" ht="15.75" customHeight="1">
      <c r="A2420" s="1" t="s">
        <v>2612</v>
      </c>
      <c r="B2420" s="13" t="str">
        <f t="shared" si="1"/>
        <v>Rico</v>
      </c>
      <c r="C2420" s="13" t="str">
        <f t="shared" si="2"/>
        <v>Gafford</v>
      </c>
      <c r="D2420" s="13" t="str">
        <f t="shared" si="3"/>
        <v>#N/A</v>
      </c>
      <c r="E2420" s="1" t="s">
        <v>69</v>
      </c>
    </row>
    <row r="2421" ht="15.75" customHeight="1">
      <c r="A2421" s="1" t="s">
        <v>2613</v>
      </c>
      <c r="B2421" s="13" t="str">
        <f t="shared" si="1"/>
        <v>Rico</v>
      </c>
      <c r="C2421" s="13" t="str">
        <f t="shared" si="2"/>
        <v>Gathers</v>
      </c>
      <c r="D2421" s="13" t="str">
        <f t="shared" si="3"/>
        <v>#N/A</v>
      </c>
      <c r="E2421" s="1" t="s">
        <v>68</v>
      </c>
    </row>
    <row r="2422" ht="15.75" customHeight="1">
      <c r="A2422" s="1" t="s">
        <v>2614</v>
      </c>
      <c r="B2422" s="13" t="str">
        <f t="shared" si="1"/>
        <v>Rico</v>
      </c>
      <c r="C2422" s="13" t="str">
        <f t="shared" si="2"/>
        <v>Richardson</v>
      </c>
      <c r="D2422" s="13" t="str">
        <f t="shared" si="3"/>
        <v>#N/A</v>
      </c>
      <c r="E2422" s="1" t="s">
        <v>69</v>
      </c>
    </row>
    <row r="2423" ht="15.75" customHeight="1">
      <c r="A2423" s="1" t="s">
        <v>2615</v>
      </c>
      <c r="B2423" s="13" t="str">
        <f t="shared" si="1"/>
        <v>Riley</v>
      </c>
      <c r="C2423" s="13" t="str">
        <f t="shared" si="2"/>
        <v>Cooper</v>
      </c>
      <c r="D2423" s="13" t="str">
        <f t="shared" si="3"/>
        <v>#N/A</v>
      </c>
      <c r="E2423" s="1" t="s">
        <v>69</v>
      </c>
    </row>
    <row r="2424" ht="15.75" customHeight="1">
      <c r="A2424" s="1" t="s">
        <v>2616</v>
      </c>
      <c r="B2424" s="13" t="str">
        <f t="shared" si="1"/>
        <v>Riley</v>
      </c>
      <c r="C2424" s="13" t="str">
        <f t="shared" si="2"/>
        <v>McCarron</v>
      </c>
      <c r="D2424" s="13" t="str">
        <f t="shared" si="3"/>
        <v>#N/A</v>
      </c>
      <c r="E2424" s="1" t="s">
        <v>69</v>
      </c>
    </row>
    <row r="2425" ht="15.75" customHeight="1">
      <c r="A2425" s="1" t="s">
        <v>2617</v>
      </c>
      <c r="B2425" s="13" t="str">
        <f t="shared" si="1"/>
        <v>Riley</v>
      </c>
      <c r="C2425" s="13" t="str">
        <f t="shared" si="2"/>
        <v>Ridley</v>
      </c>
      <c r="D2425" s="13" t="str">
        <f t="shared" si="3"/>
        <v>#N/A</v>
      </c>
      <c r="E2425" s="1" t="s">
        <v>69</v>
      </c>
    </row>
    <row r="2426" ht="15.75" customHeight="1">
      <c r="A2426" s="1" t="s">
        <v>1478</v>
      </c>
      <c r="B2426" s="13" t="str">
        <f t="shared" si="1"/>
        <v>Rishard</v>
      </c>
      <c r="C2426" s="13" t="str">
        <f t="shared" si="2"/>
        <v>Matthews</v>
      </c>
      <c r="D2426" s="13" t="str">
        <f t="shared" si="3"/>
        <v>#N/A</v>
      </c>
      <c r="E2426" s="1" t="s">
        <v>69</v>
      </c>
    </row>
    <row r="2427" ht="15.75" customHeight="1">
      <c r="A2427" s="1" t="s">
        <v>2618</v>
      </c>
      <c r="B2427" s="13" t="str">
        <f t="shared" si="1"/>
        <v>River</v>
      </c>
      <c r="C2427" s="13" t="str">
        <f t="shared" si="2"/>
        <v>Cracraft</v>
      </c>
      <c r="D2427" s="13" t="str">
        <f t="shared" si="3"/>
        <v>#N/A</v>
      </c>
      <c r="E2427" s="1" t="s">
        <v>69</v>
      </c>
    </row>
    <row r="2428" ht="15.75" customHeight="1">
      <c r="A2428" s="1" t="s">
        <v>2619</v>
      </c>
      <c r="B2428" s="13" t="str">
        <f t="shared" si="1"/>
        <v>Rob</v>
      </c>
      <c r="C2428" s="13" t="str">
        <f t="shared" si="2"/>
        <v>Blanchflower</v>
      </c>
      <c r="D2428" s="13" t="str">
        <f t="shared" si="3"/>
        <v>#N/A</v>
      </c>
      <c r="E2428" s="1" t="s">
        <v>68</v>
      </c>
    </row>
    <row r="2429" ht="15.75" customHeight="1">
      <c r="A2429" s="1" t="s">
        <v>654</v>
      </c>
      <c r="B2429" s="13" t="str">
        <f t="shared" si="1"/>
        <v>Rob</v>
      </c>
      <c r="C2429" s="13" t="str">
        <f t="shared" si="2"/>
        <v>Gronkowski</v>
      </c>
      <c r="D2429" s="13" t="str">
        <f t="shared" si="3"/>
        <v>#N/A</v>
      </c>
      <c r="E2429" s="1" t="s">
        <v>68</v>
      </c>
    </row>
    <row r="2430" ht="15.75" customHeight="1">
      <c r="A2430" s="1" t="s">
        <v>2620</v>
      </c>
      <c r="B2430" s="13" t="str">
        <f t="shared" si="1"/>
        <v>Rob</v>
      </c>
      <c r="C2430" s="13" t="str">
        <f t="shared" si="2"/>
        <v>Housler</v>
      </c>
      <c r="D2430" s="13" t="str">
        <f t="shared" si="3"/>
        <v>#N/A</v>
      </c>
      <c r="E2430" s="1" t="s">
        <v>68</v>
      </c>
    </row>
    <row r="2431" ht="15.75" customHeight="1">
      <c r="A2431" s="1" t="s">
        <v>1564</v>
      </c>
      <c r="B2431" s="13" t="str">
        <f t="shared" si="1"/>
        <v>Rob</v>
      </c>
      <c r="C2431" s="13" t="str">
        <f t="shared" si="2"/>
        <v>Kelley</v>
      </c>
      <c r="D2431" s="13" t="str">
        <f t="shared" si="3"/>
        <v>#N/A</v>
      </c>
      <c r="E2431" s="1" t="s">
        <v>66</v>
      </c>
    </row>
    <row r="2432" ht="15.75" customHeight="1">
      <c r="A2432" s="1" t="s">
        <v>99</v>
      </c>
      <c r="B2432" s="13" t="str">
        <f t="shared" si="1"/>
        <v>Robbie</v>
      </c>
      <c r="C2432" s="13" t="str">
        <f t="shared" si="2"/>
        <v>Anderson</v>
      </c>
      <c r="D2432" s="13" t="str">
        <f t="shared" si="3"/>
        <v>#N/A</v>
      </c>
      <c r="E2432" s="1" t="s">
        <v>69</v>
      </c>
    </row>
    <row r="2433" ht="15.75" customHeight="1">
      <c r="A2433" s="1" t="s">
        <v>575</v>
      </c>
      <c r="B2433" s="13" t="str">
        <f t="shared" si="1"/>
        <v>Robbie</v>
      </c>
      <c r="C2433" s="13" t="str">
        <f t="shared" si="2"/>
        <v>Gould</v>
      </c>
      <c r="D2433" s="13" t="str">
        <f t="shared" si="3"/>
        <v>#N/A</v>
      </c>
      <c r="E2433" s="1" t="s">
        <v>64</v>
      </c>
    </row>
    <row r="2434" ht="15.75" customHeight="1">
      <c r="A2434" s="1" t="s">
        <v>137</v>
      </c>
      <c r="B2434" s="13" t="str">
        <f t="shared" si="1"/>
        <v>Robbie</v>
      </c>
      <c r="C2434" s="13" t="str">
        <f t="shared" si="2"/>
        <v>Gould</v>
      </c>
      <c r="D2434" s="13" t="str">
        <f t="shared" si="3"/>
        <v>#N/A</v>
      </c>
      <c r="E2434" s="1" t="s">
        <v>64</v>
      </c>
    </row>
    <row r="2435" ht="15.75" customHeight="1">
      <c r="A2435" s="1" t="s">
        <v>2621</v>
      </c>
      <c r="B2435" s="13" t="str">
        <f t="shared" si="1"/>
        <v>Robert</v>
      </c>
      <c r="C2435" s="13" t="str">
        <f t="shared" si="2"/>
        <v>Davis</v>
      </c>
      <c r="D2435" s="13" t="str">
        <f t="shared" si="3"/>
        <v>#N/A</v>
      </c>
      <c r="E2435" s="1" t="s">
        <v>69</v>
      </c>
    </row>
    <row r="2436" ht="15.75" customHeight="1">
      <c r="A2436" s="1" t="s">
        <v>2622</v>
      </c>
      <c r="B2436" s="13" t="str">
        <f t="shared" si="1"/>
        <v>Robert</v>
      </c>
      <c r="C2436" s="13" t="str">
        <f t="shared" si="2"/>
        <v>Foster</v>
      </c>
      <c r="D2436" s="13" t="str">
        <f t="shared" si="3"/>
        <v>#N/A</v>
      </c>
      <c r="E2436" s="1" t="s">
        <v>69</v>
      </c>
    </row>
    <row r="2437" ht="15.75" customHeight="1">
      <c r="A2437" s="1" t="s">
        <v>1993</v>
      </c>
      <c r="B2437" s="13" t="str">
        <f t="shared" si="1"/>
        <v>Robert</v>
      </c>
      <c r="C2437" s="13" t="str">
        <f t="shared" si="2"/>
        <v>Griffin III</v>
      </c>
      <c r="D2437" s="13" t="str">
        <f t="shared" si="3"/>
        <v>#N/A</v>
      </c>
      <c r="E2437" s="1" t="s">
        <v>65</v>
      </c>
    </row>
    <row r="2438" ht="15.75" customHeight="1">
      <c r="A2438" s="1" t="s">
        <v>2623</v>
      </c>
      <c r="B2438" s="13" t="str">
        <f t="shared" si="1"/>
        <v>Robert</v>
      </c>
      <c r="C2438" s="13" t="str">
        <f t="shared" si="2"/>
        <v>Herron</v>
      </c>
      <c r="D2438" s="13" t="str">
        <f t="shared" si="3"/>
        <v>#N/A</v>
      </c>
      <c r="E2438" s="1" t="s">
        <v>69</v>
      </c>
    </row>
    <row r="2439" ht="15.75" customHeight="1">
      <c r="A2439" s="1" t="s">
        <v>2624</v>
      </c>
      <c r="B2439" s="13" t="str">
        <f t="shared" si="1"/>
        <v>Robert</v>
      </c>
      <c r="C2439" s="13" t="str">
        <f t="shared" si="2"/>
        <v>Hughes</v>
      </c>
      <c r="D2439" s="13" t="str">
        <f t="shared" si="3"/>
        <v>#N/A</v>
      </c>
      <c r="E2439" s="1" t="s">
        <v>66</v>
      </c>
    </row>
    <row r="2440" ht="15.75" customHeight="1">
      <c r="A2440" s="1" t="s">
        <v>2625</v>
      </c>
      <c r="B2440" s="13" t="str">
        <f t="shared" si="1"/>
        <v>Robert</v>
      </c>
      <c r="C2440" s="13" t="str">
        <f t="shared" si="2"/>
        <v>Martin</v>
      </c>
      <c r="D2440" s="13" t="str">
        <f t="shared" si="3"/>
        <v>#N/A</v>
      </c>
      <c r="E2440" s="1" t="s">
        <v>66</v>
      </c>
    </row>
    <row r="2441" ht="15.75" customHeight="1">
      <c r="A2441" s="1" t="s">
        <v>2626</v>
      </c>
      <c r="B2441" s="13" t="str">
        <f t="shared" si="1"/>
        <v>Robert</v>
      </c>
      <c r="C2441" s="13" t="str">
        <f t="shared" si="2"/>
        <v>Meachem</v>
      </c>
      <c r="D2441" s="13" t="str">
        <f t="shared" si="3"/>
        <v>#N/A</v>
      </c>
      <c r="E2441" s="1" t="s">
        <v>69</v>
      </c>
    </row>
    <row r="2442" ht="15.75" customHeight="1">
      <c r="A2442" s="1" t="s">
        <v>398</v>
      </c>
      <c r="B2442" s="13" t="str">
        <f t="shared" si="1"/>
        <v>Robert</v>
      </c>
      <c r="C2442" s="13" t="str">
        <f t="shared" si="2"/>
        <v>Tonyan</v>
      </c>
      <c r="D2442" s="13" t="str">
        <f t="shared" si="3"/>
        <v>#N/A</v>
      </c>
      <c r="E2442" s="1" t="s">
        <v>68</v>
      </c>
    </row>
    <row r="2443" ht="15.75" customHeight="1">
      <c r="A2443" s="1" t="s">
        <v>2627</v>
      </c>
      <c r="B2443" s="13" t="str">
        <f t="shared" si="1"/>
        <v>Robert</v>
      </c>
      <c r="C2443" s="13" t="str">
        <f t="shared" si="2"/>
        <v>Turbin</v>
      </c>
      <c r="D2443" s="13" t="str">
        <f t="shared" si="3"/>
        <v>#N/A</v>
      </c>
      <c r="E2443" s="1" t="s">
        <v>66</v>
      </c>
    </row>
    <row r="2444" ht="15.75" customHeight="1">
      <c r="A2444" s="1" t="s">
        <v>2628</v>
      </c>
      <c r="B2444" s="13" t="str">
        <f t="shared" si="1"/>
        <v>Robert</v>
      </c>
      <c r="C2444" s="13" t="str">
        <f t="shared" si="2"/>
        <v>Wheelwright</v>
      </c>
      <c r="D2444" s="13" t="str">
        <f t="shared" si="3"/>
        <v>#N/A</v>
      </c>
      <c r="E2444" s="1" t="s">
        <v>69</v>
      </c>
    </row>
    <row r="2445" ht="15.75" customHeight="1">
      <c r="A2445" s="1" t="s">
        <v>389</v>
      </c>
      <c r="B2445" s="13" t="str">
        <f t="shared" si="1"/>
        <v>Robert</v>
      </c>
      <c r="C2445" s="13" t="str">
        <f t="shared" si="2"/>
        <v>Woods</v>
      </c>
      <c r="D2445" s="13" t="str">
        <f t="shared" si="3"/>
        <v>#N/A</v>
      </c>
      <c r="E2445" s="1" t="s">
        <v>69</v>
      </c>
    </row>
    <row r="2446" ht="15.75" customHeight="1">
      <c r="A2446" s="1" t="s">
        <v>2629</v>
      </c>
      <c r="B2446" s="13" t="str">
        <f t="shared" si="1"/>
        <v>Roc</v>
      </c>
      <c r="C2446" s="13" t="str">
        <f t="shared" si="2"/>
        <v>Thomas</v>
      </c>
      <c r="D2446" s="13" t="str">
        <f t="shared" si="3"/>
        <v>#N/A</v>
      </c>
      <c r="E2446" s="1" t="s">
        <v>66</v>
      </c>
    </row>
    <row r="2447" ht="15.75" customHeight="1">
      <c r="A2447" s="1" t="s">
        <v>2630</v>
      </c>
      <c r="B2447" s="13" t="str">
        <f t="shared" si="1"/>
        <v>Rod</v>
      </c>
      <c r="C2447" s="13" t="str">
        <f t="shared" si="2"/>
        <v>Smith</v>
      </c>
      <c r="D2447" s="13" t="str">
        <f t="shared" si="3"/>
        <v>#N/A</v>
      </c>
      <c r="E2447" s="1" t="s">
        <v>66</v>
      </c>
    </row>
    <row r="2448" ht="15.75" customHeight="1">
      <c r="A2448" s="1" t="s">
        <v>2631</v>
      </c>
      <c r="B2448" s="13" t="str">
        <f t="shared" si="1"/>
        <v>Rod</v>
      </c>
      <c r="C2448" s="13" t="str">
        <f t="shared" si="2"/>
        <v>Streater</v>
      </c>
      <c r="D2448" s="13" t="str">
        <f t="shared" si="3"/>
        <v>#N/A</v>
      </c>
      <c r="E2448" s="1" t="s">
        <v>69</v>
      </c>
    </row>
    <row r="2449" ht="15.75" customHeight="1">
      <c r="A2449" s="1" t="s">
        <v>2632</v>
      </c>
      <c r="B2449" s="13" t="str">
        <f t="shared" si="1"/>
        <v>Roddy</v>
      </c>
      <c r="C2449" s="13" t="str">
        <f t="shared" si="2"/>
        <v>White</v>
      </c>
      <c r="D2449" s="13" t="str">
        <f t="shared" si="3"/>
        <v>#N/A</v>
      </c>
      <c r="E2449" s="1" t="s">
        <v>69</v>
      </c>
    </row>
    <row r="2450" ht="15.75" customHeight="1">
      <c r="A2450" s="1" t="s">
        <v>2633</v>
      </c>
      <c r="B2450" s="13" t="str">
        <f t="shared" si="1"/>
        <v>Rodney</v>
      </c>
      <c r="C2450" s="13" t="str">
        <f t="shared" si="2"/>
        <v>Adams</v>
      </c>
      <c r="D2450" s="13" t="str">
        <f t="shared" si="3"/>
        <v>#N/A</v>
      </c>
      <c r="E2450" s="1" t="s">
        <v>69</v>
      </c>
    </row>
    <row r="2451" ht="15.75" customHeight="1">
      <c r="A2451" s="1" t="s">
        <v>2634</v>
      </c>
      <c r="B2451" s="13" t="str">
        <f t="shared" si="1"/>
        <v>Rodney</v>
      </c>
      <c r="C2451" s="13" t="str">
        <f t="shared" si="2"/>
        <v>Anderson</v>
      </c>
      <c r="D2451" s="13" t="str">
        <f t="shared" si="3"/>
        <v>#N/A</v>
      </c>
      <c r="E2451" s="1" t="s">
        <v>66</v>
      </c>
    </row>
    <row r="2452" ht="15.75" customHeight="1">
      <c r="A2452" s="1" t="s">
        <v>2635</v>
      </c>
      <c r="B2452" s="13" t="str">
        <f t="shared" si="1"/>
        <v>Rodney</v>
      </c>
      <c r="C2452" s="13" t="str">
        <f t="shared" si="2"/>
        <v>Smith</v>
      </c>
      <c r="D2452" s="13" t="str">
        <f t="shared" si="3"/>
        <v>#N/A</v>
      </c>
      <c r="E2452" s="1" t="s">
        <v>69</v>
      </c>
    </row>
    <row r="2453" ht="15.75" customHeight="1">
      <c r="A2453" s="1" t="s">
        <v>2635</v>
      </c>
      <c r="B2453" s="13" t="str">
        <f t="shared" si="1"/>
        <v>Rodney</v>
      </c>
      <c r="C2453" s="13" t="str">
        <f t="shared" si="2"/>
        <v>Smith</v>
      </c>
      <c r="D2453" s="13" t="str">
        <f t="shared" si="3"/>
        <v>#N/A</v>
      </c>
      <c r="E2453" s="1" t="s">
        <v>66</v>
      </c>
    </row>
    <row r="2454" ht="15.75" customHeight="1">
      <c r="A2454" s="1" t="s">
        <v>2636</v>
      </c>
      <c r="B2454" s="13" t="str">
        <f t="shared" si="1"/>
        <v>Rodney</v>
      </c>
      <c r="C2454" s="13" t="str">
        <f t="shared" si="2"/>
        <v>Williams</v>
      </c>
      <c r="D2454" s="13" t="str">
        <f t="shared" si="3"/>
        <v>#N/A</v>
      </c>
      <c r="E2454" s="1" t="s">
        <v>68</v>
      </c>
    </row>
    <row r="2455" ht="15.75" customHeight="1">
      <c r="A2455" s="1" t="s">
        <v>631</v>
      </c>
      <c r="B2455" s="13" t="str">
        <f t="shared" si="1"/>
        <v>Rodrigo</v>
      </c>
      <c r="C2455" s="13" t="str">
        <f t="shared" si="2"/>
        <v>Blankenship</v>
      </c>
      <c r="D2455" s="13" t="str">
        <f t="shared" si="3"/>
        <v>#N/A</v>
      </c>
      <c r="E2455" s="1" t="s">
        <v>64</v>
      </c>
    </row>
    <row r="2456" ht="15.75" customHeight="1">
      <c r="A2456" s="1" t="s">
        <v>165</v>
      </c>
      <c r="B2456" s="13" t="str">
        <f t="shared" si="1"/>
        <v>Rodrigo</v>
      </c>
      <c r="C2456" s="13" t="str">
        <f t="shared" si="2"/>
        <v>Blankenship</v>
      </c>
      <c r="D2456" s="13" t="str">
        <f t="shared" si="3"/>
        <v>#N/A</v>
      </c>
      <c r="E2456" s="1" t="s">
        <v>64</v>
      </c>
    </row>
    <row r="2457" ht="15.75" customHeight="1">
      <c r="A2457" s="1" t="s">
        <v>2637</v>
      </c>
      <c r="B2457" s="13" t="str">
        <f t="shared" si="1"/>
        <v>Roger</v>
      </c>
      <c r="C2457" s="13" t="str">
        <f t="shared" si="2"/>
        <v>Lewis</v>
      </c>
      <c r="D2457" s="13" t="str">
        <f t="shared" si="3"/>
        <v>#N/A</v>
      </c>
      <c r="E2457" s="1" t="s">
        <v>69</v>
      </c>
    </row>
    <row r="2458" ht="15.75" customHeight="1">
      <c r="A2458" s="1" t="s">
        <v>2638</v>
      </c>
      <c r="B2458" s="13" t="str">
        <f t="shared" si="1"/>
        <v>Rome</v>
      </c>
      <c r="C2458" s="13" t="str">
        <f t="shared" si="2"/>
        <v>Odunze</v>
      </c>
      <c r="D2458" s="13" t="str">
        <f t="shared" si="3"/>
        <v>#N/A</v>
      </c>
      <c r="E2458" s="1" t="s">
        <v>69</v>
      </c>
    </row>
    <row r="2459" ht="15.75" customHeight="1">
      <c r="A2459" s="1" t="s">
        <v>2639</v>
      </c>
      <c r="B2459" s="13" t="str">
        <f t="shared" si="1"/>
        <v>Romell</v>
      </c>
      <c r="C2459" s="13" t="str">
        <f t="shared" si="2"/>
        <v>Guerrier</v>
      </c>
      <c r="D2459" s="13" t="str">
        <f t="shared" si="3"/>
        <v>#N/A</v>
      </c>
      <c r="E2459" s="1" t="s">
        <v>69</v>
      </c>
    </row>
    <row r="2460" ht="15.75" customHeight="1">
      <c r="A2460" s="1" t="s">
        <v>2640</v>
      </c>
      <c r="B2460" s="13" t="str">
        <f t="shared" si="1"/>
        <v>Romello</v>
      </c>
      <c r="C2460" s="13" t="str">
        <f t="shared" si="2"/>
        <v>Brinson</v>
      </c>
      <c r="D2460" s="13" t="str">
        <f t="shared" si="3"/>
        <v>#N/A</v>
      </c>
      <c r="E2460" s="1" t="s">
        <v>69</v>
      </c>
    </row>
    <row r="2461" ht="15.75" customHeight="1">
      <c r="A2461" s="1" t="s">
        <v>2641</v>
      </c>
      <c r="B2461" s="13" t="str">
        <f t="shared" si="1"/>
        <v>Romello</v>
      </c>
      <c r="C2461" s="13" t="str">
        <f t="shared" si="2"/>
        <v>Brooker</v>
      </c>
      <c r="D2461" s="13" t="str">
        <f t="shared" si="3"/>
        <v>#N/A</v>
      </c>
      <c r="E2461" s="1" t="s">
        <v>68</v>
      </c>
    </row>
    <row r="2462" ht="15.75" customHeight="1">
      <c r="A2462" s="1" t="s">
        <v>2642</v>
      </c>
      <c r="B2462" s="13" t="str">
        <f t="shared" si="1"/>
        <v>Romeo</v>
      </c>
      <c r="C2462" s="13" t="str">
        <f t="shared" si="2"/>
        <v>Doubs</v>
      </c>
      <c r="D2462" s="13" t="str">
        <f t="shared" si="3"/>
        <v>#N/A</v>
      </c>
      <c r="E2462" s="1" t="s">
        <v>69</v>
      </c>
    </row>
    <row r="2463" ht="15.75" customHeight="1">
      <c r="A2463" s="1" t="s">
        <v>2643</v>
      </c>
      <c r="B2463" s="13" t="str">
        <f t="shared" si="1"/>
        <v>Ronald</v>
      </c>
      <c r="C2463" s="13" t="str">
        <f t="shared" si="2"/>
        <v>Jones</v>
      </c>
      <c r="D2463" s="13" t="str">
        <f t="shared" si="3"/>
        <v>#N/A</v>
      </c>
      <c r="E2463" s="1" t="s">
        <v>66</v>
      </c>
    </row>
    <row r="2464" ht="15.75" customHeight="1">
      <c r="A2464" s="1" t="s">
        <v>2644</v>
      </c>
      <c r="B2464" s="13" t="str">
        <f t="shared" si="1"/>
        <v>Rondale</v>
      </c>
      <c r="C2464" s="13" t="str">
        <f t="shared" si="2"/>
        <v>Moore</v>
      </c>
      <c r="D2464" s="13" t="str">
        <f t="shared" si="3"/>
        <v>#N/A</v>
      </c>
      <c r="E2464" s="1" t="s">
        <v>69</v>
      </c>
    </row>
    <row r="2465" ht="15.75" customHeight="1">
      <c r="A2465" s="1" t="s">
        <v>2645</v>
      </c>
      <c r="B2465" s="13" t="str">
        <f t="shared" si="1"/>
        <v>Ronnie</v>
      </c>
      <c r="C2465" s="13" t="str">
        <f t="shared" si="2"/>
        <v>Bell</v>
      </c>
      <c r="D2465" s="13" t="str">
        <f t="shared" si="3"/>
        <v>#N/A</v>
      </c>
      <c r="E2465" s="1" t="s">
        <v>69</v>
      </c>
    </row>
    <row r="2466" ht="15.75" customHeight="1">
      <c r="A2466" s="1" t="s">
        <v>2646</v>
      </c>
      <c r="B2466" s="13" t="str">
        <f t="shared" si="1"/>
        <v>Ronnie</v>
      </c>
      <c r="C2466" s="13" t="str">
        <f t="shared" si="2"/>
        <v>Brown</v>
      </c>
      <c r="D2466" s="13" t="str">
        <f t="shared" si="3"/>
        <v>#N/A</v>
      </c>
      <c r="E2466" s="1" t="s">
        <v>66</v>
      </c>
    </row>
    <row r="2467" ht="15.75" customHeight="1">
      <c r="A2467" s="1" t="s">
        <v>2647</v>
      </c>
      <c r="B2467" s="13" t="str">
        <f t="shared" si="1"/>
        <v>Ronnie</v>
      </c>
      <c r="C2467" s="13" t="str">
        <f t="shared" si="2"/>
        <v>Hillman</v>
      </c>
      <c r="D2467" s="13" t="str">
        <f t="shared" si="3"/>
        <v>#N/A</v>
      </c>
      <c r="E2467" s="1" t="s">
        <v>66</v>
      </c>
    </row>
    <row r="2468" ht="15.75" customHeight="1">
      <c r="A2468" s="1" t="s">
        <v>2648</v>
      </c>
      <c r="B2468" s="13" t="str">
        <f t="shared" si="1"/>
        <v>Ronnie</v>
      </c>
      <c r="C2468" s="13" t="str">
        <f t="shared" si="2"/>
        <v>Rivers</v>
      </c>
      <c r="D2468" s="13" t="str">
        <f t="shared" si="3"/>
        <v>#N/A</v>
      </c>
      <c r="E2468" s="1" t="s">
        <v>66</v>
      </c>
    </row>
    <row r="2469" ht="15.75" customHeight="1">
      <c r="A2469" s="1" t="s">
        <v>2649</v>
      </c>
      <c r="B2469" s="13" t="str">
        <f t="shared" si="1"/>
        <v>Ronnie</v>
      </c>
      <c r="C2469" s="13" t="str">
        <f t="shared" si="2"/>
        <v>Wingo</v>
      </c>
      <c r="D2469" s="13" t="str">
        <f t="shared" si="3"/>
        <v>#N/A</v>
      </c>
      <c r="E2469" s="1" t="s">
        <v>66</v>
      </c>
    </row>
    <row r="2470" ht="15.75" customHeight="1">
      <c r="A2470" s="1" t="s">
        <v>2650</v>
      </c>
      <c r="B2470" s="13" t="str">
        <f t="shared" si="1"/>
        <v>Ron'Quavion</v>
      </c>
      <c r="C2470" s="13" t="str">
        <f t="shared" si="2"/>
        <v>Tarver</v>
      </c>
      <c r="D2470" s="13" t="str">
        <f t="shared" si="3"/>
        <v>#N/A</v>
      </c>
      <c r="E2470" s="1" t="s">
        <v>69</v>
      </c>
    </row>
    <row r="2471" ht="15.75" customHeight="1">
      <c r="A2471" s="1" t="s">
        <v>2651</v>
      </c>
      <c r="B2471" s="13" t="str">
        <f t="shared" si="1"/>
        <v>Roosevelt</v>
      </c>
      <c r="C2471" s="13" t="str">
        <f t="shared" si="2"/>
        <v>Nix</v>
      </c>
      <c r="D2471" s="13" t="str">
        <f t="shared" si="3"/>
        <v>#N/A</v>
      </c>
      <c r="E2471" s="1" t="s">
        <v>66</v>
      </c>
    </row>
    <row r="2472" ht="15.75" customHeight="1">
      <c r="A2472" s="1" t="s">
        <v>2652</v>
      </c>
      <c r="B2472" s="13" t="str">
        <f t="shared" si="1"/>
        <v>Rory</v>
      </c>
      <c r="C2472" s="13" t="str">
        <f t="shared" si="2"/>
        <v>Anderson</v>
      </c>
      <c r="D2472" s="13" t="str">
        <f t="shared" si="3"/>
        <v>#N/A</v>
      </c>
      <c r="E2472" s="1" t="s">
        <v>68</v>
      </c>
    </row>
    <row r="2473" ht="15.75" customHeight="1">
      <c r="A2473" s="1" t="s">
        <v>2653</v>
      </c>
      <c r="B2473" s="13" t="str">
        <f t="shared" si="1"/>
        <v>Roschon</v>
      </c>
      <c r="C2473" s="13" t="str">
        <f t="shared" si="2"/>
        <v>Johnson</v>
      </c>
      <c r="D2473" s="13" t="str">
        <f t="shared" si="3"/>
        <v>#N/A</v>
      </c>
      <c r="E2473" s="1" t="s">
        <v>66</v>
      </c>
    </row>
    <row r="2474" ht="15.75" customHeight="1">
      <c r="A2474" s="1" t="s">
        <v>2654</v>
      </c>
      <c r="B2474" s="13" t="str">
        <f t="shared" si="1"/>
        <v>Ross</v>
      </c>
      <c r="C2474" s="13" t="str">
        <f t="shared" si="2"/>
        <v>Apo</v>
      </c>
      <c r="D2474" s="13" t="str">
        <f t="shared" si="3"/>
        <v>#N/A</v>
      </c>
      <c r="E2474" s="1" t="s">
        <v>69</v>
      </c>
    </row>
    <row r="2475" ht="15.75" customHeight="1">
      <c r="A2475" s="1" t="s">
        <v>2655</v>
      </c>
      <c r="B2475" s="13" t="str">
        <f t="shared" si="1"/>
        <v>Ross</v>
      </c>
      <c r="C2475" s="13" t="str">
        <f t="shared" si="2"/>
        <v>Dwelley</v>
      </c>
      <c r="D2475" s="13" t="str">
        <f t="shared" si="3"/>
        <v>#N/A</v>
      </c>
      <c r="E2475" s="1" t="s">
        <v>68</v>
      </c>
    </row>
    <row r="2476" ht="15.75" customHeight="1">
      <c r="A2476" s="1" t="s">
        <v>2656</v>
      </c>
      <c r="B2476" s="13" t="str">
        <f t="shared" si="1"/>
        <v>Ross</v>
      </c>
      <c r="C2476" s="13" t="str">
        <f t="shared" si="2"/>
        <v>Scheuerman</v>
      </c>
      <c r="D2476" s="13" t="str">
        <f t="shared" si="3"/>
        <v>#N/A</v>
      </c>
      <c r="E2476" s="1" t="s">
        <v>66</v>
      </c>
    </row>
    <row r="2477" ht="15.75" customHeight="1">
      <c r="A2477" s="1" t="s">
        <v>2657</v>
      </c>
      <c r="B2477" s="13" t="str">
        <f t="shared" si="1"/>
        <v>Ross</v>
      </c>
      <c r="C2477" s="13" t="str">
        <f t="shared" si="2"/>
        <v>Travis</v>
      </c>
      <c r="D2477" s="13" t="str">
        <f t="shared" si="3"/>
        <v>#N/A</v>
      </c>
      <c r="E2477" s="1" t="s">
        <v>68</v>
      </c>
    </row>
    <row r="2478" ht="15.75" customHeight="1">
      <c r="A2478" s="1" t="s">
        <v>2658</v>
      </c>
      <c r="B2478" s="13" t="str">
        <f t="shared" si="1"/>
        <v>Roy</v>
      </c>
      <c r="C2478" s="13" t="str">
        <f t="shared" si="2"/>
        <v>Finch</v>
      </c>
      <c r="D2478" s="13" t="str">
        <f t="shared" si="3"/>
        <v>#N/A</v>
      </c>
      <c r="E2478" s="1" t="s">
        <v>66</v>
      </c>
    </row>
    <row r="2479" ht="15.75" customHeight="1">
      <c r="A2479" s="1" t="s">
        <v>2659</v>
      </c>
      <c r="B2479" s="13" t="str">
        <f t="shared" si="1"/>
        <v>Roy</v>
      </c>
      <c r="C2479" s="13" t="str">
        <f t="shared" si="2"/>
        <v>Helu</v>
      </c>
      <c r="D2479" s="13" t="str">
        <f t="shared" si="3"/>
        <v>#N/A</v>
      </c>
      <c r="E2479" s="1" t="s">
        <v>66</v>
      </c>
    </row>
    <row r="2480" ht="15.75" customHeight="1">
      <c r="A2480" s="1" t="s">
        <v>2660</v>
      </c>
      <c r="B2480" s="13" t="str">
        <f t="shared" si="1"/>
        <v>Roy</v>
      </c>
      <c r="C2480" s="13" t="str">
        <f t="shared" si="2"/>
        <v>Williams</v>
      </c>
      <c r="D2480" s="13" t="str">
        <f t="shared" si="3"/>
        <v>#N/A</v>
      </c>
      <c r="E2480" s="1" t="s">
        <v>69</v>
      </c>
    </row>
    <row r="2481" ht="15.75" customHeight="1">
      <c r="A2481" s="1" t="s">
        <v>1025</v>
      </c>
      <c r="B2481" s="13" t="str">
        <f t="shared" si="1"/>
        <v>Royce</v>
      </c>
      <c r="C2481" s="13" t="str">
        <f t="shared" si="2"/>
        <v>Freeman</v>
      </c>
      <c r="D2481" s="13" t="str">
        <f t="shared" si="3"/>
        <v>#N/A</v>
      </c>
      <c r="E2481" s="1" t="s">
        <v>66</v>
      </c>
    </row>
    <row r="2482" ht="15.75" customHeight="1">
      <c r="A2482" s="1" t="s">
        <v>2661</v>
      </c>
      <c r="B2482" s="13" t="str">
        <f t="shared" si="1"/>
        <v>Rudy</v>
      </c>
      <c r="C2482" s="13" t="str">
        <f t="shared" si="2"/>
        <v>Rudolph</v>
      </c>
      <c r="D2482" s="13" t="str">
        <f t="shared" si="3"/>
        <v>#N/A</v>
      </c>
      <c r="E2482" s="1" t="s">
        <v>69</v>
      </c>
    </row>
    <row r="2483" ht="15.75" customHeight="1">
      <c r="A2483" s="1" t="s">
        <v>2662</v>
      </c>
      <c r="B2483" s="13" t="str">
        <f t="shared" si="1"/>
        <v>Rueben</v>
      </c>
      <c r="C2483" s="13" t="str">
        <f t="shared" si="2"/>
        <v>Randle</v>
      </c>
      <c r="D2483" s="13" t="str">
        <f t="shared" si="3"/>
        <v>#N/A</v>
      </c>
      <c r="E2483" s="1" t="s">
        <v>69</v>
      </c>
    </row>
    <row r="2484" ht="15.75" customHeight="1">
      <c r="A2484" s="1" t="s">
        <v>2663</v>
      </c>
      <c r="B2484" s="13" t="str">
        <f t="shared" si="1"/>
        <v>Rushel</v>
      </c>
      <c r="C2484" s="13" t="str">
        <f t="shared" si="2"/>
        <v>Shell</v>
      </c>
      <c r="D2484" s="13" t="str">
        <f t="shared" si="3"/>
        <v>#N/A</v>
      </c>
      <c r="E2484" s="1" t="s">
        <v>66</v>
      </c>
    </row>
    <row r="2485" ht="15.75" customHeight="1">
      <c r="A2485" s="1" t="s">
        <v>2664</v>
      </c>
      <c r="B2485" s="13" t="str">
        <f t="shared" si="1"/>
        <v>Russell</v>
      </c>
      <c r="C2485" s="13" t="str">
        <f t="shared" si="2"/>
        <v>Gage</v>
      </c>
      <c r="D2485" s="13" t="str">
        <f t="shared" si="3"/>
        <v>#N/A</v>
      </c>
      <c r="E2485" s="1" t="s">
        <v>69</v>
      </c>
    </row>
    <row r="2486" ht="15.75" customHeight="1">
      <c r="A2486" s="1" t="s">
        <v>2665</v>
      </c>
      <c r="B2486" s="13" t="str">
        <f t="shared" si="1"/>
        <v>Russell</v>
      </c>
      <c r="C2486" s="13" t="str">
        <f t="shared" si="2"/>
        <v>Hansbrough</v>
      </c>
      <c r="D2486" s="13" t="str">
        <f t="shared" si="3"/>
        <v>#N/A</v>
      </c>
      <c r="E2486" s="1" t="s">
        <v>66</v>
      </c>
    </row>
    <row r="2487" ht="15.75" customHeight="1">
      <c r="A2487" s="1" t="s">
        <v>2666</v>
      </c>
      <c r="B2487" s="13" t="str">
        <f t="shared" si="1"/>
        <v>Russell</v>
      </c>
      <c r="C2487" s="13" t="str">
        <f t="shared" si="2"/>
        <v>Shepard</v>
      </c>
      <c r="D2487" s="13" t="str">
        <f t="shared" si="3"/>
        <v>#N/A</v>
      </c>
      <c r="E2487" s="1" t="s">
        <v>69</v>
      </c>
    </row>
    <row r="2488" ht="15.75" customHeight="1">
      <c r="A2488" s="1" t="s">
        <v>144</v>
      </c>
      <c r="B2488" s="13" t="str">
        <f t="shared" si="1"/>
        <v>Russell</v>
      </c>
      <c r="C2488" s="13" t="str">
        <f t="shared" si="2"/>
        <v>Wilson</v>
      </c>
      <c r="D2488" s="13" t="str">
        <f t="shared" si="3"/>
        <v>#N/A</v>
      </c>
      <c r="E2488" s="1" t="s">
        <v>65</v>
      </c>
    </row>
    <row r="2489" ht="15.75" customHeight="1">
      <c r="A2489" s="1" t="s">
        <v>2667</v>
      </c>
      <c r="B2489" s="13" t="str">
        <f t="shared" si="1"/>
        <v>Ryan</v>
      </c>
      <c r="C2489" s="13" t="str">
        <f t="shared" si="2"/>
        <v>Broyles</v>
      </c>
      <c r="D2489" s="13" t="str">
        <f t="shared" si="3"/>
        <v>#N/A</v>
      </c>
      <c r="E2489" s="1" t="s">
        <v>69</v>
      </c>
    </row>
    <row r="2490" ht="15.75" customHeight="1">
      <c r="A2490" s="1" t="s">
        <v>2668</v>
      </c>
      <c r="B2490" s="13" t="str">
        <f t="shared" si="1"/>
        <v>Ryan</v>
      </c>
      <c r="C2490" s="13" t="str">
        <f t="shared" si="2"/>
        <v>Davis</v>
      </c>
      <c r="D2490" s="13" t="str">
        <f t="shared" si="3"/>
        <v>#N/A</v>
      </c>
      <c r="E2490" s="1" t="s">
        <v>69</v>
      </c>
    </row>
    <row r="2491" ht="15.75" customHeight="1">
      <c r="A2491" s="1" t="s">
        <v>2669</v>
      </c>
      <c r="B2491" s="13" t="str">
        <f t="shared" si="1"/>
        <v>Ryan</v>
      </c>
      <c r="C2491" s="13" t="str">
        <f t="shared" si="2"/>
        <v>Finley</v>
      </c>
      <c r="D2491" s="13" t="str">
        <f t="shared" si="3"/>
        <v>#N/A</v>
      </c>
      <c r="E2491" s="1" t="s">
        <v>65</v>
      </c>
    </row>
    <row r="2492" ht="15.75" customHeight="1">
      <c r="A2492" s="1" t="s">
        <v>2670</v>
      </c>
      <c r="B2492" s="13" t="str">
        <f t="shared" si="1"/>
        <v>Ryan</v>
      </c>
      <c r="C2492" s="13" t="str">
        <f t="shared" si="2"/>
        <v>Fitzpatrick</v>
      </c>
      <c r="D2492" s="13" t="str">
        <f t="shared" si="3"/>
        <v>#N/A</v>
      </c>
      <c r="E2492" s="1" t="s">
        <v>65</v>
      </c>
    </row>
    <row r="2493" ht="15.75" customHeight="1">
      <c r="A2493" s="1" t="s">
        <v>2671</v>
      </c>
      <c r="B2493" s="13" t="str">
        <f t="shared" si="1"/>
        <v>Ryan</v>
      </c>
      <c r="C2493" s="13" t="str">
        <f t="shared" si="2"/>
        <v>Fulse</v>
      </c>
      <c r="D2493" s="13" t="str">
        <f t="shared" si="3"/>
        <v>#N/A</v>
      </c>
      <c r="E2493" s="1" t="s">
        <v>66</v>
      </c>
    </row>
    <row r="2494" ht="15.75" customHeight="1">
      <c r="A2494" s="1" t="s">
        <v>2672</v>
      </c>
      <c r="B2494" s="13" t="str">
        <f t="shared" si="1"/>
        <v>Ryan</v>
      </c>
      <c r="C2494" s="13" t="str">
        <f t="shared" si="2"/>
        <v>Grant</v>
      </c>
      <c r="D2494" s="13" t="str">
        <f t="shared" si="3"/>
        <v>#N/A</v>
      </c>
      <c r="E2494" s="1" t="s">
        <v>69</v>
      </c>
    </row>
    <row r="2495" ht="15.75" customHeight="1">
      <c r="A2495" s="1" t="s">
        <v>2673</v>
      </c>
      <c r="B2495" s="13" t="str">
        <f t="shared" si="1"/>
        <v>Ryan</v>
      </c>
      <c r="C2495" s="13" t="str">
        <f t="shared" si="2"/>
        <v>Griffin</v>
      </c>
      <c r="D2495" s="13" t="str">
        <f t="shared" si="3"/>
        <v>#N/A</v>
      </c>
      <c r="E2495" s="1" t="s">
        <v>65</v>
      </c>
    </row>
    <row r="2496" ht="15.75" customHeight="1">
      <c r="A2496" s="1" t="s">
        <v>2673</v>
      </c>
      <c r="B2496" s="13" t="str">
        <f t="shared" si="1"/>
        <v>Ryan</v>
      </c>
      <c r="C2496" s="13" t="str">
        <f t="shared" si="2"/>
        <v>Griffin</v>
      </c>
      <c r="D2496" s="13" t="str">
        <f t="shared" si="3"/>
        <v>#N/A</v>
      </c>
      <c r="E2496" s="1" t="s">
        <v>68</v>
      </c>
    </row>
    <row r="2497" ht="15.75" customHeight="1">
      <c r="A2497" s="1" t="s">
        <v>2674</v>
      </c>
      <c r="B2497" s="13" t="str">
        <f t="shared" si="1"/>
        <v>Ryan</v>
      </c>
      <c r="C2497" s="13" t="str">
        <f t="shared" si="2"/>
        <v>Hewitt</v>
      </c>
      <c r="D2497" s="13" t="str">
        <f t="shared" si="3"/>
        <v>#N/A</v>
      </c>
      <c r="E2497" s="1" t="s">
        <v>66</v>
      </c>
    </row>
    <row r="2498" ht="15.75" customHeight="1">
      <c r="A2498" s="1" t="s">
        <v>2675</v>
      </c>
      <c r="B2498" s="13" t="str">
        <f t="shared" si="1"/>
        <v>Ryan</v>
      </c>
      <c r="C2498" s="13" t="str">
        <f t="shared" si="2"/>
        <v>Izzo</v>
      </c>
      <c r="D2498" s="13" t="str">
        <f t="shared" si="3"/>
        <v>#N/A</v>
      </c>
      <c r="E2498" s="1" t="s">
        <v>68</v>
      </c>
    </row>
    <row r="2499" ht="15.75" customHeight="1">
      <c r="A2499" s="1" t="s">
        <v>2676</v>
      </c>
      <c r="B2499" s="13" t="str">
        <f t="shared" si="1"/>
        <v>Ryan</v>
      </c>
      <c r="C2499" s="13" t="str">
        <f t="shared" si="2"/>
        <v>Lindley</v>
      </c>
      <c r="D2499" s="13" t="str">
        <f t="shared" si="3"/>
        <v>#N/A</v>
      </c>
      <c r="E2499" s="1" t="s">
        <v>65</v>
      </c>
    </row>
    <row r="2500" ht="15.75" customHeight="1">
      <c r="A2500" s="1" t="s">
        <v>2677</v>
      </c>
      <c r="B2500" s="13" t="str">
        <f t="shared" si="1"/>
        <v>Ryan</v>
      </c>
      <c r="C2500" s="13" t="str">
        <f t="shared" si="2"/>
        <v>Malleck</v>
      </c>
      <c r="D2500" s="13" t="str">
        <f t="shared" si="3"/>
        <v>#N/A</v>
      </c>
      <c r="E2500" s="1" t="s">
        <v>68</v>
      </c>
    </row>
    <row r="2501" ht="15.75" customHeight="1">
      <c r="A2501" s="1" t="s">
        <v>2678</v>
      </c>
      <c r="B2501" s="13" t="str">
        <f t="shared" si="1"/>
        <v>Ryan</v>
      </c>
      <c r="C2501" s="13" t="str">
        <f t="shared" si="2"/>
        <v>Mallett</v>
      </c>
      <c r="D2501" s="13" t="str">
        <f t="shared" si="3"/>
        <v>#N/A</v>
      </c>
      <c r="E2501" s="1" t="s">
        <v>65</v>
      </c>
    </row>
    <row r="2502" ht="15.75" customHeight="1">
      <c r="A2502" s="1" t="s">
        <v>1949</v>
      </c>
      <c r="B2502" s="13" t="str">
        <f t="shared" si="1"/>
        <v>Ryan</v>
      </c>
      <c r="C2502" s="13" t="str">
        <f t="shared" si="2"/>
        <v>Mathews</v>
      </c>
      <c r="D2502" s="13" t="str">
        <f t="shared" si="3"/>
        <v>#N/A</v>
      </c>
      <c r="E2502" s="1" t="s">
        <v>66</v>
      </c>
    </row>
    <row r="2503" ht="15.75" customHeight="1">
      <c r="A2503" s="1" t="s">
        <v>2679</v>
      </c>
      <c r="B2503" s="13" t="str">
        <f t="shared" si="1"/>
        <v>Ryan</v>
      </c>
      <c r="C2503" s="13" t="str">
        <f t="shared" si="2"/>
        <v>Nall</v>
      </c>
      <c r="D2503" s="13" t="str">
        <f t="shared" si="3"/>
        <v>#N/A</v>
      </c>
      <c r="E2503" s="1" t="s">
        <v>66</v>
      </c>
    </row>
    <row r="2504" ht="15.75" customHeight="1">
      <c r="A2504" s="1" t="s">
        <v>2680</v>
      </c>
      <c r="B2504" s="13" t="str">
        <f t="shared" si="1"/>
        <v>Ryan</v>
      </c>
      <c r="C2504" s="13" t="str">
        <f t="shared" si="2"/>
        <v>Nassib</v>
      </c>
      <c r="D2504" s="13" t="str">
        <f t="shared" si="3"/>
        <v>#N/A</v>
      </c>
      <c r="E2504" s="1" t="s">
        <v>65</v>
      </c>
    </row>
    <row r="2505" ht="15.75" customHeight="1">
      <c r="A2505" s="1" t="s">
        <v>2681</v>
      </c>
      <c r="B2505" s="13" t="str">
        <f t="shared" si="1"/>
        <v>Ryan</v>
      </c>
      <c r="C2505" s="13" t="str">
        <f t="shared" si="2"/>
        <v>O'Malley</v>
      </c>
      <c r="D2505" s="13" t="str">
        <f t="shared" si="3"/>
        <v>#N/A</v>
      </c>
      <c r="E2505" s="1" t="s">
        <v>68</v>
      </c>
    </row>
    <row r="2506" ht="15.75" customHeight="1">
      <c r="A2506" s="1" t="s">
        <v>2682</v>
      </c>
      <c r="B2506" s="13" t="str">
        <f t="shared" si="1"/>
        <v>Ryan</v>
      </c>
      <c r="C2506" s="13" t="str">
        <f t="shared" si="2"/>
        <v>Smith</v>
      </c>
      <c r="D2506" s="13" t="str">
        <f t="shared" si="3"/>
        <v>#N/A</v>
      </c>
      <c r="E2506" s="1" t="s">
        <v>68</v>
      </c>
    </row>
    <row r="2507" ht="15.75" customHeight="1">
      <c r="A2507" s="1" t="s">
        <v>2683</v>
      </c>
      <c r="B2507" s="13" t="str">
        <f t="shared" si="1"/>
        <v>Ryan</v>
      </c>
      <c r="C2507" s="13" t="str">
        <f t="shared" si="2"/>
        <v>Spadola</v>
      </c>
      <c r="D2507" s="13" t="str">
        <f t="shared" si="3"/>
        <v>#N/A</v>
      </c>
      <c r="E2507" s="1" t="s">
        <v>69</v>
      </c>
    </row>
    <row r="2508" ht="15.75" customHeight="1">
      <c r="A2508" s="1" t="s">
        <v>90</v>
      </c>
      <c r="B2508" s="13" t="str">
        <f t="shared" si="1"/>
        <v>Ryan</v>
      </c>
      <c r="C2508" s="13" t="str">
        <f t="shared" si="2"/>
        <v>Succop</v>
      </c>
      <c r="D2508" s="13" t="str">
        <f t="shared" si="3"/>
        <v>#N/A</v>
      </c>
      <c r="E2508" s="1" t="s">
        <v>64</v>
      </c>
    </row>
    <row r="2509" ht="15.75" customHeight="1">
      <c r="A2509" s="1" t="s">
        <v>2684</v>
      </c>
      <c r="B2509" s="13" t="str">
        <f t="shared" si="1"/>
        <v>Ryan</v>
      </c>
      <c r="C2509" s="13" t="str">
        <f t="shared" si="2"/>
        <v>Switzer</v>
      </c>
      <c r="D2509" s="13" t="str">
        <f t="shared" si="3"/>
        <v>#N/A</v>
      </c>
      <c r="E2509" s="1" t="s">
        <v>69</v>
      </c>
    </row>
    <row r="2510" ht="15.75" customHeight="1">
      <c r="A2510" s="1" t="s">
        <v>357</v>
      </c>
      <c r="B2510" s="13" t="str">
        <f t="shared" si="1"/>
        <v>Ryan</v>
      </c>
      <c r="C2510" s="13" t="str">
        <f t="shared" si="2"/>
        <v>Tannehill</v>
      </c>
      <c r="D2510" s="13" t="str">
        <f t="shared" si="3"/>
        <v>#N/A</v>
      </c>
      <c r="E2510" s="1" t="s">
        <v>65</v>
      </c>
    </row>
    <row r="2511" ht="15.75" customHeight="1">
      <c r="A2511" s="1" t="s">
        <v>2685</v>
      </c>
      <c r="B2511" s="13" t="str">
        <f t="shared" si="1"/>
        <v>Ryan</v>
      </c>
      <c r="C2511" s="13" t="str">
        <f t="shared" si="2"/>
        <v>Whalen</v>
      </c>
      <c r="D2511" s="13" t="str">
        <f t="shared" si="3"/>
        <v>#N/A</v>
      </c>
      <c r="E2511" s="1" t="s">
        <v>69</v>
      </c>
    </row>
    <row r="2512" ht="15.75" customHeight="1">
      <c r="A2512" s="1" t="s">
        <v>2686</v>
      </c>
      <c r="B2512" s="13" t="str">
        <f t="shared" si="1"/>
        <v>Ryan</v>
      </c>
      <c r="C2512" s="13" t="str">
        <f t="shared" si="2"/>
        <v>Williams</v>
      </c>
      <c r="D2512" s="13" t="str">
        <f t="shared" si="3"/>
        <v>#N/A</v>
      </c>
      <c r="E2512" s="1" t="s">
        <v>66</v>
      </c>
    </row>
    <row r="2513" ht="15.75" customHeight="1">
      <c r="A2513" s="1" t="s">
        <v>2687</v>
      </c>
      <c r="B2513" s="13" t="str">
        <f t="shared" si="1"/>
        <v>Ryan</v>
      </c>
      <c r="C2513" s="13" t="str">
        <f t="shared" si="2"/>
        <v>Yurachek</v>
      </c>
      <c r="D2513" s="13" t="str">
        <f t="shared" si="3"/>
        <v>#N/A</v>
      </c>
      <c r="E2513" s="1" t="s">
        <v>68</v>
      </c>
    </row>
    <row r="2514" ht="15.75" customHeight="1">
      <c r="A2514" s="1" t="s">
        <v>2688</v>
      </c>
      <c r="B2514" s="13" t="str">
        <f t="shared" si="1"/>
        <v>Ryquell</v>
      </c>
      <c r="C2514" s="13" t="str">
        <f t="shared" si="2"/>
        <v>Armstead</v>
      </c>
      <c r="D2514" s="13" t="str">
        <f t="shared" si="3"/>
        <v>#N/A</v>
      </c>
      <c r="E2514" s="1" t="s">
        <v>66</v>
      </c>
    </row>
    <row r="2515" ht="15.75" customHeight="1">
      <c r="A2515" s="1" t="s">
        <v>2689</v>
      </c>
      <c r="B2515" s="13" t="str">
        <f t="shared" si="1"/>
        <v>Saalim</v>
      </c>
      <c r="C2515" s="13" t="str">
        <f t="shared" si="2"/>
        <v>Hakim</v>
      </c>
      <c r="D2515" s="13" t="str">
        <f t="shared" si="3"/>
        <v>#N/A</v>
      </c>
      <c r="E2515" s="1" t="s">
        <v>69</v>
      </c>
    </row>
    <row r="2516" ht="15.75" customHeight="1">
      <c r="A2516" s="1" t="s">
        <v>2690</v>
      </c>
      <c r="B2516" s="13" t="str">
        <f t="shared" si="1"/>
        <v>Saeed</v>
      </c>
      <c r="C2516" s="13" t="str">
        <f t="shared" si="2"/>
        <v>Blacknall</v>
      </c>
      <c r="D2516" s="13" t="str">
        <f t="shared" si="3"/>
        <v>#N/A</v>
      </c>
      <c r="E2516" s="1" t="s">
        <v>69</v>
      </c>
    </row>
    <row r="2517" ht="15.75" customHeight="1">
      <c r="A2517" s="1" t="s">
        <v>2691</v>
      </c>
      <c r="B2517" s="13" t="str">
        <f t="shared" si="1"/>
        <v>Sage</v>
      </c>
      <c r="C2517" s="13" t="str">
        <f t="shared" si="2"/>
        <v>Surratt</v>
      </c>
      <c r="D2517" s="13" t="str">
        <f t="shared" si="3"/>
        <v>#N/A</v>
      </c>
      <c r="E2517" s="1" t="s">
        <v>69</v>
      </c>
    </row>
    <row r="2518" ht="15.75" customHeight="1">
      <c r="A2518" s="1" t="s">
        <v>2692</v>
      </c>
      <c r="B2518" s="13" t="str">
        <f t="shared" si="1"/>
        <v>Salvon</v>
      </c>
      <c r="C2518" s="13" t="str">
        <f t="shared" si="2"/>
        <v>Ahmed</v>
      </c>
      <c r="D2518" s="13" t="str">
        <f t="shared" si="3"/>
        <v>#N/A</v>
      </c>
      <c r="E2518" s="1" t="s">
        <v>66</v>
      </c>
    </row>
    <row r="2519" ht="15.75" customHeight="1">
      <c r="A2519" s="1" t="s">
        <v>2693</v>
      </c>
      <c r="B2519" s="13" t="str">
        <f t="shared" si="1"/>
        <v>Sam</v>
      </c>
      <c r="C2519" s="13" t="str">
        <f t="shared" si="2"/>
        <v>Bradford</v>
      </c>
      <c r="D2519" s="13" t="str">
        <f t="shared" si="3"/>
        <v>#N/A</v>
      </c>
      <c r="E2519" s="1" t="s">
        <v>65</v>
      </c>
    </row>
    <row r="2520" ht="15.75" customHeight="1">
      <c r="A2520" s="1" t="s">
        <v>2694</v>
      </c>
      <c r="B2520" s="13" t="str">
        <f t="shared" si="1"/>
        <v>Sam</v>
      </c>
      <c r="C2520" s="13" t="str">
        <f t="shared" si="2"/>
        <v>Darnold</v>
      </c>
      <c r="D2520" s="13" t="str">
        <f t="shared" si="3"/>
        <v>#N/A</v>
      </c>
      <c r="E2520" s="1" t="s">
        <v>65</v>
      </c>
    </row>
    <row r="2521" ht="15.75" customHeight="1">
      <c r="A2521" s="1" t="s">
        <v>2695</v>
      </c>
      <c r="B2521" s="13" t="str">
        <f t="shared" si="1"/>
        <v>Sam</v>
      </c>
      <c r="C2521" s="13" t="str">
        <f t="shared" si="2"/>
        <v>Ehlinger</v>
      </c>
      <c r="D2521" s="13" t="str">
        <f t="shared" si="3"/>
        <v>#N/A</v>
      </c>
      <c r="E2521" s="1" t="s">
        <v>65</v>
      </c>
    </row>
    <row r="2522" ht="15.75" customHeight="1">
      <c r="A2522" s="1" t="s">
        <v>2696</v>
      </c>
      <c r="B2522" s="13" t="str">
        <f t="shared" si="1"/>
        <v>Sam</v>
      </c>
      <c r="C2522" s="13" t="str">
        <f t="shared" si="2"/>
        <v>Hartman</v>
      </c>
      <c r="D2522" s="13" t="str">
        <f t="shared" si="3"/>
        <v>#N/A</v>
      </c>
      <c r="E2522" s="1" t="s">
        <v>65</v>
      </c>
    </row>
    <row r="2523" ht="15.75" customHeight="1">
      <c r="A2523" s="1" t="s">
        <v>2697</v>
      </c>
      <c r="B2523" s="13" t="str">
        <f t="shared" si="1"/>
        <v>Sam</v>
      </c>
      <c r="C2523" s="13" t="str">
        <f t="shared" si="2"/>
        <v>Horn</v>
      </c>
      <c r="D2523" s="13" t="str">
        <f t="shared" si="3"/>
        <v>#N/A</v>
      </c>
      <c r="E2523" s="1" t="s">
        <v>65</v>
      </c>
    </row>
    <row r="2524" ht="15.75" customHeight="1">
      <c r="A2524" s="1" t="s">
        <v>2698</v>
      </c>
      <c r="B2524" s="13" t="str">
        <f t="shared" si="1"/>
        <v>Sam</v>
      </c>
      <c r="C2524" s="13" t="str">
        <f t="shared" si="2"/>
        <v>Howell</v>
      </c>
      <c r="D2524" s="13" t="str">
        <f t="shared" si="3"/>
        <v>#N/A</v>
      </c>
      <c r="E2524" s="1" t="s">
        <v>65</v>
      </c>
    </row>
    <row r="2525" ht="15.75" customHeight="1">
      <c r="A2525" s="1" t="s">
        <v>2699</v>
      </c>
      <c r="B2525" s="13" t="str">
        <f t="shared" si="1"/>
        <v>Sam</v>
      </c>
      <c r="C2525" s="13" t="str">
        <f t="shared" si="2"/>
        <v>Laporta</v>
      </c>
      <c r="D2525" s="13" t="str">
        <f t="shared" si="3"/>
        <v>#N/A</v>
      </c>
      <c r="E2525" s="1" t="s">
        <v>68</v>
      </c>
    </row>
    <row r="2526" ht="15.75" customHeight="1">
      <c r="A2526" s="1" t="s">
        <v>2700</v>
      </c>
      <c r="B2526" s="13" t="str">
        <f t="shared" si="1"/>
        <v>Sam</v>
      </c>
      <c r="C2526" s="13" t="str">
        <f t="shared" si="2"/>
        <v>McPherson</v>
      </c>
      <c r="D2526" s="13" t="str">
        <f t="shared" si="3"/>
        <v>#N/A</v>
      </c>
      <c r="E2526" s="1" t="s">
        <v>66</v>
      </c>
    </row>
    <row r="2527" ht="15.75" customHeight="1">
      <c r="A2527" s="1" t="s">
        <v>2701</v>
      </c>
      <c r="B2527" s="13" t="str">
        <f t="shared" si="1"/>
        <v>Sam</v>
      </c>
      <c r="C2527" s="13" t="str">
        <f t="shared" si="2"/>
        <v>Rogers</v>
      </c>
      <c r="D2527" s="13" t="str">
        <f t="shared" si="3"/>
        <v>#N/A</v>
      </c>
      <c r="E2527" s="1" t="s">
        <v>66</v>
      </c>
    </row>
    <row r="2528" ht="15.75" customHeight="1">
      <c r="A2528" s="1" t="s">
        <v>1738</v>
      </c>
      <c r="B2528" s="13" t="str">
        <f t="shared" si="1"/>
        <v>Samaje</v>
      </c>
      <c r="C2528" s="13" t="str">
        <f t="shared" si="2"/>
        <v>Perine</v>
      </c>
      <c r="D2528" s="13" t="str">
        <f t="shared" si="3"/>
        <v>#N/A</v>
      </c>
      <c r="E2528" s="1" t="s">
        <v>66</v>
      </c>
    </row>
    <row r="2529" ht="15.75" customHeight="1">
      <c r="A2529" s="1" t="s">
        <v>2702</v>
      </c>
      <c r="B2529" s="13" t="str">
        <f t="shared" si="1"/>
        <v>Sammie</v>
      </c>
      <c r="C2529" s="13" t="str">
        <f t="shared" si="2"/>
        <v>Coates</v>
      </c>
      <c r="D2529" s="13" t="str">
        <f t="shared" si="3"/>
        <v>#N/A</v>
      </c>
      <c r="E2529" s="1" t="s">
        <v>69</v>
      </c>
    </row>
    <row r="2530" ht="15.75" customHeight="1">
      <c r="A2530" s="1" t="s">
        <v>2703</v>
      </c>
      <c r="B2530" s="13" t="str">
        <f t="shared" si="1"/>
        <v>Sammis</v>
      </c>
      <c r="C2530" s="13" t="str">
        <f t="shared" si="2"/>
        <v>Reyes</v>
      </c>
      <c r="D2530" s="13" t="str">
        <f t="shared" si="3"/>
        <v>#N/A</v>
      </c>
      <c r="E2530" s="1" t="s">
        <v>68</v>
      </c>
    </row>
    <row r="2531" ht="15.75" customHeight="1">
      <c r="A2531" s="1" t="s">
        <v>835</v>
      </c>
      <c r="B2531" s="13" t="str">
        <f t="shared" si="1"/>
        <v>Sammy</v>
      </c>
      <c r="C2531" s="13" t="str">
        <f t="shared" si="2"/>
        <v>Watkins</v>
      </c>
      <c r="D2531" s="13" t="str">
        <f t="shared" si="3"/>
        <v>#N/A</v>
      </c>
      <c r="E2531" s="1" t="s">
        <v>69</v>
      </c>
    </row>
    <row r="2532" ht="15.75" customHeight="1">
      <c r="A2532" s="1" t="s">
        <v>2704</v>
      </c>
      <c r="B2532" s="13" t="str">
        <f t="shared" si="1"/>
        <v>Samori</v>
      </c>
      <c r="C2532" s="13" t="str">
        <f t="shared" si="2"/>
        <v>Toure</v>
      </c>
      <c r="D2532" s="13" t="str">
        <f t="shared" si="3"/>
        <v>#N/A</v>
      </c>
      <c r="E2532" s="1" t="s">
        <v>69</v>
      </c>
    </row>
    <row r="2533" ht="15.75" customHeight="1">
      <c r="A2533" s="1" t="s">
        <v>282</v>
      </c>
      <c r="B2533" s="13" t="str">
        <f t="shared" si="1"/>
        <v>San</v>
      </c>
      <c r="C2533" s="13" t="str">
        <f t="shared" si="2"/>
        <v>Francisco</v>
      </c>
      <c r="D2533" s="13" t="str">
        <f t="shared" si="3"/>
        <v>#N/A</v>
      </c>
      <c r="E2533" s="1" t="s">
        <v>63</v>
      </c>
    </row>
    <row r="2534" ht="15.75" customHeight="1">
      <c r="A2534" s="1" t="s">
        <v>2705</v>
      </c>
      <c r="B2534" s="13" t="str">
        <f t="shared" si="1"/>
        <v>Santana</v>
      </c>
      <c r="C2534" s="13" t="str">
        <f t="shared" si="2"/>
        <v>Moss</v>
      </c>
      <c r="D2534" s="13" t="str">
        <f t="shared" si="3"/>
        <v>#N/A</v>
      </c>
      <c r="E2534" s="1" t="s">
        <v>69</v>
      </c>
    </row>
    <row r="2535" ht="15.75" customHeight="1">
      <c r="A2535" s="1" t="s">
        <v>2706</v>
      </c>
      <c r="B2535" s="13" t="str">
        <f t="shared" si="1"/>
        <v>Santonio</v>
      </c>
      <c r="C2535" s="13" t="str">
        <f t="shared" si="2"/>
        <v>Holmes</v>
      </c>
      <c r="D2535" s="13" t="str">
        <f t="shared" si="3"/>
        <v>#N/A</v>
      </c>
      <c r="E2535" s="1" t="s">
        <v>69</v>
      </c>
    </row>
    <row r="2536" ht="15.75" customHeight="1">
      <c r="A2536" s="1" t="s">
        <v>342</v>
      </c>
      <c r="B2536" s="13" t="str">
        <f t="shared" si="1"/>
        <v>Saquon</v>
      </c>
      <c r="C2536" s="13" t="str">
        <f t="shared" si="2"/>
        <v>Barkley</v>
      </c>
      <c r="D2536" s="13" t="str">
        <f t="shared" si="3"/>
        <v>#N/A</v>
      </c>
      <c r="E2536" s="1" t="s">
        <v>66</v>
      </c>
    </row>
    <row r="2537" ht="15.75" customHeight="1">
      <c r="A2537" s="1" t="s">
        <v>2707</v>
      </c>
      <c r="B2537" s="13" t="str">
        <f t="shared" si="1"/>
        <v>SaRoderick</v>
      </c>
      <c r="C2537" s="13" t="str">
        <f t="shared" si="2"/>
        <v>Thompson</v>
      </c>
      <c r="D2537" s="13" t="str">
        <f t="shared" si="3"/>
        <v>#N/A</v>
      </c>
      <c r="E2537" s="1" t="s">
        <v>66</v>
      </c>
    </row>
    <row r="2538" ht="15.75" customHeight="1">
      <c r="A2538" s="1" t="s">
        <v>2708</v>
      </c>
      <c r="B2538" s="13" t="str">
        <f t="shared" si="1"/>
        <v>Scooter</v>
      </c>
      <c r="C2538" s="13" t="str">
        <f t="shared" si="2"/>
        <v>Harrington</v>
      </c>
      <c r="D2538" s="13" t="str">
        <f t="shared" si="3"/>
        <v>#N/A</v>
      </c>
      <c r="E2538" s="1" t="s">
        <v>68</v>
      </c>
    </row>
    <row r="2539" ht="15.75" customHeight="1">
      <c r="A2539" s="1" t="s">
        <v>2709</v>
      </c>
      <c r="B2539" s="13" t="str">
        <f t="shared" si="1"/>
        <v>Scott</v>
      </c>
      <c r="C2539" s="13" t="str">
        <f t="shared" si="2"/>
        <v>Chandler</v>
      </c>
      <c r="D2539" s="13" t="str">
        <f t="shared" si="3"/>
        <v>#N/A</v>
      </c>
      <c r="E2539" s="1" t="s">
        <v>68</v>
      </c>
    </row>
    <row r="2540" ht="15.75" customHeight="1">
      <c r="A2540" s="1" t="s">
        <v>2710</v>
      </c>
      <c r="B2540" s="13" t="str">
        <f t="shared" si="1"/>
        <v>Scott</v>
      </c>
      <c r="C2540" s="13" t="str">
        <f t="shared" si="2"/>
        <v>Miller</v>
      </c>
      <c r="D2540" s="13" t="str">
        <f t="shared" si="3"/>
        <v>#N/A</v>
      </c>
      <c r="E2540" s="1" t="s">
        <v>69</v>
      </c>
    </row>
    <row r="2541" ht="15.75" customHeight="1">
      <c r="A2541" s="1" t="s">
        <v>2711</v>
      </c>
      <c r="B2541" s="13" t="str">
        <f t="shared" si="1"/>
        <v>Scott</v>
      </c>
      <c r="C2541" s="13" t="str">
        <f t="shared" si="2"/>
        <v>Orndoff</v>
      </c>
      <c r="D2541" s="13" t="str">
        <f t="shared" si="3"/>
        <v>#N/A</v>
      </c>
      <c r="E2541" s="1" t="s">
        <v>68</v>
      </c>
    </row>
    <row r="2542" ht="15.75" customHeight="1">
      <c r="A2542" s="1" t="s">
        <v>2712</v>
      </c>
      <c r="B2542" s="13" t="str">
        <f t="shared" si="1"/>
        <v>Scott</v>
      </c>
      <c r="C2542" s="13" t="str">
        <f t="shared" si="2"/>
        <v>Simonson</v>
      </c>
      <c r="D2542" s="13" t="str">
        <f t="shared" si="3"/>
        <v>#N/A</v>
      </c>
      <c r="E2542" s="1" t="s">
        <v>68</v>
      </c>
    </row>
    <row r="2543" ht="15.75" customHeight="1">
      <c r="A2543" s="1" t="s">
        <v>2713</v>
      </c>
      <c r="B2543" s="13" t="str">
        <f t="shared" si="1"/>
        <v>Scott</v>
      </c>
      <c r="C2543" s="13" t="str">
        <f t="shared" si="2"/>
        <v>Tolzien</v>
      </c>
      <c r="D2543" s="13" t="str">
        <f t="shared" si="3"/>
        <v>#N/A</v>
      </c>
      <c r="E2543" s="1" t="s">
        <v>65</v>
      </c>
    </row>
    <row r="2544" ht="15.75" customHeight="1">
      <c r="A2544" s="1" t="s">
        <v>2714</v>
      </c>
      <c r="B2544" s="13" t="str">
        <f t="shared" si="1"/>
        <v>Scottie</v>
      </c>
      <c r="C2544" s="13" t="str">
        <f t="shared" si="2"/>
        <v>Phillips</v>
      </c>
      <c r="D2544" s="13" t="str">
        <f t="shared" si="3"/>
        <v>#N/A</v>
      </c>
      <c r="E2544" s="1" t="s">
        <v>66</v>
      </c>
    </row>
    <row r="2545" ht="15.75" customHeight="1">
      <c r="A2545" s="1" t="s">
        <v>2715</v>
      </c>
      <c r="B2545" s="13" t="str">
        <f t="shared" si="1"/>
        <v>Sean</v>
      </c>
      <c r="C2545" s="13" t="str">
        <f t="shared" si="2"/>
        <v>Culkin</v>
      </c>
      <c r="D2545" s="13" t="str">
        <f t="shared" si="3"/>
        <v>#N/A</v>
      </c>
      <c r="E2545" s="1" t="s">
        <v>68</v>
      </c>
    </row>
    <row r="2546" ht="15.75" customHeight="1">
      <c r="A2546" s="1" t="s">
        <v>2716</v>
      </c>
      <c r="B2546" s="13" t="str">
        <f t="shared" si="1"/>
        <v>Sean</v>
      </c>
      <c r="C2546" s="13" t="str">
        <f t="shared" si="2"/>
        <v>Mannion</v>
      </c>
      <c r="D2546" s="13" t="str">
        <f t="shared" si="3"/>
        <v>#N/A</v>
      </c>
      <c r="E2546" s="1" t="s">
        <v>65</v>
      </c>
    </row>
    <row r="2547" ht="15.75" customHeight="1">
      <c r="A2547" s="1" t="s">
        <v>2717</v>
      </c>
      <c r="B2547" s="13" t="str">
        <f t="shared" si="1"/>
        <v>Sean</v>
      </c>
      <c r="C2547" s="13" t="str">
        <f t="shared" si="2"/>
        <v>McGrath</v>
      </c>
      <c r="D2547" s="13" t="str">
        <f t="shared" si="3"/>
        <v>#N/A</v>
      </c>
      <c r="E2547" s="1" t="s">
        <v>68</v>
      </c>
    </row>
    <row r="2548" ht="15.75" customHeight="1">
      <c r="A2548" s="1" t="s">
        <v>2718</v>
      </c>
      <c r="B2548" s="13" t="str">
        <f t="shared" si="1"/>
        <v>Sean</v>
      </c>
      <c r="C2548" s="13" t="str">
        <f t="shared" si="2"/>
        <v>McKeon</v>
      </c>
      <c r="D2548" s="13" t="str">
        <f t="shared" si="3"/>
        <v>#N/A</v>
      </c>
      <c r="E2548" s="1" t="s">
        <v>68</v>
      </c>
    </row>
    <row r="2549" ht="15.75" customHeight="1">
      <c r="A2549" s="1" t="s">
        <v>2719</v>
      </c>
      <c r="B2549" s="13" t="str">
        <f t="shared" si="1"/>
        <v>Sean</v>
      </c>
      <c r="C2549" s="13" t="str">
        <f t="shared" si="2"/>
        <v>Modster</v>
      </c>
      <c r="D2549" s="13" t="str">
        <f t="shared" si="3"/>
        <v>#N/A</v>
      </c>
      <c r="E2549" s="1" t="s">
        <v>69</v>
      </c>
    </row>
    <row r="2550" ht="15.75" customHeight="1">
      <c r="A2550" s="1" t="s">
        <v>2720</v>
      </c>
      <c r="B2550" s="13" t="str">
        <f t="shared" si="1"/>
        <v>Sean</v>
      </c>
      <c r="C2550" s="13" t="str">
        <f t="shared" si="2"/>
        <v>Renfree</v>
      </c>
      <c r="D2550" s="13" t="str">
        <f t="shared" si="3"/>
        <v>#N/A</v>
      </c>
      <c r="E2550" s="1" t="s">
        <v>65</v>
      </c>
    </row>
    <row r="2551" ht="15.75" customHeight="1">
      <c r="A2551" s="1" t="s">
        <v>2721</v>
      </c>
      <c r="B2551" s="13" t="str">
        <f t="shared" si="1"/>
        <v>Sean</v>
      </c>
      <c r="C2551" s="13" t="str">
        <f t="shared" si="2"/>
        <v>Tucker</v>
      </c>
      <c r="D2551" s="13" t="str">
        <f t="shared" si="3"/>
        <v>#N/A</v>
      </c>
      <c r="E2551" s="1" t="s">
        <v>66</v>
      </c>
    </row>
    <row r="2552" ht="15.75" customHeight="1">
      <c r="A2552" s="1" t="s">
        <v>2722</v>
      </c>
      <c r="B2552" s="13" t="str">
        <f t="shared" si="1"/>
        <v>Seantavius</v>
      </c>
      <c r="C2552" s="13" t="str">
        <f t="shared" si="2"/>
        <v>Jones</v>
      </c>
      <c r="D2552" s="13" t="str">
        <f t="shared" si="3"/>
        <v>#N/A</v>
      </c>
      <c r="E2552" s="1" t="s">
        <v>69</v>
      </c>
    </row>
    <row r="2553" ht="15.75" customHeight="1">
      <c r="A2553" s="1" t="s">
        <v>952</v>
      </c>
      <c r="B2553" s="13" t="str">
        <f t="shared" si="1"/>
        <v>#VALUE!</v>
      </c>
      <c r="C2553" s="13" t="str">
        <f t="shared" si="2"/>
        <v>#VALUE!</v>
      </c>
      <c r="D2553" s="13" t="str">
        <f t="shared" si="3"/>
        <v>#N/A</v>
      </c>
      <c r="E2553" s="1" t="s">
        <v>63</v>
      </c>
    </row>
    <row r="2554" ht="15.75" customHeight="1">
      <c r="A2554" s="1" t="s">
        <v>1573</v>
      </c>
      <c r="B2554" s="13" t="str">
        <f t="shared" si="1"/>
        <v>Sebastian</v>
      </c>
      <c r="C2554" s="13" t="str">
        <f t="shared" si="2"/>
        <v>Janikowski</v>
      </c>
      <c r="D2554" s="13" t="str">
        <f t="shared" si="3"/>
        <v>#N/A</v>
      </c>
      <c r="E2554" s="1" t="s">
        <v>64</v>
      </c>
    </row>
    <row r="2555" ht="15.75" customHeight="1">
      <c r="A2555" s="1" t="s">
        <v>2723</v>
      </c>
      <c r="B2555" s="13" t="str">
        <f t="shared" si="1"/>
        <v>Sefo</v>
      </c>
      <c r="C2555" s="13" t="str">
        <f t="shared" si="2"/>
        <v>Liufau</v>
      </c>
      <c r="D2555" s="13" t="str">
        <f t="shared" si="3"/>
        <v>#N/A</v>
      </c>
      <c r="E2555" s="1" t="s">
        <v>65</v>
      </c>
    </row>
    <row r="2556" ht="15.75" customHeight="1">
      <c r="A2556" s="1" t="s">
        <v>2724</v>
      </c>
      <c r="B2556" s="13" t="str">
        <f t="shared" si="1"/>
        <v>Seneca</v>
      </c>
      <c r="C2556" s="13" t="str">
        <f t="shared" si="2"/>
        <v>Wallace</v>
      </c>
      <c r="D2556" s="13" t="str">
        <f t="shared" si="3"/>
        <v>#N/A</v>
      </c>
      <c r="E2556" s="1" t="s">
        <v>65</v>
      </c>
    </row>
    <row r="2557" ht="15.75" customHeight="1">
      <c r="A2557" s="1" t="s">
        <v>2725</v>
      </c>
      <c r="B2557" s="13" t="str">
        <f t="shared" si="1"/>
        <v>Senorise</v>
      </c>
      <c r="C2557" s="13" t="str">
        <f t="shared" si="2"/>
        <v>Perry</v>
      </c>
      <c r="D2557" s="13" t="str">
        <f t="shared" si="3"/>
        <v>#N/A</v>
      </c>
      <c r="E2557" s="1" t="s">
        <v>66</v>
      </c>
    </row>
    <row r="2558" ht="15.75" customHeight="1">
      <c r="A2558" s="1" t="s">
        <v>2726</v>
      </c>
      <c r="B2558" s="13" t="str">
        <f t="shared" si="1"/>
        <v>Seth</v>
      </c>
      <c r="C2558" s="13" t="str">
        <f t="shared" si="2"/>
        <v>Devalve</v>
      </c>
      <c r="D2558" s="13" t="str">
        <f t="shared" si="3"/>
        <v>#N/A</v>
      </c>
      <c r="E2558" s="1" t="s">
        <v>68</v>
      </c>
    </row>
    <row r="2559" ht="15.75" customHeight="1">
      <c r="A2559" s="1" t="s">
        <v>2727</v>
      </c>
      <c r="B2559" s="13" t="str">
        <f t="shared" si="1"/>
        <v>Seth</v>
      </c>
      <c r="C2559" s="13" t="str">
        <f t="shared" si="2"/>
        <v>Green</v>
      </c>
      <c r="D2559" s="13" t="str">
        <f t="shared" si="3"/>
        <v>#N/A</v>
      </c>
      <c r="E2559" s="1" t="s">
        <v>68</v>
      </c>
    </row>
    <row r="2560" ht="15.75" customHeight="1">
      <c r="A2560" s="1" t="s">
        <v>2728</v>
      </c>
      <c r="B2560" s="13" t="str">
        <f t="shared" si="1"/>
        <v>Seth</v>
      </c>
      <c r="C2560" s="13" t="str">
        <f t="shared" si="2"/>
        <v>Lobato</v>
      </c>
      <c r="D2560" s="13" t="str">
        <f t="shared" si="3"/>
        <v>#N/A</v>
      </c>
      <c r="E2560" s="1" t="s">
        <v>65</v>
      </c>
    </row>
    <row r="2561" ht="15.75" customHeight="1">
      <c r="A2561" s="1" t="s">
        <v>2729</v>
      </c>
      <c r="B2561" s="13" t="str">
        <f t="shared" si="1"/>
        <v>Seth</v>
      </c>
      <c r="C2561" s="13" t="str">
        <f t="shared" si="2"/>
        <v>Roberts</v>
      </c>
      <c r="D2561" s="13" t="str">
        <f t="shared" si="3"/>
        <v>#N/A</v>
      </c>
      <c r="E2561" s="1" t="s">
        <v>69</v>
      </c>
    </row>
    <row r="2562" ht="15.75" customHeight="1">
      <c r="A2562" s="1" t="s">
        <v>2730</v>
      </c>
      <c r="B2562" s="13" t="str">
        <f t="shared" si="1"/>
        <v>Seth</v>
      </c>
      <c r="C2562" s="13" t="str">
        <f t="shared" si="2"/>
        <v>Williams</v>
      </c>
      <c r="D2562" s="13" t="str">
        <f t="shared" si="3"/>
        <v>#N/A</v>
      </c>
      <c r="E2562" s="1" t="s">
        <v>69</v>
      </c>
    </row>
    <row r="2563" ht="15.75" customHeight="1">
      <c r="A2563" s="1" t="s">
        <v>2731</v>
      </c>
      <c r="B2563" s="13" t="str">
        <f t="shared" si="1"/>
        <v>Seven</v>
      </c>
      <c r="C2563" s="13" t="str">
        <f t="shared" si="2"/>
        <v>McGee</v>
      </c>
      <c r="D2563" s="13" t="str">
        <f t="shared" si="3"/>
        <v>#N/A</v>
      </c>
      <c r="E2563" s="1" t="s">
        <v>66</v>
      </c>
    </row>
    <row r="2564" ht="15.75" customHeight="1">
      <c r="A2564" s="1" t="s">
        <v>2732</v>
      </c>
      <c r="B2564" s="13" t="str">
        <f t="shared" si="1"/>
        <v>Sewo</v>
      </c>
      <c r="C2564" s="13" t="str">
        <f t="shared" si="2"/>
        <v>Olonilua</v>
      </c>
      <c r="D2564" s="13" t="str">
        <f t="shared" si="3"/>
        <v>#N/A</v>
      </c>
      <c r="E2564" s="1" t="s">
        <v>66</v>
      </c>
    </row>
    <row r="2565" ht="15.75" customHeight="1">
      <c r="A2565" s="1" t="s">
        <v>2733</v>
      </c>
      <c r="B2565" s="13" t="str">
        <f t="shared" si="1"/>
        <v>Seyi</v>
      </c>
      <c r="C2565" s="13" t="str">
        <f t="shared" si="2"/>
        <v>Ajirotutu</v>
      </c>
      <c r="D2565" s="13" t="str">
        <f t="shared" si="3"/>
        <v>#N/A</v>
      </c>
      <c r="E2565" s="1" t="s">
        <v>69</v>
      </c>
    </row>
    <row r="2566" ht="15.75" customHeight="1">
      <c r="A2566" s="1" t="s">
        <v>2734</v>
      </c>
      <c r="B2566" s="13" t="str">
        <f t="shared" si="1"/>
        <v>Shane</v>
      </c>
      <c r="C2566" s="13" t="str">
        <f t="shared" si="2"/>
        <v>Buechele</v>
      </c>
      <c r="D2566" s="13" t="str">
        <f t="shared" si="3"/>
        <v>#N/A</v>
      </c>
      <c r="E2566" s="1" t="s">
        <v>65</v>
      </c>
    </row>
    <row r="2567" ht="15.75" customHeight="1">
      <c r="A2567" s="1" t="s">
        <v>2735</v>
      </c>
      <c r="B2567" s="13" t="str">
        <f t="shared" si="1"/>
        <v>Shane</v>
      </c>
      <c r="C2567" s="13" t="str">
        <f t="shared" si="2"/>
        <v>Carden</v>
      </c>
      <c r="D2567" s="13" t="str">
        <f t="shared" si="3"/>
        <v>#N/A</v>
      </c>
      <c r="E2567" s="1" t="s">
        <v>65</v>
      </c>
    </row>
    <row r="2568" ht="15.75" customHeight="1">
      <c r="A2568" s="1" t="s">
        <v>2736</v>
      </c>
      <c r="B2568" s="13" t="str">
        <f t="shared" si="1"/>
        <v>Shane</v>
      </c>
      <c r="C2568" s="13" t="str">
        <f t="shared" si="2"/>
        <v>Simpson</v>
      </c>
      <c r="D2568" s="13" t="str">
        <f t="shared" si="3"/>
        <v>#N/A</v>
      </c>
      <c r="E2568" s="1" t="s">
        <v>66</v>
      </c>
    </row>
    <row r="2569" ht="15.75" customHeight="1">
      <c r="A2569" s="1" t="s">
        <v>2737</v>
      </c>
      <c r="B2569" s="13" t="str">
        <f t="shared" si="1"/>
        <v>Shane</v>
      </c>
      <c r="C2569" s="13" t="str">
        <f t="shared" si="2"/>
        <v>Smith</v>
      </c>
      <c r="D2569" s="13" t="str">
        <f t="shared" si="3"/>
        <v>#N/A</v>
      </c>
      <c r="E2569" s="1" t="s">
        <v>68</v>
      </c>
    </row>
    <row r="2570" ht="15.75" customHeight="1">
      <c r="A2570" s="1" t="s">
        <v>2738</v>
      </c>
      <c r="B2570" s="13" t="str">
        <f t="shared" si="1"/>
        <v>Shane</v>
      </c>
      <c r="C2570" s="13" t="str">
        <f t="shared" si="2"/>
        <v>Vereen</v>
      </c>
      <c r="D2570" s="13" t="str">
        <f t="shared" si="3"/>
        <v>#N/A</v>
      </c>
      <c r="E2570" s="1" t="s">
        <v>66</v>
      </c>
    </row>
    <row r="2571" ht="15.75" customHeight="1">
      <c r="A2571" s="1" t="s">
        <v>2739</v>
      </c>
      <c r="B2571" s="13" t="str">
        <f t="shared" si="1"/>
        <v>Shane</v>
      </c>
      <c r="C2571" s="13" t="str">
        <f t="shared" si="2"/>
        <v>Wynn</v>
      </c>
      <c r="D2571" s="13" t="str">
        <f t="shared" si="3"/>
        <v>#N/A</v>
      </c>
      <c r="E2571" s="1" t="s">
        <v>69</v>
      </c>
    </row>
    <row r="2572" ht="15.75" customHeight="1">
      <c r="A2572" s="1" t="s">
        <v>2740</v>
      </c>
      <c r="B2572" s="13" t="str">
        <f t="shared" si="1"/>
        <v>Shaq</v>
      </c>
      <c r="C2572" s="13" t="str">
        <f t="shared" si="2"/>
        <v>Evans</v>
      </c>
      <c r="D2572" s="13" t="str">
        <f t="shared" si="3"/>
        <v>#N/A</v>
      </c>
      <c r="E2572" s="1" t="s">
        <v>69</v>
      </c>
    </row>
    <row r="2573" ht="15.75" customHeight="1">
      <c r="A2573" s="1" t="s">
        <v>2741</v>
      </c>
      <c r="B2573" s="13" t="str">
        <f t="shared" si="1"/>
        <v>Shaq</v>
      </c>
      <c r="C2573" s="13" t="str">
        <f t="shared" si="2"/>
        <v>Hill</v>
      </c>
      <c r="D2573" s="13" t="str">
        <f t="shared" si="3"/>
        <v>#N/A</v>
      </c>
      <c r="E2573" s="1" t="s">
        <v>69</v>
      </c>
    </row>
    <row r="2574" ht="15.75" customHeight="1">
      <c r="A2574" s="1" t="s">
        <v>2742</v>
      </c>
      <c r="B2574" s="13" t="str">
        <f t="shared" si="1"/>
        <v>Shaun</v>
      </c>
      <c r="C2574" s="13" t="str">
        <f t="shared" si="2"/>
        <v>Beyer</v>
      </c>
      <c r="D2574" s="13" t="str">
        <f t="shared" si="3"/>
        <v>#N/A</v>
      </c>
      <c r="E2574" s="1" t="s">
        <v>68</v>
      </c>
    </row>
    <row r="2575" ht="15.75" customHeight="1">
      <c r="A2575" s="1" t="s">
        <v>2743</v>
      </c>
      <c r="B2575" s="13" t="str">
        <f t="shared" si="1"/>
        <v>Shaun</v>
      </c>
      <c r="C2575" s="13" t="str">
        <f t="shared" si="2"/>
        <v>Draughn</v>
      </c>
      <c r="D2575" s="13" t="str">
        <f t="shared" si="3"/>
        <v>#N/A</v>
      </c>
      <c r="E2575" s="1" t="s">
        <v>66</v>
      </c>
    </row>
    <row r="2576" ht="15.75" customHeight="1">
      <c r="A2576" s="1" t="s">
        <v>2744</v>
      </c>
      <c r="B2576" s="13" t="str">
        <f t="shared" si="1"/>
        <v>Shaun</v>
      </c>
      <c r="C2576" s="13" t="str">
        <f t="shared" si="2"/>
        <v>Hill</v>
      </c>
      <c r="D2576" s="13" t="str">
        <f t="shared" si="3"/>
        <v>#N/A</v>
      </c>
      <c r="E2576" s="1" t="s">
        <v>65</v>
      </c>
    </row>
    <row r="2577" ht="15.75" customHeight="1">
      <c r="A2577" s="1" t="s">
        <v>2745</v>
      </c>
      <c r="B2577" s="13" t="str">
        <f t="shared" si="1"/>
        <v>Shaun</v>
      </c>
      <c r="C2577" s="13" t="str">
        <f t="shared" si="2"/>
        <v>Shivers</v>
      </c>
      <c r="D2577" s="13" t="str">
        <f t="shared" si="3"/>
        <v>#N/A</v>
      </c>
      <c r="E2577" s="1" t="s">
        <v>66</v>
      </c>
    </row>
    <row r="2578" ht="15.75" customHeight="1">
      <c r="A2578" s="1" t="s">
        <v>2746</v>
      </c>
      <c r="B2578" s="13" t="str">
        <f t="shared" si="1"/>
        <v>Shaun</v>
      </c>
      <c r="C2578" s="13" t="str">
        <f t="shared" si="2"/>
        <v>Wilson</v>
      </c>
      <c r="D2578" s="13" t="str">
        <f t="shared" si="3"/>
        <v>#N/A</v>
      </c>
      <c r="E2578" s="1" t="s">
        <v>66</v>
      </c>
    </row>
    <row r="2579" ht="15.75" customHeight="1">
      <c r="A2579" s="1" t="s">
        <v>2747</v>
      </c>
      <c r="B2579" s="13" t="str">
        <f t="shared" si="1"/>
        <v>Shawn</v>
      </c>
      <c r="C2579" s="13" t="str">
        <f t="shared" si="2"/>
        <v>Bane</v>
      </c>
      <c r="D2579" s="13" t="str">
        <f t="shared" si="3"/>
        <v>#N/A</v>
      </c>
      <c r="E2579" s="1" t="s">
        <v>69</v>
      </c>
    </row>
    <row r="2580" ht="15.75" customHeight="1">
      <c r="A2580" s="1" t="s">
        <v>2748</v>
      </c>
      <c r="B2580" s="13" t="str">
        <f t="shared" si="1"/>
        <v>Shawn</v>
      </c>
      <c r="C2580" s="13" t="str">
        <f t="shared" si="2"/>
        <v>Poindexter</v>
      </c>
      <c r="D2580" s="13" t="str">
        <f t="shared" si="3"/>
        <v>#N/A</v>
      </c>
      <c r="E2580" s="1" t="s">
        <v>69</v>
      </c>
    </row>
    <row r="2581" ht="15.75" customHeight="1">
      <c r="A2581" s="1" t="s">
        <v>2749</v>
      </c>
      <c r="B2581" s="13" t="str">
        <f t="shared" si="1"/>
        <v>Shay</v>
      </c>
      <c r="C2581" s="13" t="str">
        <f t="shared" si="2"/>
        <v>Fields</v>
      </c>
      <c r="D2581" s="13" t="str">
        <f t="shared" si="3"/>
        <v>#N/A</v>
      </c>
      <c r="E2581" s="1" t="s">
        <v>69</v>
      </c>
    </row>
    <row r="2582" ht="15.75" customHeight="1">
      <c r="A2582" s="1" t="s">
        <v>2750</v>
      </c>
      <c r="B2582" s="13" t="str">
        <f t="shared" si="1"/>
        <v>Shazz</v>
      </c>
      <c r="C2582" s="13" t="str">
        <f t="shared" si="2"/>
        <v>Preston</v>
      </c>
      <c r="D2582" s="13" t="str">
        <f t="shared" si="3"/>
        <v>#N/A</v>
      </c>
      <c r="E2582" s="1" t="s">
        <v>69</v>
      </c>
    </row>
    <row r="2583" ht="15.75" customHeight="1">
      <c r="A2583" s="1" t="s">
        <v>2751</v>
      </c>
      <c r="B2583" s="13" t="str">
        <f t="shared" si="1"/>
        <v>Shea</v>
      </c>
      <c r="C2583" s="13" t="str">
        <f t="shared" si="2"/>
        <v>Patterson</v>
      </c>
      <c r="D2583" s="13" t="str">
        <f t="shared" si="3"/>
        <v>#N/A</v>
      </c>
      <c r="E2583" s="1" t="s">
        <v>65</v>
      </c>
    </row>
    <row r="2584" ht="15.75" customHeight="1">
      <c r="A2584" s="1" t="s">
        <v>2752</v>
      </c>
      <c r="B2584" s="13" t="str">
        <f t="shared" si="1"/>
        <v>Shedeur</v>
      </c>
      <c r="C2584" s="13" t="str">
        <f t="shared" si="2"/>
        <v>Sanders</v>
      </c>
      <c r="D2584" s="13" t="str">
        <f t="shared" si="3"/>
        <v>#N/A</v>
      </c>
      <c r="E2584" s="1" t="s">
        <v>65</v>
      </c>
    </row>
    <row r="2585" ht="15.75" customHeight="1">
      <c r="A2585" s="1" t="s">
        <v>2753</v>
      </c>
      <c r="B2585" s="13" t="str">
        <f t="shared" si="1"/>
        <v>Shedrick</v>
      </c>
      <c r="C2585" s="13" t="str">
        <f t="shared" si="2"/>
        <v>Jackson</v>
      </c>
      <c r="D2585" s="13" t="str">
        <f t="shared" si="3"/>
        <v>#N/A</v>
      </c>
      <c r="E2585" s="1" t="s">
        <v>69</v>
      </c>
    </row>
    <row r="2586" ht="15.75" customHeight="1">
      <c r="A2586" s="1" t="s">
        <v>2754</v>
      </c>
      <c r="B2586" s="13" t="str">
        <f t="shared" si="1"/>
        <v>Shelton</v>
      </c>
      <c r="C2586" s="13" t="str">
        <f t="shared" si="2"/>
        <v>Gibson</v>
      </c>
      <c r="D2586" s="13" t="str">
        <f t="shared" si="3"/>
        <v>#N/A</v>
      </c>
      <c r="E2586" s="1" t="s">
        <v>69</v>
      </c>
    </row>
    <row r="2587" ht="15.75" customHeight="1">
      <c r="A2587" s="1" t="s">
        <v>2755</v>
      </c>
      <c r="B2587" s="13" t="str">
        <f t="shared" si="1"/>
        <v>Shermari</v>
      </c>
      <c r="C2587" s="13" t="str">
        <f t="shared" si="2"/>
        <v>Jones</v>
      </c>
      <c r="D2587" s="13" t="str">
        <f t="shared" si="3"/>
        <v>#N/A</v>
      </c>
      <c r="E2587" s="1" t="s">
        <v>66</v>
      </c>
    </row>
    <row r="2588" ht="15.75" customHeight="1">
      <c r="A2588" s="1" t="s">
        <v>2756</v>
      </c>
      <c r="B2588" s="13" t="str">
        <f t="shared" si="1"/>
        <v>Shi</v>
      </c>
      <c r="C2588" s="13" t="str">
        <f t="shared" si="2"/>
        <v>Smith</v>
      </c>
      <c r="D2588" s="13" t="str">
        <f t="shared" si="3"/>
        <v>#N/A</v>
      </c>
      <c r="E2588" s="1" t="s">
        <v>69</v>
      </c>
    </row>
    <row r="2589" ht="15.75" customHeight="1">
      <c r="A2589" s="1" t="s">
        <v>2757</v>
      </c>
      <c r="B2589" s="13" t="str">
        <f t="shared" si="1"/>
        <v>Shonn</v>
      </c>
      <c r="C2589" s="13" t="str">
        <f t="shared" si="2"/>
        <v>Greene</v>
      </c>
      <c r="D2589" s="13" t="str">
        <f t="shared" si="3"/>
        <v>#N/A</v>
      </c>
      <c r="E2589" s="1" t="s">
        <v>66</v>
      </c>
    </row>
    <row r="2590" ht="15.75" customHeight="1">
      <c r="A2590" s="1" t="s">
        <v>2758</v>
      </c>
      <c r="B2590" s="13" t="str">
        <f t="shared" si="1"/>
        <v>Shun</v>
      </c>
      <c r="C2590" s="13" t="str">
        <f t="shared" si="2"/>
        <v>Brown</v>
      </c>
      <c r="D2590" s="13" t="str">
        <f t="shared" si="3"/>
        <v>#N/A</v>
      </c>
      <c r="E2590" s="1" t="s">
        <v>69</v>
      </c>
    </row>
    <row r="2591" ht="15.75" customHeight="1">
      <c r="A2591" s="1" t="s">
        <v>2759</v>
      </c>
      <c r="B2591" s="13" t="str">
        <f t="shared" si="1"/>
        <v>Sidney</v>
      </c>
      <c r="C2591" s="13" t="str">
        <f t="shared" si="2"/>
        <v>Rice</v>
      </c>
      <c r="D2591" s="13" t="str">
        <f t="shared" si="3"/>
        <v>#N/A</v>
      </c>
      <c r="E2591" s="1" t="s">
        <v>69</v>
      </c>
    </row>
    <row r="2592" ht="15.75" customHeight="1">
      <c r="A2592" s="1" t="s">
        <v>2760</v>
      </c>
      <c r="B2592" s="13" t="str">
        <f t="shared" si="1"/>
        <v>Silas</v>
      </c>
      <c r="C2592" s="13" t="str">
        <f t="shared" si="2"/>
        <v>Redd</v>
      </c>
      <c r="D2592" s="13" t="str">
        <f t="shared" si="3"/>
        <v>#N/A</v>
      </c>
      <c r="E2592" s="1" t="s">
        <v>66</v>
      </c>
    </row>
    <row r="2593" ht="15.75" customHeight="1">
      <c r="A2593" s="1" t="s">
        <v>2761</v>
      </c>
      <c r="B2593" s="13" t="str">
        <f t="shared" si="1"/>
        <v>Simi</v>
      </c>
      <c r="C2593" s="13" t="str">
        <f t="shared" si="2"/>
        <v>Fehoko</v>
      </c>
      <c r="D2593" s="13" t="str">
        <f t="shared" si="3"/>
        <v>#N/A</v>
      </c>
      <c r="E2593" s="1" t="s">
        <v>69</v>
      </c>
    </row>
    <row r="2594" ht="15.75" customHeight="1">
      <c r="A2594" s="1" t="s">
        <v>2762</v>
      </c>
      <c r="B2594" s="13" t="str">
        <f t="shared" si="1"/>
        <v>Simmie</v>
      </c>
      <c r="C2594" s="13" t="str">
        <f t="shared" si="2"/>
        <v>Cobbs</v>
      </c>
      <c r="D2594" s="13" t="str">
        <f t="shared" si="3"/>
        <v>#N/A</v>
      </c>
      <c r="E2594" s="1" t="s">
        <v>69</v>
      </c>
    </row>
    <row r="2595" ht="15.75" customHeight="1">
      <c r="A2595" s="1" t="s">
        <v>2763</v>
      </c>
      <c r="B2595" s="13" t="str">
        <f t="shared" si="1"/>
        <v>Sincere</v>
      </c>
      <c r="C2595" s="13" t="str">
        <f t="shared" si="2"/>
        <v>McCormick</v>
      </c>
      <c r="D2595" s="13" t="str">
        <f t="shared" si="3"/>
        <v>#N/A</v>
      </c>
      <c r="E2595" s="1" t="s">
        <v>66</v>
      </c>
    </row>
    <row r="2596" ht="15.75" customHeight="1">
      <c r="A2596" s="1" t="s">
        <v>2764</v>
      </c>
      <c r="B2596" s="13" t="str">
        <f t="shared" si="1"/>
        <v>Skye</v>
      </c>
      <c r="C2596" s="13" t="str">
        <f t="shared" si="2"/>
        <v>Dawson</v>
      </c>
      <c r="D2596" s="13" t="str">
        <f t="shared" si="3"/>
        <v>#N/A</v>
      </c>
      <c r="E2596" s="1" t="s">
        <v>69</v>
      </c>
    </row>
    <row r="2597" ht="15.75" customHeight="1">
      <c r="A2597" s="1" t="s">
        <v>2765</v>
      </c>
      <c r="B2597" s="13" t="str">
        <f t="shared" si="1"/>
        <v>Skylar</v>
      </c>
      <c r="C2597" s="13" t="str">
        <f t="shared" si="2"/>
        <v>Thompson</v>
      </c>
      <c r="D2597" s="13" t="str">
        <f t="shared" si="3"/>
        <v>#N/A</v>
      </c>
      <c r="E2597" s="1" t="s">
        <v>65</v>
      </c>
    </row>
    <row r="2598" ht="15.75" customHeight="1">
      <c r="A2598" s="1" t="s">
        <v>2766</v>
      </c>
      <c r="B2598" s="13" t="str">
        <f t="shared" si="1"/>
        <v>Skyy</v>
      </c>
      <c r="C2598" s="13" t="str">
        <f t="shared" si="2"/>
        <v>Moore</v>
      </c>
      <c r="D2598" s="13" t="str">
        <f t="shared" si="3"/>
        <v>#N/A</v>
      </c>
      <c r="E2598" s="1" t="s">
        <v>69</v>
      </c>
    </row>
    <row r="2599" ht="15.75" customHeight="1">
      <c r="A2599" s="1" t="s">
        <v>2767</v>
      </c>
      <c r="B2599" s="13" t="str">
        <f t="shared" si="1"/>
        <v>Slade</v>
      </c>
      <c r="C2599" s="13" t="str">
        <f t="shared" si="2"/>
        <v>Bolden</v>
      </c>
      <c r="D2599" s="13" t="str">
        <f t="shared" si="3"/>
        <v>#N/A</v>
      </c>
      <c r="E2599" s="1" t="s">
        <v>69</v>
      </c>
    </row>
    <row r="2600" ht="15.75" customHeight="1">
      <c r="A2600" s="1" t="s">
        <v>2768</v>
      </c>
      <c r="B2600" s="13" t="str">
        <f t="shared" si="1"/>
        <v>Snoop</v>
      </c>
      <c r="C2600" s="13" t="str">
        <f t="shared" si="2"/>
        <v>Conner</v>
      </c>
      <c r="D2600" s="13" t="str">
        <f t="shared" si="3"/>
        <v>#N/A</v>
      </c>
      <c r="E2600" s="1" t="s">
        <v>66</v>
      </c>
    </row>
    <row r="2601" ht="15.75" customHeight="1">
      <c r="A2601" s="1" t="s">
        <v>2769</v>
      </c>
      <c r="B2601" s="13" t="str">
        <f t="shared" si="1"/>
        <v>Solomon</v>
      </c>
      <c r="C2601" s="13" t="str">
        <f t="shared" si="2"/>
        <v>Patton</v>
      </c>
      <c r="D2601" s="13" t="str">
        <f t="shared" si="3"/>
        <v>#N/A</v>
      </c>
      <c r="E2601" s="1" t="s">
        <v>69</v>
      </c>
    </row>
    <row r="2602" ht="15.75" customHeight="1">
      <c r="A2602" s="1" t="s">
        <v>146</v>
      </c>
      <c r="B2602" s="13" t="str">
        <f t="shared" si="1"/>
        <v>Sony</v>
      </c>
      <c r="C2602" s="13" t="str">
        <f t="shared" si="2"/>
        <v>Michel</v>
      </c>
      <c r="D2602" s="13" t="str">
        <f t="shared" si="3"/>
        <v>#N/A</v>
      </c>
      <c r="E2602" s="1" t="s">
        <v>66</v>
      </c>
    </row>
    <row r="2603" ht="15.75" customHeight="1">
      <c r="A2603" s="1" t="s">
        <v>2770</v>
      </c>
      <c r="B2603" s="13" t="str">
        <f t="shared" si="1"/>
        <v>Spencer</v>
      </c>
      <c r="C2603" s="13" t="str">
        <f t="shared" si="2"/>
        <v>Brown</v>
      </c>
      <c r="D2603" s="13" t="str">
        <f t="shared" si="3"/>
        <v>#N/A</v>
      </c>
      <c r="E2603" s="1" t="s">
        <v>66</v>
      </c>
    </row>
    <row r="2604" ht="15.75" customHeight="1">
      <c r="A2604" s="1" t="s">
        <v>2771</v>
      </c>
      <c r="B2604" s="13" t="str">
        <f t="shared" si="1"/>
        <v>Spencer</v>
      </c>
      <c r="C2604" s="13" t="str">
        <f t="shared" si="2"/>
        <v>Petras</v>
      </c>
      <c r="D2604" s="13" t="str">
        <f t="shared" si="3"/>
        <v>#N/A</v>
      </c>
      <c r="E2604" s="1" t="s">
        <v>65</v>
      </c>
    </row>
    <row r="2605" ht="15.75" customHeight="1">
      <c r="A2605" s="1" t="s">
        <v>2772</v>
      </c>
      <c r="B2605" s="13" t="str">
        <f t="shared" si="1"/>
        <v>Spencer</v>
      </c>
      <c r="C2605" s="13" t="str">
        <f t="shared" si="2"/>
        <v>Rattler</v>
      </c>
      <c r="D2605" s="13" t="str">
        <f t="shared" si="3"/>
        <v>#N/A</v>
      </c>
      <c r="E2605" s="1" t="s">
        <v>65</v>
      </c>
    </row>
    <row r="2606" ht="15.75" customHeight="1">
      <c r="A2606" s="1" t="s">
        <v>2773</v>
      </c>
      <c r="B2606" s="13" t="str">
        <f t="shared" si="1"/>
        <v>Spencer</v>
      </c>
      <c r="C2606" s="13" t="str">
        <f t="shared" si="2"/>
        <v>Sanders</v>
      </c>
      <c r="D2606" s="13" t="str">
        <f t="shared" si="3"/>
        <v>#N/A</v>
      </c>
      <c r="E2606" s="1" t="s">
        <v>65</v>
      </c>
    </row>
    <row r="2607" ht="15.75" customHeight="1">
      <c r="A2607" s="1" t="s">
        <v>2774</v>
      </c>
      <c r="B2607" s="13" t="str">
        <f t="shared" si="1"/>
        <v>Spencer</v>
      </c>
      <c r="C2607" s="13" t="str">
        <f t="shared" si="2"/>
        <v>Schnell</v>
      </c>
      <c r="D2607" s="13" t="str">
        <f t="shared" si="3"/>
        <v>#N/A</v>
      </c>
      <c r="E2607" s="1" t="s">
        <v>69</v>
      </c>
    </row>
    <row r="2608" ht="15.75" customHeight="1">
      <c r="A2608" s="1" t="s">
        <v>2775</v>
      </c>
      <c r="B2608" s="13" t="str">
        <f t="shared" si="1"/>
        <v>Spencer</v>
      </c>
      <c r="C2608" s="13" t="str">
        <f t="shared" si="2"/>
        <v>Ware</v>
      </c>
      <c r="D2608" s="13" t="str">
        <f t="shared" si="3"/>
        <v>#N/A</v>
      </c>
      <c r="E2608" s="1" t="s">
        <v>66</v>
      </c>
    </row>
    <row r="2609" ht="15.75" customHeight="1">
      <c r="A2609" s="1" t="s">
        <v>2776</v>
      </c>
      <c r="B2609" s="13" t="str">
        <f t="shared" si="1"/>
        <v>Squally</v>
      </c>
      <c r="C2609" s="13" t="str">
        <f t="shared" si="2"/>
        <v>Canada</v>
      </c>
      <c r="D2609" s="13" t="str">
        <f t="shared" si="3"/>
        <v>#N/A</v>
      </c>
      <c r="E2609" s="1" t="s">
        <v>66</v>
      </c>
    </row>
    <row r="2610" ht="15.75" customHeight="1">
      <c r="A2610" s="1" t="s">
        <v>2777</v>
      </c>
      <c r="B2610" s="13" t="str">
        <f t="shared" si="1"/>
        <v>Stacy</v>
      </c>
      <c r="C2610" s="13" t="str">
        <f t="shared" si="2"/>
        <v>Coley</v>
      </c>
      <c r="D2610" s="13" t="str">
        <f t="shared" si="3"/>
        <v>#N/A</v>
      </c>
      <c r="E2610" s="1" t="s">
        <v>69</v>
      </c>
    </row>
    <row r="2611" ht="15.75" customHeight="1">
      <c r="A2611" s="1" t="s">
        <v>2778</v>
      </c>
      <c r="B2611" s="13" t="str">
        <f t="shared" si="1"/>
        <v>Stanley</v>
      </c>
      <c r="C2611" s="13" t="str">
        <f t="shared" si="2"/>
        <v>Morgan</v>
      </c>
      <c r="D2611" s="13" t="str">
        <f t="shared" si="3"/>
        <v>#N/A</v>
      </c>
      <c r="E2611" s="1" t="s">
        <v>69</v>
      </c>
    </row>
    <row r="2612" ht="15.75" customHeight="1">
      <c r="A2612" s="1" t="s">
        <v>2779</v>
      </c>
      <c r="B2612" s="13" t="str">
        <f t="shared" si="1"/>
        <v>Stedman</v>
      </c>
      <c r="C2612" s="13" t="str">
        <f t="shared" si="2"/>
        <v>Bailey</v>
      </c>
      <c r="D2612" s="13" t="str">
        <f t="shared" si="3"/>
        <v>#N/A</v>
      </c>
      <c r="E2612" s="1" t="s">
        <v>69</v>
      </c>
    </row>
    <row r="2613" ht="15.75" customHeight="1">
      <c r="A2613" s="1" t="s">
        <v>2780</v>
      </c>
      <c r="B2613" s="13" t="str">
        <f t="shared" si="1"/>
        <v>Steele</v>
      </c>
      <c r="C2613" s="13" t="str">
        <f t="shared" si="2"/>
        <v>Chambers</v>
      </c>
      <c r="D2613" s="13" t="str">
        <f t="shared" si="3"/>
        <v>#N/A</v>
      </c>
      <c r="E2613" s="1" t="s">
        <v>66</v>
      </c>
    </row>
    <row r="2614" ht="15.75" customHeight="1">
      <c r="A2614" s="1" t="s">
        <v>422</v>
      </c>
      <c r="B2614" s="13" t="str">
        <f t="shared" si="1"/>
        <v>Stefon</v>
      </c>
      <c r="C2614" s="13" t="str">
        <f t="shared" si="2"/>
        <v>Diggs</v>
      </c>
      <c r="D2614" s="13" t="str">
        <f t="shared" si="3"/>
        <v>#N/A</v>
      </c>
      <c r="E2614" s="1" t="s">
        <v>69</v>
      </c>
    </row>
    <row r="2615" ht="15.75" customHeight="1">
      <c r="A2615" s="1" t="s">
        <v>2781</v>
      </c>
      <c r="B2615" s="13" t="str">
        <f t="shared" si="1"/>
        <v>Stepfan</v>
      </c>
      <c r="C2615" s="13" t="str">
        <f t="shared" si="2"/>
        <v>Taylor</v>
      </c>
      <c r="D2615" s="13" t="str">
        <f t="shared" si="3"/>
        <v>#N/A</v>
      </c>
      <c r="E2615" s="1" t="s">
        <v>66</v>
      </c>
    </row>
    <row r="2616" ht="15.75" customHeight="1">
      <c r="A2616" s="1" t="s">
        <v>2782</v>
      </c>
      <c r="B2616" s="13" t="str">
        <f t="shared" si="1"/>
        <v>Stephen</v>
      </c>
      <c r="C2616" s="13" t="str">
        <f t="shared" si="2"/>
        <v>Anderson</v>
      </c>
      <c r="D2616" s="13" t="str">
        <f t="shared" si="3"/>
        <v>#N/A</v>
      </c>
      <c r="E2616" s="1" t="s">
        <v>68</v>
      </c>
    </row>
    <row r="2617" ht="15.75" customHeight="1">
      <c r="A2617" s="1" t="s">
        <v>2783</v>
      </c>
      <c r="B2617" s="13" t="str">
        <f t="shared" si="1"/>
        <v>Stephen</v>
      </c>
      <c r="C2617" s="13" t="str">
        <f t="shared" si="2"/>
        <v>Carlson</v>
      </c>
      <c r="D2617" s="13" t="str">
        <f t="shared" si="3"/>
        <v>#N/A</v>
      </c>
      <c r="E2617" s="1" t="s">
        <v>68</v>
      </c>
    </row>
    <row r="2618" ht="15.75" customHeight="1">
      <c r="A2618" s="1" t="s">
        <v>2784</v>
      </c>
      <c r="B2618" s="13" t="str">
        <f t="shared" si="1"/>
        <v>Stephen</v>
      </c>
      <c r="C2618" s="13" t="str">
        <f t="shared" si="2"/>
        <v>Carr</v>
      </c>
      <c r="D2618" s="13" t="str">
        <f t="shared" si="3"/>
        <v>#N/A</v>
      </c>
      <c r="E2618" s="1" t="s">
        <v>66</v>
      </c>
    </row>
    <row r="2619" ht="15.75" customHeight="1">
      <c r="A2619" s="1" t="s">
        <v>891</v>
      </c>
      <c r="B2619" s="13" t="str">
        <f t="shared" si="1"/>
        <v>Stephen</v>
      </c>
      <c r="C2619" s="13" t="str">
        <f t="shared" si="2"/>
        <v>Gostkowski</v>
      </c>
      <c r="D2619" s="13" t="str">
        <f t="shared" si="3"/>
        <v>#N/A</v>
      </c>
      <c r="E2619" s="1" t="s">
        <v>64</v>
      </c>
    </row>
    <row r="2620" ht="15.75" customHeight="1">
      <c r="A2620" s="1" t="s">
        <v>781</v>
      </c>
      <c r="B2620" s="13" t="str">
        <f t="shared" si="1"/>
        <v>Stephen</v>
      </c>
      <c r="C2620" s="13" t="str">
        <f t="shared" si="2"/>
        <v>Gostkowski</v>
      </c>
      <c r="D2620" s="13" t="str">
        <f t="shared" si="3"/>
        <v>#N/A</v>
      </c>
      <c r="E2620" s="1" t="s">
        <v>64</v>
      </c>
    </row>
    <row r="2621" ht="15.75" customHeight="1">
      <c r="A2621" s="1" t="s">
        <v>2785</v>
      </c>
      <c r="B2621" s="13" t="str">
        <f t="shared" si="1"/>
        <v>Stephen</v>
      </c>
      <c r="C2621" s="13" t="str">
        <f t="shared" si="2"/>
        <v>Guidry</v>
      </c>
      <c r="D2621" s="13" t="str">
        <f t="shared" si="3"/>
        <v>#N/A</v>
      </c>
      <c r="E2621" s="1" t="s">
        <v>69</v>
      </c>
    </row>
    <row r="2622" ht="15.75" customHeight="1">
      <c r="A2622" s="1" t="s">
        <v>1784</v>
      </c>
      <c r="B2622" s="13" t="str">
        <f t="shared" si="1"/>
        <v>Stephen</v>
      </c>
      <c r="C2622" s="13" t="str">
        <f t="shared" si="2"/>
        <v>Hauschka</v>
      </c>
      <c r="D2622" s="13" t="str">
        <f t="shared" si="3"/>
        <v>#N/A</v>
      </c>
      <c r="E2622" s="1" t="s">
        <v>64</v>
      </c>
    </row>
    <row r="2623" ht="15.75" customHeight="1">
      <c r="A2623" s="1" t="s">
        <v>2786</v>
      </c>
      <c r="B2623" s="13" t="str">
        <f t="shared" si="1"/>
        <v>Stephen</v>
      </c>
      <c r="C2623" s="13" t="str">
        <f t="shared" si="2"/>
        <v>Hill</v>
      </c>
      <c r="D2623" s="13" t="str">
        <f t="shared" si="3"/>
        <v>#N/A</v>
      </c>
      <c r="E2623" s="1" t="s">
        <v>69</v>
      </c>
    </row>
    <row r="2624" ht="15.75" customHeight="1">
      <c r="A2624" s="1" t="s">
        <v>2787</v>
      </c>
      <c r="B2624" s="13" t="str">
        <f t="shared" si="1"/>
        <v>Stephen</v>
      </c>
      <c r="C2624" s="13" t="str">
        <f t="shared" si="2"/>
        <v>Houston</v>
      </c>
      <c r="D2624" s="13" t="str">
        <f t="shared" si="3"/>
        <v>#N/A</v>
      </c>
      <c r="E2624" s="1" t="s">
        <v>66</v>
      </c>
    </row>
    <row r="2625" ht="15.75" customHeight="1">
      <c r="A2625" s="1" t="s">
        <v>2788</v>
      </c>
      <c r="B2625" s="13" t="str">
        <f t="shared" si="1"/>
        <v>Stephen</v>
      </c>
      <c r="C2625" s="13" t="str">
        <f t="shared" si="2"/>
        <v>Louis</v>
      </c>
      <c r="D2625" s="13" t="str">
        <f t="shared" si="3"/>
        <v>#N/A</v>
      </c>
      <c r="E2625" s="1" t="s">
        <v>69</v>
      </c>
    </row>
    <row r="2626" ht="15.75" customHeight="1">
      <c r="A2626" s="1" t="s">
        <v>2789</v>
      </c>
      <c r="B2626" s="13" t="str">
        <f t="shared" si="1"/>
        <v>Stephen</v>
      </c>
      <c r="C2626" s="13" t="str">
        <f t="shared" si="2"/>
        <v>Morris</v>
      </c>
      <c r="D2626" s="13" t="str">
        <f t="shared" si="3"/>
        <v>#N/A</v>
      </c>
      <c r="E2626" s="1" t="s">
        <v>65</v>
      </c>
    </row>
    <row r="2627" ht="15.75" customHeight="1">
      <c r="A2627" s="1" t="s">
        <v>2790</v>
      </c>
      <c r="B2627" s="13" t="str">
        <f t="shared" si="1"/>
        <v>Stephen</v>
      </c>
      <c r="C2627" s="13" t="str">
        <f t="shared" si="2"/>
        <v>Sullivan</v>
      </c>
      <c r="D2627" s="13" t="str">
        <f t="shared" si="3"/>
        <v>#N/A</v>
      </c>
      <c r="E2627" s="1" t="s">
        <v>68</v>
      </c>
    </row>
    <row r="2628" ht="15.75" customHeight="1">
      <c r="A2628" s="1" t="s">
        <v>2791</v>
      </c>
      <c r="B2628" s="13" t="str">
        <f t="shared" si="1"/>
        <v>Stephon</v>
      </c>
      <c r="C2628" s="13" t="str">
        <f t="shared" si="2"/>
        <v>Huderson</v>
      </c>
      <c r="D2628" s="13" t="str">
        <f t="shared" si="3"/>
        <v>#N/A</v>
      </c>
      <c r="E2628" s="1" t="s">
        <v>66</v>
      </c>
    </row>
    <row r="2629" ht="15.75" customHeight="1">
      <c r="A2629" s="1" t="s">
        <v>328</v>
      </c>
      <c r="B2629" s="13" t="str">
        <f t="shared" si="1"/>
        <v>Sterling</v>
      </c>
      <c r="C2629" s="13" t="str">
        <f t="shared" si="2"/>
        <v>Shepard</v>
      </c>
      <c r="D2629" s="13" t="str">
        <f t="shared" si="3"/>
        <v>#N/A</v>
      </c>
      <c r="E2629" s="1" t="s">
        <v>69</v>
      </c>
    </row>
    <row r="2630" ht="15.75" customHeight="1">
      <c r="A2630" s="1" t="s">
        <v>2792</v>
      </c>
      <c r="B2630" s="13" t="str">
        <f t="shared" si="1"/>
        <v>Stevan</v>
      </c>
      <c r="C2630" s="13" t="str">
        <f t="shared" si="2"/>
        <v>Ridley</v>
      </c>
      <c r="D2630" s="13" t="str">
        <f t="shared" si="3"/>
        <v>#N/A</v>
      </c>
      <c r="E2630" s="1" t="s">
        <v>66</v>
      </c>
    </row>
    <row r="2631" ht="15.75" customHeight="1">
      <c r="A2631" s="1" t="s">
        <v>2793</v>
      </c>
      <c r="B2631" s="13" t="str">
        <f t="shared" si="1"/>
        <v>Steve</v>
      </c>
      <c r="C2631" s="13" t="str">
        <f t="shared" si="2"/>
        <v>Ishmael</v>
      </c>
      <c r="D2631" s="13" t="str">
        <f t="shared" si="3"/>
        <v>#N/A</v>
      </c>
      <c r="E2631" s="1" t="s">
        <v>69</v>
      </c>
    </row>
    <row r="2632" ht="15.75" customHeight="1">
      <c r="A2632" s="1" t="s">
        <v>2794</v>
      </c>
      <c r="B2632" s="13" t="str">
        <f t="shared" si="1"/>
        <v>Steve</v>
      </c>
      <c r="C2632" s="13" t="str">
        <f t="shared" si="2"/>
        <v>Johnson</v>
      </c>
      <c r="D2632" s="13" t="str">
        <f t="shared" si="3"/>
        <v>#N/A</v>
      </c>
      <c r="E2632" s="1" t="s">
        <v>69</v>
      </c>
    </row>
    <row r="2633" ht="15.75" customHeight="1">
      <c r="A2633" s="1" t="s">
        <v>2795</v>
      </c>
      <c r="B2633" s="13" t="str">
        <f t="shared" si="1"/>
        <v>Steve</v>
      </c>
      <c r="C2633" s="13" t="str">
        <f t="shared" si="2"/>
        <v>Smith</v>
      </c>
      <c r="D2633" s="13" t="str">
        <f t="shared" si="3"/>
        <v>#N/A</v>
      </c>
      <c r="E2633" s="1" t="s">
        <v>69</v>
      </c>
    </row>
    <row r="2634" ht="15.75" customHeight="1">
      <c r="A2634" s="1" t="s">
        <v>2796</v>
      </c>
      <c r="B2634" s="13" t="str">
        <f t="shared" si="1"/>
        <v>Steven</v>
      </c>
      <c r="C2634" s="13" t="str">
        <f t="shared" si="2"/>
        <v>Dunbar</v>
      </c>
      <c r="D2634" s="13" t="str">
        <f t="shared" si="3"/>
        <v>#N/A</v>
      </c>
      <c r="E2634" s="1" t="s">
        <v>69</v>
      </c>
    </row>
    <row r="2635" ht="15.75" customHeight="1">
      <c r="A2635" s="1" t="s">
        <v>2797</v>
      </c>
      <c r="B2635" s="13" t="str">
        <f t="shared" si="1"/>
        <v>Steven</v>
      </c>
      <c r="C2635" s="13" t="str">
        <f t="shared" si="2"/>
        <v>Jackson</v>
      </c>
      <c r="D2635" s="13" t="str">
        <f t="shared" si="3"/>
        <v>#N/A</v>
      </c>
      <c r="E2635" s="1" t="s">
        <v>66</v>
      </c>
    </row>
    <row r="2636" ht="15.75" customHeight="1">
      <c r="A2636" s="1" t="s">
        <v>2798</v>
      </c>
      <c r="B2636" s="13" t="str">
        <f t="shared" si="1"/>
        <v>Steven</v>
      </c>
      <c r="C2636" s="13" t="str">
        <f t="shared" si="2"/>
        <v>Miller</v>
      </c>
      <c r="D2636" s="13" t="str">
        <f t="shared" si="3"/>
        <v>#N/A</v>
      </c>
      <c r="E2636" s="1" t="s">
        <v>66</v>
      </c>
    </row>
    <row r="2637" ht="15.75" customHeight="1">
      <c r="A2637" s="1" t="s">
        <v>2799</v>
      </c>
      <c r="B2637" s="13" t="str">
        <f t="shared" si="1"/>
        <v>Steven</v>
      </c>
      <c r="C2637" s="13" t="str">
        <f t="shared" si="2"/>
        <v>Mitchell</v>
      </c>
      <c r="D2637" s="13" t="str">
        <f t="shared" si="3"/>
        <v>#N/A</v>
      </c>
      <c r="E2637" s="1" t="s">
        <v>69</v>
      </c>
    </row>
    <row r="2638" ht="15.75" customHeight="1">
      <c r="A2638" s="1" t="s">
        <v>2800</v>
      </c>
      <c r="B2638" s="13" t="str">
        <f t="shared" si="1"/>
        <v>Steven</v>
      </c>
      <c r="C2638" s="13" t="str">
        <f t="shared" si="2"/>
        <v>Montez</v>
      </c>
      <c r="D2638" s="13" t="str">
        <f t="shared" si="3"/>
        <v>#N/A</v>
      </c>
      <c r="E2638" s="1" t="s">
        <v>65</v>
      </c>
    </row>
    <row r="2639" ht="15.75" customHeight="1">
      <c r="A2639" s="1" t="s">
        <v>2801</v>
      </c>
      <c r="B2639" s="13" t="str">
        <f t="shared" si="1"/>
        <v>Steven</v>
      </c>
      <c r="C2639" s="13" t="str">
        <f t="shared" si="2"/>
        <v>Peoples</v>
      </c>
      <c r="D2639" s="13" t="str">
        <f t="shared" si="3"/>
        <v>#N/A</v>
      </c>
      <c r="E2639" s="1" t="s">
        <v>66</v>
      </c>
    </row>
    <row r="2640" ht="15.75" customHeight="1">
      <c r="A2640" s="1" t="s">
        <v>2802</v>
      </c>
      <c r="B2640" s="13" t="str">
        <f t="shared" si="1"/>
        <v>Steven</v>
      </c>
      <c r="C2640" s="13" t="str">
        <f t="shared" si="2"/>
        <v>Scheu</v>
      </c>
      <c r="D2640" s="13" t="str">
        <f t="shared" si="3"/>
        <v>#N/A</v>
      </c>
      <c r="E2640" s="1" t="s">
        <v>68</v>
      </c>
    </row>
    <row r="2641" ht="15.75" customHeight="1">
      <c r="A2641" s="1" t="s">
        <v>2803</v>
      </c>
      <c r="B2641" s="13" t="str">
        <f t="shared" si="1"/>
        <v>Steven</v>
      </c>
      <c r="C2641" s="13" t="str">
        <f t="shared" si="2"/>
        <v>Sims</v>
      </c>
      <c r="D2641" s="13" t="str">
        <f t="shared" si="3"/>
        <v>#N/A</v>
      </c>
      <c r="E2641" s="1" t="s">
        <v>69</v>
      </c>
    </row>
    <row r="2642" ht="15.75" customHeight="1">
      <c r="A2642" s="1" t="s">
        <v>2804</v>
      </c>
      <c r="B2642" s="13" t="str">
        <f t="shared" si="1"/>
        <v>Stevie</v>
      </c>
      <c r="C2642" s="13" t="str">
        <f t="shared" si="2"/>
        <v>Scott</v>
      </c>
      <c r="D2642" s="13" t="str">
        <f t="shared" si="3"/>
        <v>#N/A</v>
      </c>
      <c r="E2642" s="1" t="s">
        <v>66</v>
      </c>
    </row>
    <row r="2643" ht="15.75" customHeight="1">
      <c r="A2643" s="1" t="s">
        <v>2805</v>
      </c>
      <c r="B2643" s="13" t="str">
        <f t="shared" si="1"/>
        <v>Stone</v>
      </c>
      <c r="C2643" s="13" t="str">
        <f t="shared" si="2"/>
        <v>Smartt</v>
      </c>
      <c r="D2643" s="13" t="str">
        <f t="shared" si="3"/>
        <v>#N/A</v>
      </c>
      <c r="E2643" s="1" t="s">
        <v>68</v>
      </c>
    </row>
    <row r="2644" ht="15.75" customHeight="1">
      <c r="A2644" s="1" t="s">
        <v>2806</v>
      </c>
      <c r="B2644" s="13" t="str">
        <f t="shared" si="1"/>
        <v>Storm</v>
      </c>
      <c r="C2644" s="13" t="str">
        <f t="shared" si="2"/>
        <v>Johnson</v>
      </c>
      <c r="D2644" s="13" t="str">
        <f t="shared" si="3"/>
        <v>#N/A</v>
      </c>
      <c r="E2644" s="1" t="s">
        <v>66</v>
      </c>
    </row>
    <row r="2645" ht="15.75" customHeight="1">
      <c r="A2645" s="1" t="s">
        <v>2807</v>
      </c>
      <c r="B2645" s="13" t="str">
        <f t="shared" si="1"/>
        <v>Synjyn</v>
      </c>
      <c r="C2645" s="13" t="str">
        <f t="shared" si="2"/>
        <v>Days</v>
      </c>
      <c r="D2645" s="13" t="str">
        <f t="shared" si="3"/>
        <v>#N/A</v>
      </c>
      <c r="E2645" s="1" t="s">
        <v>66</v>
      </c>
    </row>
    <row r="2646" ht="15.75" customHeight="1">
      <c r="A2646" s="1" t="s">
        <v>2808</v>
      </c>
      <c r="B2646" s="13" t="str">
        <f t="shared" si="1"/>
        <v>TJ</v>
      </c>
      <c r="C2646" s="13" t="str">
        <f t="shared" si="2"/>
        <v>Graham</v>
      </c>
      <c r="D2646" s="13" t="str">
        <f t="shared" si="3"/>
        <v>#N/A</v>
      </c>
      <c r="E2646" s="1" t="s">
        <v>69</v>
      </c>
    </row>
    <row r="2647" ht="15.75" customHeight="1">
      <c r="A2647" s="1" t="s">
        <v>227</v>
      </c>
      <c r="B2647" s="13" t="str">
        <f t="shared" si="1"/>
        <v>TJ</v>
      </c>
      <c r="C2647" s="13" t="str">
        <f t="shared" si="2"/>
        <v>Hockenson</v>
      </c>
      <c r="D2647" s="13" t="str">
        <f t="shared" si="3"/>
        <v>#N/A</v>
      </c>
      <c r="E2647" s="1" t="s">
        <v>68</v>
      </c>
    </row>
    <row r="2648" ht="15.75" customHeight="1">
      <c r="A2648" s="1" t="s">
        <v>2809</v>
      </c>
      <c r="B2648" s="13" t="str">
        <f t="shared" si="1"/>
        <v>TJ</v>
      </c>
      <c r="C2648" s="13" t="str">
        <f t="shared" si="2"/>
        <v>Houshmandzadeh</v>
      </c>
      <c r="D2648" s="13" t="str">
        <f t="shared" si="3"/>
        <v>#N/A</v>
      </c>
      <c r="E2648" s="1" t="s">
        <v>69</v>
      </c>
    </row>
    <row r="2649" ht="15.75" customHeight="1">
      <c r="A2649" s="1" t="s">
        <v>2810</v>
      </c>
      <c r="B2649" s="13" t="str">
        <f t="shared" si="1"/>
        <v>TJ</v>
      </c>
      <c r="C2649" s="13" t="str">
        <f t="shared" si="2"/>
        <v>Jones</v>
      </c>
      <c r="D2649" s="13" t="str">
        <f t="shared" si="3"/>
        <v>#N/A</v>
      </c>
      <c r="E2649" s="1" t="s">
        <v>69</v>
      </c>
    </row>
    <row r="2650" ht="15.75" customHeight="1">
      <c r="A2650" s="1" t="s">
        <v>2811</v>
      </c>
      <c r="B2650" s="13" t="str">
        <f t="shared" si="1"/>
        <v>TJ</v>
      </c>
      <c r="C2650" s="13" t="str">
        <f t="shared" si="2"/>
        <v>Logan</v>
      </c>
      <c r="D2650" s="13" t="str">
        <f t="shared" si="3"/>
        <v>#N/A</v>
      </c>
      <c r="E2650" s="1" t="s">
        <v>66</v>
      </c>
    </row>
    <row r="2651" ht="15.75" customHeight="1">
      <c r="A2651" s="1" t="s">
        <v>2812</v>
      </c>
      <c r="B2651" s="13" t="str">
        <f t="shared" si="1"/>
        <v>TJ</v>
      </c>
      <c r="C2651" s="13" t="str">
        <f t="shared" si="2"/>
        <v>Moe</v>
      </c>
      <c r="D2651" s="13" t="str">
        <f t="shared" si="3"/>
        <v>#N/A</v>
      </c>
      <c r="E2651" s="1" t="s">
        <v>69</v>
      </c>
    </row>
    <row r="2652" ht="15.75" customHeight="1">
      <c r="A2652" s="1" t="s">
        <v>2813</v>
      </c>
      <c r="B2652" s="13" t="str">
        <f t="shared" si="1"/>
        <v>TJ</v>
      </c>
      <c r="C2652" s="13" t="str">
        <f t="shared" si="2"/>
        <v>Pledger</v>
      </c>
      <c r="D2652" s="13" t="str">
        <f t="shared" si="3"/>
        <v>#N/A</v>
      </c>
      <c r="E2652" s="1" t="s">
        <v>66</v>
      </c>
    </row>
    <row r="2653" ht="15.75" customHeight="1">
      <c r="A2653" s="1" t="s">
        <v>2814</v>
      </c>
      <c r="B2653" s="13" t="str">
        <f t="shared" si="1"/>
        <v>TJ</v>
      </c>
      <c r="C2653" s="13" t="str">
        <f t="shared" si="2"/>
        <v>Rahming</v>
      </c>
      <c r="D2653" s="13" t="str">
        <f t="shared" si="3"/>
        <v>#N/A</v>
      </c>
      <c r="E2653" s="1" t="s">
        <v>69</v>
      </c>
    </row>
    <row r="2654" ht="15.75" customHeight="1">
      <c r="A2654" s="1" t="s">
        <v>2815</v>
      </c>
      <c r="B2654" s="13" t="str">
        <f t="shared" si="1"/>
        <v>TJ</v>
      </c>
      <c r="C2654" s="13" t="str">
        <f t="shared" si="2"/>
        <v>Vasher</v>
      </c>
      <c r="D2654" s="13" t="str">
        <f t="shared" si="3"/>
        <v>#N/A</v>
      </c>
      <c r="E2654" s="1" t="s">
        <v>69</v>
      </c>
    </row>
    <row r="2655" ht="15.75" customHeight="1">
      <c r="A2655" s="1" t="s">
        <v>2816</v>
      </c>
      <c r="B2655" s="13" t="str">
        <f t="shared" si="1"/>
        <v>TJ</v>
      </c>
      <c r="C2655" s="13" t="str">
        <f t="shared" si="2"/>
        <v>Yates</v>
      </c>
      <c r="D2655" s="13" t="str">
        <f t="shared" si="3"/>
        <v>#N/A</v>
      </c>
      <c r="E2655" s="1" t="s">
        <v>65</v>
      </c>
    </row>
    <row r="2656" ht="15.75" customHeight="1">
      <c r="A2656" s="1" t="s">
        <v>2008</v>
      </c>
      <c r="B2656" s="13" t="str">
        <f t="shared" si="1"/>
        <v>TJ</v>
      </c>
      <c r="C2656" s="13" t="str">
        <f t="shared" si="2"/>
        <v>Yeldon</v>
      </c>
      <c r="D2656" s="13" t="str">
        <f t="shared" si="3"/>
        <v>#N/A</v>
      </c>
      <c r="E2656" s="1" t="s">
        <v>66</v>
      </c>
    </row>
    <row r="2657" ht="15.75" customHeight="1">
      <c r="A2657" s="1" t="s">
        <v>822</v>
      </c>
      <c r="B2657" s="13" t="str">
        <f t="shared" si="1"/>
        <v>TY</v>
      </c>
      <c r="C2657" s="13" t="str">
        <f t="shared" si="2"/>
        <v>Hilton</v>
      </c>
      <c r="D2657" s="13" t="str">
        <f t="shared" si="3"/>
        <v>#N/A</v>
      </c>
      <c r="E2657" s="1" t="s">
        <v>69</v>
      </c>
    </row>
    <row r="2658" ht="15.75" customHeight="1">
      <c r="A2658" s="1" t="s">
        <v>2817</v>
      </c>
      <c r="B2658" s="13" t="str">
        <f t="shared" si="1"/>
        <v>Tahj</v>
      </c>
      <c r="C2658" s="13" t="str">
        <f t="shared" si="2"/>
        <v>Washington</v>
      </c>
      <c r="D2658" s="13" t="str">
        <f t="shared" si="3"/>
        <v>#N/A</v>
      </c>
      <c r="E2658" s="1" t="s">
        <v>69</v>
      </c>
    </row>
    <row r="2659" ht="15.75" customHeight="1">
      <c r="A2659" s="1" t="s">
        <v>2818</v>
      </c>
      <c r="B2659" s="13" t="str">
        <f t="shared" si="1"/>
        <v>Taiwan</v>
      </c>
      <c r="C2659" s="13" t="str">
        <f t="shared" si="2"/>
        <v>Deal</v>
      </c>
      <c r="D2659" s="13" t="str">
        <f t="shared" si="3"/>
        <v>#N/A</v>
      </c>
      <c r="E2659" s="1" t="s">
        <v>66</v>
      </c>
    </row>
    <row r="2660" ht="15.75" customHeight="1">
      <c r="A2660" s="1" t="s">
        <v>2819</v>
      </c>
      <c r="B2660" s="13" t="str">
        <f t="shared" si="1"/>
        <v>Taiwan</v>
      </c>
      <c r="C2660" s="13" t="str">
        <f t="shared" si="2"/>
        <v>Jones</v>
      </c>
      <c r="D2660" s="13" t="str">
        <f t="shared" si="3"/>
        <v>#N/A</v>
      </c>
      <c r="E2660" s="1" t="s">
        <v>66</v>
      </c>
    </row>
    <row r="2661" ht="15.75" customHeight="1">
      <c r="A2661" s="1" t="s">
        <v>1780</v>
      </c>
      <c r="B2661" s="13" t="str">
        <f t="shared" si="1"/>
        <v>Tajae</v>
      </c>
      <c r="C2661" s="13" t="str">
        <f t="shared" si="2"/>
        <v>Sharpe</v>
      </c>
      <c r="D2661" s="13" t="str">
        <f t="shared" si="3"/>
        <v>#N/A</v>
      </c>
      <c r="E2661" s="1" t="s">
        <v>69</v>
      </c>
    </row>
    <row r="2662" ht="15.75" customHeight="1">
      <c r="A2662" s="1" t="s">
        <v>2820</v>
      </c>
      <c r="B2662" s="13" t="str">
        <f t="shared" si="1"/>
        <v>Tajh</v>
      </c>
      <c r="C2662" s="13" t="str">
        <f t="shared" si="2"/>
        <v>Boyd</v>
      </c>
      <c r="D2662" s="13" t="str">
        <f t="shared" si="3"/>
        <v>#N/A</v>
      </c>
      <c r="E2662" s="1" t="s">
        <v>65</v>
      </c>
    </row>
    <row r="2663" ht="15.75" customHeight="1">
      <c r="A2663" s="1" t="s">
        <v>2821</v>
      </c>
      <c r="B2663" s="13" t="str">
        <f t="shared" si="1"/>
        <v>Tamorrion</v>
      </c>
      <c r="C2663" s="13" t="str">
        <f t="shared" si="2"/>
        <v>Terry</v>
      </c>
      <c r="D2663" s="13" t="str">
        <f t="shared" si="3"/>
        <v>#N/A</v>
      </c>
      <c r="E2663" s="1" t="s">
        <v>69</v>
      </c>
    </row>
    <row r="2664" ht="15.75" customHeight="1">
      <c r="A2664" s="1" t="s">
        <v>115</v>
      </c>
      <c r="B2664" s="13" t="str">
        <f t="shared" si="1"/>
        <v>Tampa</v>
      </c>
      <c r="C2664" s="13" t="str">
        <f t="shared" si="2"/>
        <v>Bay</v>
      </c>
      <c r="D2664" s="13" t="str">
        <f t="shared" si="3"/>
        <v>#N/A</v>
      </c>
      <c r="E2664" s="1" t="s">
        <v>63</v>
      </c>
    </row>
    <row r="2665" ht="15.75" customHeight="1">
      <c r="A2665" s="1" t="s">
        <v>2822</v>
      </c>
      <c r="B2665" s="13" t="str">
        <f t="shared" si="1"/>
        <v>Tandon</v>
      </c>
      <c r="C2665" s="13" t="str">
        <f t="shared" si="2"/>
        <v>Doss</v>
      </c>
      <c r="D2665" s="13" t="str">
        <f t="shared" si="3"/>
        <v>#N/A</v>
      </c>
      <c r="E2665" s="1" t="s">
        <v>69</v>
      </c>
    </row>
    <row r="2666" ht="15.75" customHeight="1">
      <c r="A2666" s="1" t="s">
        <v>2823</v>
      </c>
      <c r="B2666" s="13" t="str">
        <f t="shared" si="1"/>
        <v>Tank</v>
      </c>
      <c r="C2666" s="13" t="str">
        <f t="shared" si="2"/>
        <v>Bigsby</v>
      </c>
      <c r="D2666" s="13" t="str">
        <f t="shared" si="3"/>
        <v>#N/A</v>
      </c>
      <c r="E2666" s="1" t="s">
        <v>66</v>
      </c>
    </row>
    <row r="2667" ht="15.75" customHeight="1">
      <c r="A2667" s="1" t="s">
        <v>2824</v>
      </c>
      <c r="B2667" s="13" t="str">
        <f t="shared" si="1"/>
        <v>Tanner</v>
      </c>
      <c r="C2667" s="13" t="str">
        <f t="shared" si="2"/>
        <v>Gentry</v>
      </c>
      <c r="D2667" s="13" t="str">
        <f t="shared" si="3"/>
        <v>#N/A</v>
      </c>
      <c r="E2667" s="1" t="s">
        <v>69</v>
      </c>
    </row>
    <row r="2668" ht="15.75" customHeight="1">
      <c r="A2668" s="1" t="s">
        <v>2825</v>
      </c>
      <c r="B2668" s="13" t="str">
        <f t="shared" si="1"/>
        <v>Tanner</v>
      </c>
      <c r="C2668" s="13" t="str">
        <f t="shared" si="2"/>
        <v>Hudson</v>
      </c>
      <c r="D2668" s="13" t="str">
        <f t="shared" si="3"/>
        <v>#N/A</v>
      </c>
      <c r="E2668" s="1" t="s">
        <v>68</v>
      </c>
    </row>
    <row r="2669" ht="15.75" customHeight="1">
      <c r="A2669" s="1" t="s">
        <v>2826</v>
      </c>
      <c r="B2669" s="13" t="str">
        <f t="shared" si="1"/>
        <v>Tanner</v>
      </c>
      <c r="C2669" s="13" t="str">
        <f t="shared" si="2"/>
        <v>Lee</v>
      </c>
      <c r="D2669" s="13" t="str">
        <f t="shared" si="3"/>
        <v>#N/A</v>
      </c>
      <c r="E2669" s="1" t="s">
        <v>65</v>
      </c>
    </row>
    <row r="2670" ht="15.75" customHeight="1">
      <c r="A2670" s="1" t="s">
        <v>2827</v>
      </c>
      <c r="B2670" s="13" t="str">
        <f t="shared" si="1"/>
        <v>Tanner</v>
      </c>
      <c r="C2670" s="13" t="str">
        <f t="shared" si="2"/>
        <v>McEvoy</v>
      </c>
      <c r="D2670" s="13" t="str">
        <f t="shared" si="3"/>
        <v>#N/A</v>
      </c>
      <c r="E2670" s="1" t="s">
        <v>69</v>
      </c>
    </row>
    <row r="2671" ht="15.75" customHeight="1">
      <c r="A2671" s="1" t="s">
        <v>2828</v>
      </c>
      <c r="B2671" s="13" t="str">
        <f t="shared" si="1"/>
        <v>Tanner</v>
      </c>
      <c r="C2671" s="13" t="str">
        <f t="shared" si="2"/>
        <v>McKee</v>
      </c>
      <c r="D2671" s="13" t="str">
        <f t="shared" si="3"/>
        <v>#N/A</v>
      </c>
      <c r="E2671" s="1" t="s">
        <v>65</v>
      </c>
    </row>
    <row r="2672" ht="15.75" customHeight="1">
      <c r="A2672" s="1" t="s">
        <v>2829</v>
      </c>
      <c r="B2672" s="13" t="str">
        <f t="shared" si="1"/>
        <v>Taquan</v>
      </c>
      <c r="C2672" s="13" t="str">
        <f t="shared" si="2"/>
        <v>Mizzell</v>
      </c>
      <c r="D2672" s="13" t="str">
        <f t="shared" si="3"/>
        <v>#N/A</v>
      </c>
      <c r="E2672" s="1" t="s">
        <v>66</v>
      </c>
    </row>
    <row r="2673" ht="15.75" customHeight="1">
      <c r="A2673" s="1" t="s">
        <v>2830</v>
      </c>
      <c r="B2673" s="13" t="str">
        <f t="shared" si="1"/>
        <v>Tarik</v>
      </c>
      <c r="C2673" s="13" t="str">
        <f t="shared" si="2"/>
        <v>Black</v>
      </c>
      <c r="D2673" s="13" t="str">
        <f t="shared" si="3"/>
        <v>#N/A</v>
      </c>
      <c r="E2673" s="1" t="s">
        <v>69</v>
      </c>
    </row>
    <row r="2674" ht="15.75" customHeight="1">
      <c r="A2674" s="1" t="s">
        <v>791</v>
      </c>
      <c r="B2674" s="13" t="str">
        <f t="shared" si="1"/>
        <v>Tarik</v>
      </c>
      <c r="C2674" s="13" t="str">
        <f t="shared" si="2"/>
        <v>Cohen</v>
      </c>
      <c r="D2674" s="13" t="str">
        <f t="shared" si="3"/>
        <v>#N/A</v>
      </c>
      <c r="E2674" s="1" t="s">
        <v>66</v>
      </c>
    </row>
    <row r="2675" ht="15.75" customHeight="1">
      <c r="A2675" s="1" t="s">
        <v>2831</v>
      </c>
      <c r="B2675" s="13" t="str">
        <f t="shared" si="1"/>
        <v>Tarvaris</v>
      </c>
      <c r="C2675" s="13" t="str">
        <f t="shared" si="2"/>
        <v>Jackson</v>
      </c>
      <c r="D2675" s="13" t="str">
        <f t="shared" si="3"/>
        <v>#N/A</v>
      </c>
      <c r="E2675" s="1" t="s">
        <v>65</v>
      </c>
    </row>
    <row r="2676" ht="15.75" customHeight="1">
      <c r="A2676" s="1" t="s">
        <v>2832</v>
      </c>
      <c r="B2676" s="13" t="str">
        <f t="shared" si="1"/>
        <v>Taulia</v>
      </c>
      <c r="C2676" s="13" t="str">
        <f t="shared" si="2"/>
        <v>Tagovailoa</v>
      </c>
      <c r="D2676" s="13" t="str">
        <f t="shared" si="3"/>
        <v>#N/A</v>
      </c>
      <c r="E2676" s="1" t="s">
        <v>65</v>
      </c>
    </row>
    <row r="2677" ht="15.75" customHeight="1">
      <c r="A2677" s="1" t="s">
        <v>2833</v>
      </c>
      <c r="B2677" s="13" t="str">
        <f t="shared" si="1"/>
        <v>Tauren</v>
      </c>
      <c r="C2677" s="13" t="str">
        <f t="shared" si="2"/>
        <v>Poole</v>
      </c>
      <c r="D2677" s="13" t="str">
        <f t="shared" si="3"/>
        <v>#N/A</v>
      </c>
      <c r="E2677" s="1" t="s">
        <v>66</v>
      </c>
    </row>
    <row r="2678" ht="15.75" customHeight="1">
      <c r="A2678" s="1" t="s">
        <v>2834</v>
      </c>
      <c r="B2678" s="13" t="str">
        <f t="shared" si="1"/>
        <v>Tavarres</v>
      </c>
      <c r="C2678" s="13" t="str">
        <f t="shared" si="2"/>
        <v>King</v>
      </c>
      <c r="D2678" s="13" t="str">
        <f t="shared" si="3"/>
        <v>#N/A</v>
      </c>
      <c r="E2678" s="1" t="s">
        <v>69</v>
      </c>
    </row>
    <row r="2679" ht="15.75" customHeight="1">
      <c r="A2679" s="1" t="s">
        <v>2835</v>
      </c>
      <c r="B2679" s="13" t="str">
        <f t="shared" si="1"/>
        <v>Tavien</v>
      </c>
      <c r="C2679" s="13" t="str">
        <f t="shared" si="2"/>
        <v>Feaster</v>
      </c>
      <c r="D2679" s="13" t="str">
        <f t="shared" si="3"/>
        <v>#N/A</v>
      </c>
      <c r="E2679" s="1" t="s">
        <v>66</v>
      </c>
    </row>
    <row r="2680" ht="15.75" customHeight="1">
      <c r="A2680" s="1" t="s">
        <v>2836</v>
      </c>
      <c r="B2680" s="13" t="str">
        <f t="shared" si="1"/>
        <v>Tavion</v>
      </c>
      <c r="C2680" s="13" t="str">
        <f t="shared" si="2"/>
        <v>Thomas</v>
      </c>
      <c r="D2680" s="13" t="str">
        <f t="shared" si="3"/>
        <v>#N/A</v>
      </c>
      <c r="E2680" s="1" t="s">
        <v>66</v>
      </c>
    </row>
    <row r="2681" ht="15.75" customHeight="1">
      <c r="A2681" s="1" t="s">
        <v>1930</v>
      </c>
      <c r="B2681" s="13" t="str">
        <f t="shared" si="1"/>
        <v>Tavon</v>
      </c>
      <c r="C2681" s="13" t="str">
        <f t="shared" si="2"/>
        <v>Austin</v>
      </c>
      <c r="D2681" s="13" t="str">
        <f t="shared" si="3"/>
        <v>#N/A</v>
      </c>
      <c r="E2681" s="1" t="s">
        <v>66</v>
      </c>
    </row>
    <row r="2682" ht="15.75" customHeight="1">
      <c r="A2682" s="1" t="s">
        <v>2837</v>
      </c>
      <c r="B2682" s="13" t="str">
        <f t="shared" si="1"/>
        <v>Taye</v>
      </c>
      <c r="C2682" s="13" t="str">
        <f t="shared" si="2"/>
        <v>Barber</v>
      </c>
      <c r="D2682" s="13" t="str">
        <f t="shared" si="3"/>
        <v>#N/A</v>
      </c>
      <c r="E2682" s="1" t="s">
        <v>69</v>
      </c>
    </row>
    <row r="2683" ht="15.75" customHeight="1">
      <c r="A2683" s="1" t="s">
        <v>2838</v>
      </c>
      <c r="B2683" s="13" t="str">
        <f t="shared" si="1"/>
        <v>Taylor</v>
      </c>
      <c r="C2683" s="13" t="str">
        <f t="shared" si="2"/>
        <v>Cornelius</v>
      </c>
      <c r="D2683" s="13" t="str">
        <f t="shared" si="3"/>
        <v>#N/A</v>
      </c>
      <c r="E2683" s="1" t="s">
        <v>65</v>
      </c>
    </row>
    <row r="2684" ht="15.75" customHeight="1">
      <c r="A2684" s="1" t="s">
        <v>2839</v>
      </c>
      <c r="B2684" s="13" t="str">
        <f t="shared" si="1"/>
        <v>Taylor</v>
      </c>
      <c r="C2684" s="13" t="str">
        <f t="shared" si="2"/>
        <v>Gabriel</v>
      </c>
      <c r="D2684" s="13" t="str">
        <f t="shared" si="3"/>
        <v>#N/A</v>
      </c>
      <c r="E2684" s="1" t="s">
        <v>69</v>
      </c>
    </row>
    <row r="2685" ht="15.75" customHeight="1">
      <c r="A2685" s="1" t="s">
        <v>2840</v>
      </c>
      <c r="B2685" s="13" t="str">
        <f t="shared" si="1"/>
        <v>Taylor</v>
      </c>
      <c r="C2685" s="13" t="str">
        <f t="shared" si="2"/>
        <v>Heinicke</v>
      </c>
      <c r="D2685" s="13" t="str">
        <f t="shared" si="3"/>
        <v>#N/A</v>
      </c>
      <c r="E2685" s="1" t="s">
        <v>65</v>
      </c>
    </row>
    <row r="2686" ht="15.75" customHeight="1">
      <c r="A2686" s="1" t="s">
        <v>2841</v>
      </c>
      <c r="B2686" s="13" t="str">
        <f t="shared" si="1"/>
        <v>Taylor</v>
      </c>
      <c r="C2686" s="13" t="str">
        <f t="shared" si="2"/>
        <v>McNamara</v>
      </c>
      <c r="D2686" s="13" t="str">
        <f t="shared" si="3"/>
        <v>#N/A</v>
      </c>
      <c r="E2686" s="1" t="s">
        <v>68</v>
      </c>
    </row>
    <row r="2687" ht="15.75" customHeight="1">
      <c r="A2687" s="1" t="s">
        <v>2842</v>
      </c>
      <c r="B2687" s="13" t="str">
        <f t="shared" si="1"/>
        <v>Taylor</v>
      </c>
      <c r="C2687" s="13" t="str">
        <f t="shared" si="2"/>
        <v>Price</v>
      </c>
      <c r="D2687" s="13" t="str">
        <f t="shared" si="3"/>
        <v>#N/A</v>
      </c>
      <c r="E2687" s="1" t="s">
        <v>69</v>
      </c>
    </row>
    <row r="2688" ht="15.75" customHeight="1">
      <c r="A2688" s="1" t="s">
        <v>2843</v>
      </c>
      <c r="B2688" s="13" t="str">
        <f t="shared" si="1"/>
        <v>Taylor</v>
      </c>
      <c r="C2688" s="13" t="str">
        <f t="shared" si="2"/>
        <v>Thompson</v>
      </c>
      <c r="D2688" s="13" t="str">
        <f t="shared" si="3"/>
        <v>#N/A</v>
      </c>
      <c r="E2688" s="1" t="s">
        <v>68</v>
      </c>
    </row>
    <row r="2689" ht="15.75" customHeight="1">
      <c r="A2689" s="1" t="s">
        <v>2844</v>
      </c>
      <c r="B2689" s="13" t="str">
        <f t="shared" si="1"/>
        <v>Taysom</v>
      </c>
      <c r="C2689" s="13" t="str">
        <f t="shared" si="2"/>
        <v>Hill</v>
      </c>
      <c r="D2689" s="13" t="str">
        <f t="shared" si="3"/>
        <v>#N/A</v>
      </c>
      <c r="E2689" s="1" t="s">
        <v>68</v>
      </c>
    </row>
    <row r="2690" ht="15.75" customHeight="1">
      <c r="A2690" s="1" t="s">
        <v>2845</v>
      </c>
      <c r="B2690" s="13" t="str">
        <f t="shared" si="1"/>
        <v>Tayvion</v>
      </c>
      <c r="C2690" s="13" t="str">
        <f t="shared" si="2"/>
        <v>Robinson</v>
      </c>
      <c r="D2690" s="13" t="str">
        <f t="shared" si="3"/>
        <v>#N/A</v>
      </c>
      <c r="E2690" s="1" t="s">
        <v>69</v>
      </c>
    </row>
    <row r="2691" ht="15.75" customHeight="1">
      <c r="A2691" s="1" t="s">
        <v>2846</v>
      </c>
      <c r="B2691" s="13" t="str">
        <f t="shared" si="1"/>
        <v>Taywan</v>
      </c>
      <c r="C2691" s="13" t="str">
        <f t="shared" si="2"/>
        <v>Taylor</v>
      </c>
      <c r="D2691" s="13" t="str">
        <f t="shared" si="3"/>
        <v>#N/A</v>
      </c>
      <c r="E2691" s="1" t="s">
        <v>69</v>
      </c>
    </row>
    <row r="2692" ht="15.75" customHeight="1">
      <c r="A2692" s="1" t="s">
        <v>2847</v>
      </c>
      <c r="B2692" s="13" t="str">
        <f t="shared" si="1"/>
        <v>Teagan</v>
      </c>
      <c r="C2692" s="13" t="str">
        <f t="shared" si="2"/>
        <v>Quitoriano</v>
      </c>
      <c r="D2692" s="13" t="str">
        <f t="shared" si="3"/>
        <v>#N/A</v>
      </c>
      <c r="E2692" s="1" t="s">
        <v>68</v>
      </c>
    </row>
    <row r="2693" ht="15.75" customHeight="1">
      <c r="A2693" s="1" t="s">
        <v>2848</v>
      </c>
      <c r="B2693" s="13" t="str">
        <f t="shared" si="1"/>
        <v>Ted</v>
      </c>
      <c r="C2693" s="13" t="str">
        <f t="shared" si="2"/>
        <v>Bolser</v>
      </c>
      <c r="D2693" s="13" t="str">
        <f t="shared" si="3"/>
        <v>#N/A</v>
      </c>
      <c r="E2693" s="1" t="s">
        <v>68</v>
      </c>
    </row>
    <row r="2694" ht="15.75" customHeight="1">
      <c r="A2694" s="1" t="s">
        <v>2849</v>
      </c>
      <c r="B2694" s="13" t="str">
        <f t="shared" si="1"/>
        <v>Ted</v>
      </c>
      <c r="C2694" s="13" t="str">
        <f t="shared" si="2"/>
        <v>Ginn</v>
      </c>
      <c r="D2694" s="13" t="str">
        <f t="shared" si="3"/>
        <v>#N/A</v>
      </c>
      <c r="E2694" s="1" t="s">
        <v>69</v>
      </c>
    </row>
    <row r="2695" ht="15.75" customHeight="1">
      <c r="A2695" s="1" t="s">
        <v>2850</v>
      </c>
      <c r="B2695" s="13" t="str">
        <f t="shared" si="1"/>
        <v>Teddy</v>
      </c>
      <c r="C2695" s="13" t="str">
        <f t="shared" si="2"/>
        <v>Bridgewater</v>
      </c>
      <c r="D2695" s="13" t="str">
        <f t="shared" si="3"/>
        <v>#N/A</v>
      </c>
      <c r="E2695" s="1" t="s">
        <v>65</v>
      </c>
    </row>
    <row r="2696" ht="15.75" customHeight="1">
      <c r="A2696" s="1" t="s">
        <v>114</v>
      </c>
      <c r="B2696" s="13" t="str">
        <f t="shared" si="1"/>
        <v>Tee</v>
      </c>
      <c r="C2696" s="13" t="str">
        <f t="shared" si="2"/>
        <v>Higgins</v>
      </c>
      <c r="D2696" s="13" t="str">
        <f t="shared" si="3"/>
        <v>#N/A</v>
      </c>
      <c r="E2696" s="1" t="s">
        <v>69</v>
      </c>
    </row>
    <row r="2697" ht="15.75" customHeight="1">
      <c r="A2697" s="1" t="s">
        <v>2851</v>
      </c>
      <c r="B2697" s="13" t="str">
        <f t="shared" si="1"/>
        <v>Tello</v>
      </c>
      <c r="C2697" s="13" t="str">
        <f t="shared" si="2"/>
        <v>Luckett</v>
      </c>
      <c r="D2697" s="13" t="str">
        <f t="shared" si="3"/>
        <v>#N/A</v>
      </c>
      <c r="E2697" s="1" t="s">
        <v>69</v>
      </c>
    </row>
    <row r="2698" ht="15.75" customHeight="1">
      <c r="A2698" s="1" t="s">
        <v>2852</v>
      </c>
      <c r="B2698" s="13" t="str">
        <f t="shared" si="1"/>
        <v>Temarrick</v>
      </c>
      <c r="C2698" s="13" t="str">
        <f t="shared" si="2"/>
        <v>Hemingway</v>
      </c>
      <c r="D2698" s="13" t="str">
        <f t="shared" si="3"/>
        <v>#N/A</v>
      </c>
      <c r="E2698" s="1" t="s">
        <v>68</v>
      </c>
    </row>
    <row r="2699" ht="15.75" customHeight="1">
      <c r="A2699" s="1" t="s">
        <v>541</v>
      </c>
      <c r="B2699" s="13" t="str">
        <f t="shared" si="1"/>
        <v>Tennessee</v>
      </c>
      <c r="C2699" s="13" t="str">
        <f t="shared" si="2"/>
        <v/>
      </c>
      <c r="D2699" s="13" t="str">
        <f t="shared" si="3"/>
        <v>#N/A</v>
      </c>
      <c r="E2699" s="1" t="s">
        <v>63</v>
      </c>
    </row>
    <row r="2700" ht="15.75" customHeight="1">
      <c r="A2700" s="1" t="s">
        <v>2853</v>
      </c>
      <c r="B2700" s="13" t="str">
        <f t="shared" si="1"/>
        <v>Teo</v>
      </c>
      <c r="C2700" s="13" t="str">
        <f t="shared" si="2"/>
        <v>Redding</v>
      </c>
      <c r="D2700" s="13" t="str">
        <f t="shared" si="3"/>
        <v>#N/A</v>
      </c>
      <c r="E2700" s="1" t="s">
        <v>69</v>
      </c>
    </row>
    <row r="2701" ht="15.75" customHeight="1">
      <c r="A2701" s="1" t="s">
        <v>2854</v>
      </c>
      <c r="B2701" s="13" t="str">
        <f t="shared" si="1"/>
        <v>Terrace</v>
      </c>
      <c r="C2701" s="13" t="str">
        <f t="shared" si="2"/>
        <v>Marshall</v>
      </c>
      <c r="D2701" s="13" t="str">
        <f t="shared" si="3"/>
        <v>#N/A</v>
      </c>
      <c r="E2701" s="1" t="s">
        <v>69</v>
      </c>
    </row>
    <row r="2702" ht="15.75" customHeight="1">
      <c r="A2702" s="1" t="s">
        <v>2855</v>
      </c>
      <c r="B2702" s="13" t="str">
        <f t="shared" si="1"/>
        <v>Terrance</v>
      </c>
      <c r="C2702" s="13" t="str">
        <f t="shared" si="2"/>
        <v>Cobb</v>
      </c>
      <c r="D2702" s="13" t="str">
        <f t="shared" si="3"/>
        <v>#N/A</v>
      </c>
      <c r="E2702" s="1" t="s">
        <v>66</v>
      </c>
    </row>
    <row r="2703" ht="15.75" customHeight="1">
      <c r="A2703" s="1" t="s">
        <v>1706</v>
      </c>
      <c r="B2703" s="13" t="str">
        <f t="shared" si="1"/>
        <v>Terrance</v>
      </c>
      <c r="C2703" s="13" t="str">
        <f t="shared" si="2"/>
        <v>West</v>
      </c>
      <c r="D2703" s="13" t="str">
        <f t="shared" si="3"/>
        <v>#N/A</v>
      </c>
      <c r="E2703" s="1" t="s">
        <v>66</v>
      </c>
    </row>
    <row r="2704" ht="15.75" customHeight="1">
      <c r="A2704" s="1" t="s">
        <v>2856</v>
      </c>
      <c r="B2704" s="13" t="str">
        <f t="shared" si="1"/>
        <v>Terrance</v>
      </c>
      <c r="C2704" s="13" t="str">
        <f t="shared" si="2"/>
        <v>Williams</v>
      </c>
      <c r="D2704" s="13" t="str">
        <f t="shared" si="3"/>
        <v>#N/A</v>
      </c>
      <c r="E2704" s="1" t="s">
        <v>69</v>
      </c>
    </row>
    <row r="2705" ht="15.75" customHeight="1">
      <c r="A2705" s="1" t="s">
        <v>2857</v>
      </c>
      <c r="B2705" s="13" t="str">
        <f t="shared" si="1"/>
        <v>Terrell</v>
      </c>
      <c r="C2705" s="13" t="str">
        <f t="shared" si="2"/>
        <v>Bynum</v>
      </c>
      <c r="D2705" s="13" t="str">
        <f t="shared" si="3"/>
        <v>#N/A</v>
      </c>
      <c r="E2705" s="1" t="s">
        <v>69</v>
      </c>
    </row>
    <row r="2706" ht="15.75" customHeight="1">
      <c r="A2706" s="1" t="s">
        <v>2858</v>
      </c>
      <c r="B2706" s="13" t="str">
        <f t="shared" si="1"/>
        <v>Terrell</v>
      </c>
      <c r="C2706" s="13" t="str">
        <f t="shared" si="2"/>
        <v>Jana</v>
      </c>
      <c r="D2706" s="13" t="str">
        <f t="shared" si="3"/>
        <v>#N/A</v>
      </c>
      <c r="E2706" s="1" t="s">
        <v>69</v>
      </c>
    </row>
    <row r="2707" ht="15.75" customHeight="1">
      <c r="A2707" s="1" t="s">
        <v>2859</v>
      </c>
      <c r="B2707" s="13" t="str">
        <f t="shared" si="1"/>
        <v>Terrell</v>
      </c>
      <c r="C2707" s="13" t="str">
        <f t="shared" si="2"/>
        <v>Owens</v>
      </c>
      <c r="D2707" s="13" t="str">
        <f t="shared" si="3"/>
        <v>#N/A</v>
      </c>
      <c r="E2707" s="1" t="s">
        <v>69</v>
      </c>
    </row>
    <row r="2708" ht="15.75" customHeight="1">
      <c r="A2708" s="1" t="s">
        <v>2860</v>
      </c>
      <c r="B2708" s="13" t="str">
        <f t="shared" si="1"/>
        <v>Terrell</v>
      </c>
      <c r="C2708" s="13" t="str">
        <f t="shared" si="2"/>
        <v>Watson</v>
      </c>
      <c r="D2708" s="13" t="str">
        <f t="shared" si="3"/>
        <v>#N/A</v>
      </c>
      <c r="E2708" s="1" t="s">
        <v>66</v>
      </c>
    </row>
    <row r="2709" ht="15.75" customHeight="1">
      <c r="A2709" s="1" t="s">
        <v>2861</v>
      </c>
      <c r="B2709" s="13" t="str">
        <f t="shared" si="1"/>
        <v>Terrelle</v>
      </c>
      <c r="C2709" s="13" t="str">
        <f t="shared" si="2"/>
        <v>Pryor</v>
      </c>
      <c r="D2709" s="13" t="str">
        <f t="shared" si="3"/>
        <v>#N/A</v>
      </c>
      <c r="E2709" s="1" t="s">
        <v>69</v>
      </c>
    </row>
    <row r="2710" ht="15.75" customHeight="1">
      <c r="A2710" s="1" t="s">
        <v>2862</v>
      </c>
      <c r="B2710" s="13" t="str">
        <f t="shared" si="1"/>
        <v>Terren</v>
      </c>
      <c r="C2710" s="13" t="str">
        <f t="shared" si="2"/>
        <v>Encalade</v>
      </c>
      <c r="D2710" s="13" t="str">
        <f t="shared" si="3"/>
        <v>#N/A</v>
      </c>
      <c r="E2710" s="1" t="s">
        <v>69</v>
      </c>
    </row>
    <row r="2711" ht="15.75" customHeight="1">
      <c r="A2711" s="1" t="s">
        <v>2863</v>
      </c>
      <c r="B2711" s="13" t="str">
        <f t="shared" si="1"/>
        <v>Terrence</v>
      </c>
      <c r="C2711" s="13" t="str">
        <f t="shared" si="2"/>
        <v>Magee</v>
      </c>
      <c r="D2711" s="13" t="str">
        <f t="shared" si="3"/>
        <v>#N/A</v>
      </c>
      <c r="E2711" s="1" t="s">
        <v>66</v>
      </c>
    </row>
    <row r="2712" ht="15.75" customHeight="1">
      <c r="A2712" s="1" t="s">
        <v>2864</v>
      </c>
      <c r="B2712" s="13" t="str">
        <f t="shared" si="1"/>
        <v>Terrence</v>
      </c>
      <c r="C2712" s="13" t="str">
        <f t="shared" si="2"/>
        <v>Toliver</v>
      </c>
      <c r="D2712" s="13" t="str">
        <f t="shared" si="3"/>
        <v>#N/A</v>
      </c>
      <c r="E2712" s="1" t="s">
        <v>69</v>
      </c>
    </row>
    <row r="2713" ht="15.75" customHeight="1">
      <c r="A2713" s="1" t="s">
        <v>2865</v>
      </c>
      <c r="B2713" s="13" t="str">
        <f t="shared" si="1"/>
        <v>Terris</v>
      </c>
      <c r="C2713" s="13" t="str">
        <f t="shared" si="2"/>
        <v>Jones-Grigsby</v>
      </c>
      <c r="D2713" s="13" t="str">
        <f t="shared" si="3"/>
        <v>#N/A</v>
      </c>
      <c r="E2713" s="1" t="s">
        <v>66</v>
      </c>
    </row>
    <row r="2714" ht="15.75" customHeight="1">
      <c r="A2714" s="1" t="s">
        <v>2866</v>
      </c>
      <c r="B2714" s="13" t="str">
        <f t="shared" si="1"/>
        <v>Terron</v>
      </c>
      <c r="C2714" s="13" t="str">
        <f t="shared" si="2"/>
        <v>Ward</v>
      </c>
      <c r="D2714" s="13" t="str">
        <f t="shared" si="3"/>
        <v>#N/A</v>
      </c>
      <c r="E2714" s="1" t="s">
        <v>66</v>
      </c>
    </row>
    <row r="2715" ht="15.75" customHeight="1">
      <c r="A2715" s="1" t="s">
        <v>2867</v>
      </c>
      <c r="B2715" s="13" t="str">
        <f t="shared" si="1"/>
        <v>Terry</v>
      </c>
      <c r="C2715" s="13" t="str">
        <f t="shared" si="2"/>
        <v>Godwin</v>
      </c>
      <c r="D2715" s="13" t="str">
        <f t="shared" si="3"/>
        <v>#N/A</v>
      </c>
      <c r="E2715" s="1" t="s">
        <v>69</v>
      </c>
    </row>
    <row r="2716" ht="15.75" customHeight="1">
      <c r="A2716" s="1" t="s">
        <v>125</v>
      </c>
      <c r="B2716" s="13" t="str">
        <f t="shared" si="1"/>
        <v>Terry</v>
      </c>
      <c r="C2716" s="13" t="str">
        <f t="shared" si="2"/>
        <v>McLaurin</v>
      </c>
      <c r="D2716" s="13" t="str">
        <f t="shared" si="3"/>
        <v>#N/A</v>
      </c>
      <c r="E2716" s="1" t="s">
        <v>69</v>
      </c>
    </row>
    <row r="2717" ht="15.75" customHeight="1">
      <c r="A2717" s="1" t="s">
        <v>2868</v>
      </c>
      <c r="B2717" s="13" t="str">
        <f t="shared" si="1"/>
        <v>Terry</v>
      </c>
      <c r="C2717" s="13" t="str">
        <f t="shared" si="2"/>
        <v>Swanson</v>
      </c>
      <c r="D2717" s="13" t="str">
        <f t="shared" si="3"/>
        <v>#N/A</v>
      </c>
      <c r="E2717" s="1" t="s">
        <v>66</v>
      </c>
    </row>
    <row r="2718" ht="15.75" customHeight="1">
      <c r="A2718" s="1" t="s">
        <v>2869</v>
      </c>
      <c r="B2718" s="13" t="str">
        <f t="shared" si="1"/>
        <v>Terry</v>
      </c>
      <c r="C2718" s="13" t="str">
        <f t="shared" si="2"/>
        <v>Wright</v>
      </c>
      <c r="D2718" s="13" t="str">
        <f t="shared" si="3"/>
        <v>#N/A</v>
      </c>
      <c r="E2718" s="1" t="s">
        <v>69</v>
      </c>
    </row>
    <row r="2719" ht="15.75" customHeight="1">
      <c r="A2719" s="1" t="s">
        <v>2870</v>
      </c>
      <c r="B2719" s="13" t="str">
        <f t="shared" si="1"/>
        <v>Tetairoa</v>
      </c>
      <c r="C2719" s="13" t="str">
        <f t="shared" si="2"/>
        <v>McMillan</v>
      </c>
      <c r="D2719" s="13" t="str">
        <f t="shared" si="3"/>
        <v>#N/A</v>
      </c>
      <c r="E2719" s="1" t="s">
        <v>69</v>
      </c>
    </row>
    <row r="2720" ht="15.75" customHeight="1">
      <c r="A2720" s="1" t="s">
        <v>2871</v>
      </c>
      <c r="B2720" s="13" t="str">
        <f t="shared" si="1"/>
        <v>Tevaun</v>
      </c>
      <c r="C2720" s="13" t="str">
        <f t="shared" si="2"/>
        <v>Smith</v>
      </c>
      <c r="D2720" s="13" t="str">
        <f t="shared" si="3"/>
        <v>#N/A</v>
      </c>
      <c r="E2720" s="1" t="s">
        <v>69</v>
      </c>
    </row>
    <row r="2721" ht="15.75" customHeight="1">
      <c r="A2721" s="1" t="s">
        <v>160</v>
      </c>
      <c r="B2721" s="13" t="str">
        <f t="shared" si="1"/>
        <v>Tevin</v>
      </c>
      <c r="C2721" s="13" t="str">
        <f t="shared" si="2"/>
        <v>Coleman</v>
      </c>
      <c r="D2721" s="13" t="str">
        <f t="shared" si="3"/>
        <v>#N/A</v>
      </c>
      <c r="E2721" s="1" t="s">
        <v>66</v>
      </c>
    </row>
    <row r="2722" ht="15.75" customHeight="1">
      <c r="A2722" s="1" t="s">
        <v>2872</v>
      </c>
      <c r="B2722" s="13" t="str">
        <f t="shared" si="1"/>
        <v>Tevin</v>
      </c>
      <c r="C2722" s="13" t="str">
        <f t="shared" si="2"/>
        <v>Jones</v>
      </c>
      <c r="D2722" s="13" t="str">
        <f t="shared" si="3"/>
        <v>#N/A</v>
      </c>
      <c r="E2722" s="1" t="s">
        <v>69</v>
      </c>
    </row>
    <row r="2723" ht="15.75" customHeight="1">
      <c r="A2723" s="1" t="s">
        <v>2873</v>
      </c>
      <c r="B2723" s="13" t="str">
        <f t="shared" si="1"/>
        <v>Tevin</v>
      </c>
      <c r="C2723" s="13" t="str">
        <f t="shared" si="2"/>
        <v>Reese</v>
      </c>
      <c r="D2723" s="13" t="str">
        <f t="shared" si="3"/>
        <v>#N/A</v>
      </c>
      <c r="E2723" s="1" t="s">
        <v>69</v>
      </c>
    </row>
    <row r="2724" ht="15.75" customHeight="1">
      <c r="A2724" s="1" t="s">
        <v>2874</v>
      </c>
      <c r="B2724" s="13" t="str">
        <f t="shared" si="1"/>
        <v>Tevin</v>
      </c>
      <c r="C2724" s="13" t="str">
        <f t="shared" si="2"/>
        <v>White</v>
      </c>
      <c r="D2724" s="13" t="str">
        <f t="shared" si="3"/>
        <v>#N/A</v>
      </c>
      <c r="E2724" s="1" t="s">
        <v>66</v>
      </c>
    </row>
    <row r="2725" ht="15.75" customHeight="1">
      <c r="A2725" s="1" t="s">
        <v>2875</v>
      </c>
      <c r="B2725" s="13" t="str">
        <f t="shared" si="1"/>
        <v>Thaddeus</v>
      </c>
      <c r="C2725" s="13" t="str">
        <f t="shared" si="2"/>
        <v>Lewis</v>
      </c>
      <c r="D2725" s="13" t="str">
        <f t="shared" si="3"/>
        <v>#N/A</v>
      </c>
      <c r="E2725" s="1" t="s">
        <v>65</v>
      </c>
    </row>
    <row r="2726" ht="15.75" customHeight="1">
      <c r="A2726" s="1" t="s">
        <v>2876</v>
      </c>
      <c r="B2726" s="13" t="str">
        <f t="shared" si="1"/>
        <v>Thaddeus</v>
      </c>
      <c r="C2726" s="13" t="str">
        <f t="shared" si="2"/>
        <v>Moss</v>
      </c>
      <c r="D2726" s="13" t="str">
        <f t="shared" si="3"/>
        <v>#N/A</v>
      </c>
      <c r="E2726" s="1" t="s">
        <v>68</v>
      </c>
    </row>
    <row r="2727" ht="15.75" customHeight="1">
      <c r="A2727" s="1" t="s">
        <v>2877</v>
      </c>
      <c r="B2727" s="13" t="str">
        <f t="shared" si="1"/>
        <v>Theo</v>
      </c>
      <c r="C2727" s="13" t="str">
        <f t="shared" si="2"/>
        <v>Johnson</v>
      </c>
      <c r="D2727" s="13" t="str">
        <f t="shared" si="3"/>
        <v>#N/A</v>
      </c>
      <c r="E2727" s="1" t="s">
        <v>68</v>
      </c>
    </row>
    <row r="2728" ht="15.75" customHeight="1">
      <c r="A2728" s="1" t="s">
        <v>1533</v>
      </c>
      <c r="B2728" s="13" t="str">
        <f t="shared" si="1"/>
        <v>Theo</v>
      </c>
      <c r="C2728" s="13" t="str">
        <f t="shared" si="2"/>
        <v>Riddick</v>
      </c>
      <c r="D2728" s="13" t="str">
        <f t="shared" si="3"/>
        <v>#N/A</v>
      </c>
      <c r="E2728" s="1" t="s">
        <v>66</v>
      </c>
    </row>
    <row r="2729" ht="15.75" customHeight="1">
      <c r="A2729" s="1" t="s">
        <v>2878</v>
      </c>
      <c r="B2729" s="13" t="str">
        <f t="shared" si="1"/>
        <v>Theo</v>
      </c>
      <c r="C2729" s="13" t="str">
        <f t="shared" si="2"/>
        <v>Wease</v>
      </c>
      <c r="D2729" s="13" t="str">
        <f t="shared" si="3"/>
        <v>#N/A</v>
      </c>
      <c r="E2729" s="1" t="s">
        <v>69</v>
      </c>
    </row>
    <row r="2730" ht="15.75" customHeight="1">
      <c r="A2730" s="1" t="s">
        <v>2879</v>
      </c>
      <c r="B2730" s="13" t="str">
        <f t="shared" si="1"/>
        <v>Thomas</v>
      </c>
      <c r="C2730" s="13" t="str">
        <f t="shared" si="2"/>
        <v>Duarte</v>
      </c>
      <c r="D2730" s="13" t="str">
        <f t="shared" si="3"/>
        <v>#N/A</v>
      </c>
      <c r="E2730" s="1" t="s">
        <v>68</v>
      </c>
    </row>
    <row r="2731" ht="15.75" customHeight="1">
      <c r="A2731" s="1" t="s">
        <v>2880</v>
      </c>
      <c r="B2731" s="13" t="str">
        <f t="shared" si="1"/>
        <v>Thomas</v>
      </c>
      <c r="C2731" s="13" t="str">
        <f t="shared" si="2"/>
        <v>Ives</v>
      </c>
      <c r="D2731" s="13" t="str">
        <f t="shared" si="3"/>
        <v>#N/A</v>
      </c>
      <c r="E2731" s="1" t="s">
        <v>69</v>
      </c>
    </row>
    <row r="2732" ht="15.75" customHeight="1">
      <c r="A2732" s="1" t="s">
        <v>2056</v>
      </c>
      <c r="B2732" s="13" t="str">
        <f t="shared" si="1"/>
        <v>Thomas</v>
      </c>
      <c r="C2732" s="13" t="str">
        <f t="shared" si="2"/>
        <v>Rawls</v>
      </c>
      <c r="D2732" s="13" t="str">
        <f t="shared" si="3"/>
        <v>#N/A</v>
      </c>
      <c r="E2732" s="1" t="s">
        <v>66</v>
      </c>
    </row>
    <row r="2733" ht="15.75" customHeight="1">
      <c r="A2733" s="1" t="s">
        <v>2881</v>
      </c>
      <c r="B2733" s="13" t="str">
        <f t="shared" si="1"/>
        <v>Thomas</v>
      </c>
      <c r="C2733" s="13" t="str">
        <f t="shared" si="2"/>
        <v>Sperbeck</v>
      </c>
      <c r="D2733" s="13" t="str">
        <f t="shared" si="3"/>
        <v>#N/A</v>
      </c>
      <c r="E2733" s="1" t="s">
        <v>69</v>
      </c>
    </row>
    <row r="2734" ht="15.75" customHeight="1">
      <c r="A2734" s="1" t="s">
        <v>2882</v>
      </c>
      <c r="B2734" s="13" t="str">
        <f t="shared" si="1"/>
        <v>Tim</v>
      </c>
      <c r="C2734" s="13" t="str">
        <f t="shared" si="2"/>
        <v>Benford</v>
      </c>
      <c r="D2734" s="13" t="str">
        <f t="shared" si="3"/>
        <v>#N/A</v>
      </c>
      <c r="E2734" s="1" t="s">
        <v>69</v>
      </c>
    </row>
    <row r="2735" ht="15.75" customHeight="1">
      <c r="A2735" s="1" t="s">
        <v>2883</v>
      </c>
      <c r="B2735" s="13" t="str">
        <f t="shared" si="1"/>
        <v>Tim</v>
      </c>
      <c r="C2735" s="13" t="str">
        <f t="shared" si="2"/>
        <v>Boyle</v>
      </c>
      <c r="D2735" s="13" t="str">
        <f t="shared" si="3"/>
        <v>#N/A</v>
      </c>
      <c r="E2735" s="1" t="s">
        <v>65</v>
      </c>
    </row>
    <row r="2736" ht="15.75" customHeight="1">
      <c r="A2736" s="1" t="s">
        <v>2884</v>
      </c>
      <c r="B2736" s="13" t="str">
        <f t="shared" si="1"/>
        <v>Tim</v>
      </c>
      <c r="C2736" s="13" t="str">
        <f t="shared" si="2"/>
        <v>Cook</v>
      </c>
      <c r="D2736" s="13" t="str">
        <f t="shared" si="3"/>
        <v>#N/A</v>
      </c>
      <c r="E2736" s="1" t="s">
        <v>66</v>
      </c>
    </row>
    <row r="2737" ht="15.75" customHeight="1">
      <c r="A2737" s="1" t="s">
        <v>2885</v>
      </c>
      <c r="B2737" s="13" t="str">
        <f t="shared" si="1"/>
        <v>Tim</v>
      </c>
      <c r="C2737" s="13" t="str">
        <f t="shared" si="2"/>
        <v>Cornett</v>
      </c>
      <c r="D2737" s="13" t="str">
        <f t="shared" si="3"/>
        <v>#N/A</v>
      </c>
      <c r="E2737" s="1" t="s">
        <v>66</v>
      </c>
    </row>
    <row r="2738" ht="15.75" customHeight="1">
      <c r="A2738" s="1" t="s">
        <v>2886</v>
      </c>
      <c r="B2738" s="13" t="str">
        <f t="shared" si="1"/>
        <v>Tim</v>
      </c>
      <c r="C2738" s="13" t="str">
        <f t="shared" si="2"/>
        <v>Flanders</v>
      </c>
      <c r="D2738" s="13" t="str">
        <f t="shared" si="3"/>
        <v>#N/A</v>
      </c>
      <c r="E2738" s="1" t="s">
        <v>66</v>
      </c>
    </row>
    <row r="2739" ht="15.75" customHeight="1">
      <c r="A2739" s="1" t="s">
        <v>2887</v>
      </c>
      <c r="B2739" s="13" t="str">
        <f t="shared" si="1"/>
        <v>Tim</v>
      </c>
      <c r="C2739" s="13" t="str">
        <f t="shared" si="2"/>
        <v>Hightower</v>
      </c>
      <c r="D2739" s="13" t="str">
        <f t="shared" si="3"/>
        <v>#N/A</v>
      </c>
      <c r="E2739" s="1" t="s">
        <v>66</v>
      </c>
    </row>
    <row r="2740" ht="15.75" customHeight="1">
      <c r="A2740" s="1" t="s">
        <v>2888</v>
      </c>
      <c r="B2740" s="13" t="str">
        <f t="shared" si="1"/>
        <v>Tim</v>
      </c>
      <c r="C2740" s="13" t="str">
        <f t="shared" si="2"/>
        <v>Patrick</v>
      </c>
      <c r="D2740" s="13" t="str">
        <f t="shared" si="3"/>
        <v>#N/A</v>
      </c>
      <c r="E2740" s="1" t="s">
        <v>69</v>
      </c>
    </row>
    <row r="2741" ht="15.75" customHeight="1">
      <c r="A2741" s="1" t="s">
        <v>2889</v>
      </c>
      <c r="B2741" s="13" t="str">
        <f t="shared" si="1"/>
        <v>Tim</v>
      </c>
      <c r="C2741" s="13" t="str">
        <f t="shared" si="2"/>
        <v>Semisch</v>
      </c>
      <c r="D2741" s="13" t="str">
        <f t="shared" si="3"/>
        <v>#N/A</v>
      </c>
      <c r="E2741" s="1" t="s">
        <v>68</v>
      </c>
    </row>
    <row r="2742" ht="15.75" customHeight="1">
      <c r="A2742" s="1" t="s">
        <v>2890</v>
      </c>
      <c r="B2742" s="13" t="str">
        <f t="shared" si="1"/>
        <v>Tim</v>
      </c>
      <c r="C2742" s="13" t="str">
        <f t="shared" si="2"/>
        <v>Tebow</v>
      </c>
      <c r="D2742" s="13" t="str">
        <f t="shared" si="3"/>
        <v>#N/A</v>
      </c>
      <c r="E2742" s="1" t="s">
        <v>68</v>
      </c>
    </row>
    <row r="2743" ht="15.75" customHeight="1">
      <c r="A2743" s="1" t="s">
        <v>2891</v>
      </c>
      <c r="B2743" s="13" t="str">
        <f t="shared" si="1"/>
        <v>Tim</v>
      </c>
      <c r="C2743" s="13" t="str">
        <f t="shared" si="2"/>
        <v>White</v>
      </c>
      <c r="D2743" s="13" t="str">
        <f t="shared" si="3"/>
        <v>#N/A</v>
      </c>
      <c r="E2743" s="1" t="s">
        <v>69</v>
      </c>
    </row>
    <row r="2744" ht="15.75" customHeight="1">
      <c r="A2744" s="1" t="s">
        <v>2892</v>
      </c>
      <c r="B2744" s="13" t="str">
        <f t="shared" si="1"/>
        <v>Timothy</v>
      </c>
      <c r="C2744" s="13" t="str">
        <f t="shared" si="2"/>
        <v>Wright</v>
      </c>
      <c r="D2744" s="13" t="str">
        <f t="shared" si="3"/>
        <v>#N/A</v>
      </c>
      <c r="E2744" s="1" t="s">
        <v>68</v>
      </c>
    </row>
    <row r="2745" ht="15.75" customHeight="1">
      <c r="A2745" s="1" t="s">
        <v>2893</v>
      </c>
      <c r="B2745" s="13" t="str">
        <f t="shared" si="1"/>
        <v>Tion</v>
      </c>
      <c r="C2745" s="13" t="str">
        <f t="shared" si="2"/>
        <v>Green</v>
      </c>
      <c r="D2745" s="13" t="str">
        <f t="shared" si="3"/>
        <v>#N/A</v>
      </c>
      <c r="E2745" s="1" t="s">
        <v>66</v>
      </c>
    </row>
    <row r="2746" ht="15.75" customHeight="1">
      <c r="A2746" s="1" t="s">
        <v>2894</v>
      </c>
      <c r="B2746" s="13" t="str">
        <f t="shared" si="1"/>
        <v>Tiquan</v>
      </c>
      <c r="C2746" s="13" t="str">
        <f t="shared" si="2"/>
        <v>Underwood</v>
      </c>
      <c r="D2746" s="13" t="str">
        <f t="shared" si="3"/>
        <v>#N/A</v>
      </c>
      <c r="E2746" s="1" t="s">
        <v>69</v>
      </c>
    </row>
    <row r="2747" ht="15.75" customHeight="1">
      <c r="A2747" s="1" t="s">
        <v>2895</v>
      </c>
      <c r="B2747" s="13" t="str">
        <f t="shared" si="1"/>
        <v>Titus</v>
      </c>
      <c r="C2747" s="13" t="str">
        <f t="shared" si="2"/>
        <v>Davis</v>
      </c>
      <c r="D2747" s="13" t="str">
        <f t="shared" si="3"/>
        <v>#N/A</v>
      </c>
      <c r="E2747" s="1" t="s">
        <v>69</v>
      </c>
    </row>
    <row r="2748" ht="15.75" customHeight="1">
      <c r="A2748" s="1" t="s">
        <v>2896</v>
      </c>
      <c r="B2748" s="13" t="str">
        <f t="shared" si="1"/>
        <v>Tobias</v>
      </c>
      <c r="C2748" s="13" t="str">
        <f t="shared" si="2"/>
        <v>Merriweather</v>
      </c>
      <c r="D2748" s="13" t="str">
        <f t="shared" si="3"/>
        <v>#N/A</v>
      </c>
      <c r="E2748" s="1" t="s">
        <v>69</v>
      </c>
    </row>
    <row r="2749" ht="15.75" customHeight="1">
      <c r="A2749" s="1" t="s">
        <v>2897</v>
      </c>
      <c r="B2749" s="13" t="str">
        <f t="shared" si="1"/>
        <v>Toby</v>
      </c>
      <c r="C2749" s="13" t="str">
        <f t="shared" si="2"/>
        <v>Gerhart</v>
      </c>
      <c r="D2749" s="13" t="str">
        <f t="shared" si="3"/>
        <v>#N/A</v>
      </c>
      <c r="E2749" s="1" t="s">
        <v>66</v>
      </c>
    </row>
    <row r="2750" ht="15.75" customHeight="1">
      <c r="A2750" s="1" t="s">
        <v>2898</v>
      </c>
      <c r="B2750" s="13" t="str">
        <f t="shared" si="1"/>
        <v>Todd</v>
      </c>
      <c r="C2750" s="13" t="str">
        <f t="shared" si="2"/>
        <v>Gurley</v>
      </c>
      <c r="D2750" s="13" t="str">
        <f t="shared" si="3"/>
        <v>#N/A</v>
      </c>
      <c r="E2750" s="1" t="s">
        <v>66</v>
      </c>
    </row>
    <row r="2751" ht="15.75" customHeight="1">
      <c r="A2751" s="1" t="s">
        <v>267</v>
      </c>
      <c r="B2751" s="13" t="str">
        <f t="shared" si="1"/>
        <v>Tom</v>
      </c>
      <c r="C2751" s="13" t="str">
        <f t="shared" si="2"/>
        <v>Brady</v>
      </c>
      <c r="D2751" s="13" t="str">
        <f t="shared" si="3"/>
        <v>#N/A</v>
      </c>
      <c r="E2751" s="1" t="s">
        <v>65</v>
      </c>
    </row>
    <row r="2752" ht="15.75" customHeight="1">
      <c r="A2752" s="1" t="s">
        <v>2899</v>
      </c>
      <c r="B2752" s="13" t="str">
        <f t="shared" si="1"/>
        <v>Tom</v>
      </c>
      <c r="C2752" s="13" t="str">
        <f t="shared" si="2"/>
        <v>Crabtree</v>
      </c>
      <c r="D2752" s="13" t="str">
        <f t="shared" si="3"/>
        <v>#N/A</v>
      </c>
      <c r="E2752" s="1" t="s">
        <v>68</v>
      </c>
    </row>
    <row r="2753" ht="15.75" customHeight="1">
      <c r="A2753" s="1" t="s">
        <v>2900</v>
      </c>
      <c r="B2753" s="13" t="str">
        <f t="shared" si="1"/>
        <v>Tom</v>
      </c>
      <c r="C2753" s="13" t="str">
        <f t="shared" si="2"/>
        <v>Kennedy</v>
      </c>
      <c r="D2753" s="13" t="str">
        <f t="shared" si="3"/>
        <v>#N/A</v>
      </c>
      <c r="E2753" s="1" t="s">
        <v>69</v>
      </c>
    </row>
    <row r="2754" ht="15.75" customHeight="1">
      <c r="A2754" s="1" t="s">
        <v>2901</v>
      </c>
      <c r="B2754" s="13" t="str">
        <f t="shared" si="1"/>
        <v>Tom</v>
      </c>
      <c r="C2754" s="13" t="str">
        <f t="shared" si="2"/>
        <v>Savage</v>
      </c>
      <c r="D2754" s="13" t="str">
        <f t="shared" si="3"/>
        <v>#N/A</v>
      </c>
      <c r="E2754" s="1" t="s">
        <v>65</v>
      </c>
    </row>
    <row r="2755" ht="15.75" customHeight="1">
      <c r="A2755" s="1" t="s">
        <v>2902</v>
      </c>
      <c r="B2755" s="13" t="str">
        <f t="shared" si="1"/>
        <v>Tommy</v>
      </c>
      <c r="C2755" s="13" t="str">
        <f t="shared" si="2"/>
        <v>Armstrong</v>
      </c>
      <c r="D2755" s="13" t="str">
        <f t="shared" si="3"/>
        <v>#N/A</v>
      </c>
      <c r="E2755" s="1" t="s">
        <v>65</v>
      </c>
    </row>
    <row r="2756" ht="15.75" customHeight="1">
      <c r="A2756" s="1" t="s">
        <v>2903</v>
      </c>
      <c r="B2756" s="13" t="str">
        <f t="shared" si="1"/>
        <v>Tommy</v>
      </c>
      <c r="C2756" s="13" t="str">
        <f t="shared" si="2"/>
        <v>Bohanon</v>
      </c>
      <c r="D2756" s="13" t="str">
        <f t="shared" si="3"/>
        <v>#N/A</v>
      </c>
      <c r="E2756" s="1" t="s">
        <v>66</v>
      </c>
    </row>
    <row r="2757" ht="15.75" customHeight="1">
      <c r="A2757" s="1" t="s">
        <v>2904</v>
      </c>
      <c r="B2757" s="13" t="str">
        <f t="shared" si="1"/>
        <v>Tommy</v>
      </c>
      <c r="C2757" s="13" t="str">
        <f t="shared" si="2"/>
        <v>Rees</v>
      </c>
      <c r="D2757" s="13" t="str">
        <f t="shared" si="3"/>
        <v>#N/A</v>
      </c>
      <c r="E2757" s="1" t="s">
        <v>65</v>
      </c>
    </row>
    <row r="2758" ht="15.75" customHeight="1">
      <c r="A2758" s="1" t="s">
        <v>2905</v>
      </c>
      <c r="B2758" s="13" t="str">
        <f t="shared" si="1"/>
        <v>Tommy</v>
      </c>
      <c r="C2758" s="13" t="str">
        <f t="shared" si="2"/>
        <v>Stevens</v>
      </c>
      <c r="D2758" s="13" t="str">
        <f t="shared" si="3"/>
        <v>#N/A</v>
      </c>
      <c r="E2758" s="1" t="s">
        <v>68</v>
      </c>
    </row>
    <row r="2759" ht="15.75" customHeight="1">
      <c r="A2759" s="1" t="s">
        <v>2906</v>
      </c>
      <c r="B2759" s="13" t="str">
        <f t="shared" si="1"/>
        <v>Tommy</v>
      </c>
      <c r="C2759" s="13" t="str">
        <f t="shared" si="2"/>
        <v>Streeter</v>
      </c>
      <c r="D2759" s="13" t="str">
        <f t="shared" si="3"/>
        <v>#N/A</v>
      </c>
      <c r="E2759" s="1" t="s">
        <v>69</v>
      </c>
    </row>
    <row r="2760" ht="15.75" customHeight="1">
      <c r="A2760" s="1" t="s">
        <v>2907</v>
      </c>
      <c r="B2760" s="13" t="str">
        <f t="shared" si="1"/>
        <v>Tommy</v>
      </c>
      <c r="C2760" s="13" t="str">
        <f t="shared" si="2"/>
        <v>Sweeney</v>
      </c>
      <c r="D2760" s="13" t="str">
        <f t="shared" si="3"/>
        <v>#N/A</v>
      </c>
      <c r="E2760" s="1" t="s">
        <v>68</v>
      </c>
    </row>
    <row r="2761" ht="15.75" customHeight="1">
      <c r="A2761" s="1" t="s">
        <v>2908</v>
      </c>
      <c r="B2761" s="13" t="str">
        <f t="shared" si="1"/>
        <v>Tommy</v>
      </c>
      <c r="C2761" s="13" t="str">
        <f t="shared" si="2"/>
        <v>Tremble</v>
      </c>
      <c r="D2761" s="13" t="str">
        <f t="shared" si="3"/>
        <v>#N/A</v>
      </c>
      <c r="E2761" s="1" t="s">
        <v>68</v>
      </c>
    </row>
    <row r="2762" ht="15.75" customHeight="1">
      <c r="A2762" s="1" t="s">
        <v>2909</v>
      </c>
      <c r="B2762" s="13" t="str">
        <f t="shared" si="1"/>
        <v>Tommylee</v>
      </c>
      <c r="C2762" s="13" t="str">
        <f t="shared" si="2"/>
        <v>Lewis</v>
      </c>
      <c r="D2762" s="13" t="str">
        <f t="shared" si="3"/>
        <v>#N/A</v>
      </c>
      <c r="E2762" s="1" t="s">
        <v>69</v>
      </c>
    </row>
    <row r="2763" ht="15.75" customHeight="1">
      <c r="A2763" s="1" t="s">
        <v>2910</v>
      </c>
      <c r="B2763" s="13" t="str">
        <f t="shared" si="1"/>
        <v>Toney</v>
      </c>
      <c r="C2763" s="13" t="str">
        <f t="shared" si="2"/>
        <v>Clemons</v>
      </c>
      <c r="D2763" s="13" t="str">
        <f t="shared" si="3"/>
        <v>#N/A</v>
      </c>
      <c r="E2763" s="1" t="s">
        <v>69</v>
      </c>
    </row>
    <row r="2764" ht="15.75" customHeight="1">
      <c r="A2764" s="1" t="s">
        <v>2911</v>
      </c>
      <c r="B2764" s="13" t="str">
        <f t="shared" si="1"/>
        <v>Tony</v>
      </c>
      <c r="C2764" s="13" t="str">
        <f t="shared" si="2"/>
        <v>Brooks-James</v>
      </c>
      <c r="D2764" s="13" t="str">
        <f t="shared" si="3"/>
        <v>#N/A</v>
      </c>
      <c r="E2764" s="1" t="s">
        <v>66</v>
      </c>
    </row>
    <row r="2765" ht="15.75" customHeight="1">
      <c r="A2765" s="1" t="s">
        <v>2912</v>
      </c>
      <c r="B2765" s="13" t="str">
        <f t="shared" si="1"/>
        <v>Tony</v>
      </c>
      <c r="C2765" s="13" t="str">
        <f t="shared" si="2"/>
        <v>Brown</v>
      </c>
      <c r="D2765" s="13" t="str">
        <f t="shared" si="3"/>
        <v>#N/A</v>
      </c>
      <c r="E2765" s="1" t="s">
        <v>69</v>
      </c>
    </row>
    <row r="2766" ht="15.75" customHeight="1">
      <c r="A2766" s="1" t="s">
        <v>2913</v>
      </c>
      <c r="B2766" s="13" t="str">
        <f t="shared" si="1"/>
        <v>Tony</v>
      </c>
      <c r="C2766" s="13" t="str">
        <f t="shared" si="2"/>
        <v>Jones</v>
      </c>
      <c r="D2766" s="13" t="str">
        <f t="shared" si="3"/>
        <v>#N/A</v>
      </c>
      <c r="E2766" s="1" t="s">
        <v>66</v>
      </c>
    </row>
    <row r="2767" ht="15.75" customHeight="1">
      <c r="A2767" s="1" t="s">
        <v>2914</v>
      </c>
      <c r="B2767" s="13" t="str">
        <f t="shared" si="1"/>
        <v>Tony</v>
      </c>
      <c r="C2767" s="13" t="str">
        <f t="shared" si="2"/>
        <v>Moeaki</v>
      </c>
      <c r="D2767" s="13" t="str">
        <f t="shared" si="3"/>
        <v>#N/A</v>
      </c>
      <c r="E2767" s="1" t="s">
        <v>68</v>
      </c>
    </row>
    <row r="2768" ht="15.75" customHeight="1">
      <c r="A2768" s="1" t="s">
        <v>2915</v>
      </c>
      <c r="B2768" s="13" t="str">
        <f t="shared" si="1"/>
        <v>Tony</v>
      </c>
      <c r="C2768" s="13" t="str">
        <f t="shared" si="2"/>
        <v>Pierson</v>
      </c>
      <c r="D2768" s="13" t="str">
        <f t="shared" si="3"/>
        <v>#N/A</v>
      </c>
      <c r="E2768" s="1" t="s">
        <v>69</v>
      </c>
    </row>
    <row r="2769" ht="15.75" customHeight="1">
      <c r="A2769" s="1" t="s">
        <v>2916</v>
      </c>
      <c r="B2769" s="13" t="str">
        <f t="shared" si="1"/>
        <v>Tony</v>
      </c>
      <c r="C2769" s="13" t="str">
        <f t="shared" si="2"/>
        <v>Poljan</v>
      </c>
      <c r="D2769" s="13" t="str">
        <f t="shared" si="3"/>
        <v>#N/A</v>
      </c>
      <c r="E2769" s="1" t="s">
        <v>68</v>
      </c>
    </row>
    <row r="2770" ht="15.75" customHeight="1">
      <c r="A2770" s="1" t="s">
        <v>88</v>
      </c>
      <c r="B2770" s="13" t="str">
        <f t="shared" si="1"/>
        <v>Tony</v>
      </c>
      <c r="C2770" s="13" t="str">
        <f t="shared" si="2"/>
        <v>Pollard</v>
      </c>
      <c r="D2770" s="13" t="str">
        <f t="shared" si="3"/>
        <v>#N/A</v>
      </c>
      <c r="E2770" s="1" t="s">
        <v>66</v>
      </c>
    </row>
    <row r="2771" ht="15.75" customHeight="1">
      <c r="A2771" s="1" t="s">
        <v>2917</v>
      </c>
      <c r="B2771" s="13" t="str">
        <f t="shared" si="1"/>
        <v>Tony</v>
      </c>
      <c r="C2771" s="13" t="str">
        <f t="shared" si="2"/>
        <v>Romo</v>
      </c>
      <c r="D2771" s="13" t="str">
        <f t="shared" si="3"/>
        <v>#N/A</v>
      </c>
      <c r="E2771" s="1" t="s">
        <v>65</v>
      </c>
    </row>
    <row r="2772" ht="15.75" customHeight="1">
      <c r="A2772" s="1" t="s">
        <v>2918</v>
      </c>
      <c r="B2772" s="13" t="str">
        <f t="shared" si="1"/>
        <v>Tony</v>
      </c>
      <c r="C2772" s="13" t="str">
        <f t="shared" si="2"/>
        <v>Stevens</v>
      </c>
      <c r="D2772" s="13" t="str">
        <f t="shared" si="3"/>
        <v>#N/A</v>
      </c>
      <c r="E2772" s="1" t="s">
        <v>69</v>
      </c>
    </row>
    <row r="2773" ht="15.75" customHeight="1">
      <c r="A2773" s="1" t="s">
        <v>2919</v>
      </c>
      <c r="B2773" s="13" t="str">
        <f t="shared" si="1"/>
        <v>Tony</v>
      </c>
      <c r="C2773" s="13" t="str">
        <f t="shared" si="2"/>
        <v>Washington</v>
      </c>
      <c r="D2773" s="13" t="str">
        <f t="shared" si="3"/>
        <v>#N/A</v>
      </c>
      <c r="E2773" s="1" t="s">
        <v>69</v>
      </c>
    </row>
    <row r="2774" ht="15.75" customHeight="1">
      <c r="A2774" s="1" t="s">
        <v>2920</v>
      </c>
      <c r="B2774" s="13" t="str">
        <f t="shared" si="1"/>
        <v>Tori</v>
      </c>
      <c r="C2774" s="13" t="str">
        <f t="shared" si="2"/>
        <v>Gurley</v>
      </c>
      <c r="D2774" s="13" t="str">
        <f t="shared" si="3"/>
        <v>#N/A</v>
      </c>
      <c r="E2774" s="1" t="s">
        <v>69</v>
      </c>
    </row>
    <row r="2775" ht="15.75" customHeight="1">
      <c r="A2775" s="1" t="s">
        <v>2921</v>
      </c>
      <c r="B2775" s="13" t="str">
        <f t="shared" si="1"/>
        <v>Torrence</v>
      </c>
      <c r="C2775" s="13" t="str">
        <f t="shared" si="2"/>
        <v>Allen</v>
      </c>
      <c r="D2775" s="13" t="str">
        <f t="shared" si="3"/>
        <v>#N/A</v>
      </c>
      <c r="E2775" s="1" t="s">
        <v>69</v>
      </c>
    </row>
    <row r="2776" ht="15.75" customHeight="1">
      <c r="A2776" s="1" t="s">
        <v>1556</v>
      </c>
      <c r="B2776" s="13" t="str">
        <f t="shared" si="1"/>
        <v>Torrey</v>
      </c>
      <c r="C2776" s="13" t="str">
        <f t="shared" si="2"/>
        <v>Smith</v>
      </c>
      <c r="D2776" s="13" t="str">
        <f t="shared" si="3"/>
        <v>#N/A</v>
      </c>
      <c r="E2776" s="1" t="s">
        <v>69</v>
      </c>
    </row>
    <row r="2777" ht="15.75" customHeight="1">
      <c r="A2777" s="1" t="s">
        <v>2922</v>
      </c>
      <c r="B2777" s="13" t="str">
        <f t="shared" si="1"/>
        <v>Tra</v>
      </c>
      <c r="C2777" s="13" t="str">
        <f t="shared" si="2"/>
        <v>Carson</v>
      </c>
      <c r="D2777" s="13" t="str">
        <f t="shared" si="3"/>
        <v>#N/A</v>
      </c>
      <c r="E2777" s="1" t="s">
        <v>66</v>
      </c>
    </row>
    <row r="2778" ht="15.75" customHeight="1">
      <c r="A2778" s="1" t="s">
        <v>2923</v>
      </c>
      <c r="B2778" s="13" t="str">
        <f t="shared" si="1"/>
        <v>Tra</v>
      </c>
      <c r="C2778" s="13" t="str">
        <f t="shared" si="2"/>
        <v>Minter</v>
      </c>
      <c r="D2778" s="13" t="str">
        <f t="shared" si="3"/>
        <v>#N/A</v>
      </c>
      <c r="E2778" s="1" t="s">
        <v>66</v>
      </c>
    </row>
    <row r="2779" ht="15.75" customHeight="1">
      <c r="A2779" s="1" t="s">
        <v>2924</v>
      </c>
      <c r="B2779" s="13" t="str">
        <f t="shared" si="1"/>
        <v>Trace</v>
      </c>
      <c r="C2779" s="13" t="str">
        <f t="shared" si="2"/>
        <v>McSorley</v>
      </c>
      <c r="D2779" s="13" t="str">
        <f t="shared" si="3"/>
        <v>#N/A</v>
      </c>
      <c r="E2779" s="1" t="s">
        <v>65</v>
      </c>
    </row>
    <row r="2780" ht="15.75" customHeight="1">
      <c r="A2780" s="1" t="s">
        <v>2925</v>
      </c>
      <c r="B2780" s="13" t="str">
        <f t="shared" si="1"/>
        <v>Traeshon</v>
      </c>
      <c r="C2780" s="13" t="str">
        <f t="shared" si="2"/>
        <v>Holden</v>
      </c>
      <c r="D2780" s="13" t="str">
        <f t="shared" si="3"/>
        <v>#N/A</v>
      </c>
      <c r="E2780" s="1" t="s">
        <v>69</v>
      </c>
    </row>
    <row r="2781" ht="15.75" customHeight="1">
      <c r="A2781" s="1" t="s">
        <v>2926</v>
      </c>
      <c r="B2781" s="13" t="str">
        <f t="shared" si="1"/>
        <v>Travaris</v>
      </c>
      <c r="C2781" s="13" t="str">
        <f t="shared" si="2"/>
        <v>Cadet</v>
      </c>
      <c r="D2781" s="13" t="str">
        <f t="shared" si="3"/>
        <v>#N/A</v>
      </c>
      <c r="E2781" s="1" t="s">
        <v>66</v>
      </c>
    </row>
    <row r="2782" ht="15.75" customHeight="1">
      <c r="A2782" s="1" t="s">
        <v>2927</v>
      </c>
      <c r="B2782" s="13" t="str">
        <f t="shared" si="1"/>
        <v>Travin</v>
      </c>
      <c r="C2782" s="13" t="str">
        <f t="shared" si="2"/>
        <v>Dural</v>
      </c>
      <c r="D2782" s="13" t="str">
        <f t="shared" si="3"/>
        <v>#N/A</v>
      </c>
      <c r="E2782" s="1" t="s">
        <v>69</v>
      </c>
    </row>
    <row r="2783" ht="15.75" customHeight="1">
      <c r="A2783" s="1" t="s">
        <v>2928</v>
      </c>
      <c r="B2783" s="13" t="str">
        <f t="shared" si="1"/>
        <v>Travis</v>
      </c>
      <c r="C2783" s="13" t="str">
        <f t="shared" si="2"/>
        <v>Beckum</v>
      </c>
      <c r="D2783" s="13" t="str">
        <f t="shared" si="3"/>
        <v>#N/A</v>
      </c>
      <c r="E2783" s="1" t="s">
        <v>68</v>
      </c>
    </row>
    <row r="2784" ht="15.75" customHeight="1">
      <c r="A2784" s="1" t="s">
        <v>1980</v>
      </c>
      <c r="B2784" s="13" t="str">
        <f t="shared" si="1"/>
        <v>Travis</v>
      </c>
      <c r="C2784" s="13" t="str">
        <f t="shared" si="2"/>
        <v>Benjamin</v>
      </c>
      <c r="D2784" s="13" t="str">
        <f t="shared" si="3"/>
        <v>#N/A</v>
      </c>
      <c r="E2784" s="1" t="s">
        <v>69</v>
      </c>
    </row>
    <row r="2785" ht="15.75" customHeight="1">
      <c r="A2785" s="1" t="s">
        <v>2929</v>
      </c>
      <c r="B2785" s="13" t="str">
        <f t="shared" si="1"/>
        <v>Travis</v>
      </c>
      <c r="C2785" s="13" t="str">
        <f t="shared" si="2"/>
        <v>Dye</v>
      </c>
      <c r="D2785" s="13" t="str">
        <f t="shared" si="3"/>
        <v>#N/A</v>
      </c>
      <c r="E2785" s="1" t="s">
        <v>66</v>
      </c>
    </row>
    <row r="2786" ht="15.75" customHeight="1">
      <c r="A2786" s="1" t="s">
        <v>2930</v>
      </c>
      <c r="B2786" s="13" t="str">
        <f t="shared" si="1"/>
        <v>Travis</v>
      </c>
      <c r="C2786" s="13" t="str">
        <f t="shared" si="2"/>
        <v>Etienne</v>
      </c>
      <c r="D2786" s="13" t="str">
        <f t="shared" si="3"/>
        <v>#N/A</v>
      </c>
      <c r="E2786" s="1" t="s">
        <v>66</v>
      </c>
    </row>
    <row r="2787" ht="15.75" customHeight="1">
      <c r="A2787" s="1" t="s">
        <v>2931</v>
      </c>
      <c r="B2787" s="13" t="str">
        <f t="shared" si="1"/>
        <v>Travis</v>
      </c>
      <c r="C2787" s="13" t="str">
        <f t="shared" si="2"/>
        <v>Fulgham</v>
      </c>
      <c r="D2787" s="13" t="str">
        <f t="shared" si="3"/>
        <v>#N/A</v>
      </c>
      <c r="E2787" s="1" t="s">
        <v>69</v>
      </c>
    </row>
    <row r="2788" ht="15.75" customHeight="1">
      <c r="A2788" s="1" t="s">
        <v>2932</v>
      </c>
      <c r="B2788" s="13" t="str">
        <f t="shared" si="1"/>
        <v>Travis</v>
      </c>
      <c r="C2788" s="13" t="str">
        <f t="shared" si="2"/>
        <v>Homer</v>
      </c>
      <c r="D2788" s="13" t="str">
        <f t="shared" si="3"/>
        <v>#N/A</v>
      </c>
      <c r="E2788" s="1" t="s">
        <v>66</v>
      </c>
    </row>
    <row r="2789" ht="15.75" customHeight="1">
      <c r="A2789" s="1" t="s">
        <v>139</v>
      </c>
      <c r="B2789" s="13" t="str">
        <f t="shared" si="1"/>
        <v>Travis</v>
      </c>
      <c r="C2789" s="13" t="str">
        <f t="shared" si="2"/>
        <v>Kelce</v>
      </c>
      <c r="D2789" s="13" t="str">
        <f t="shared" si="3"/>
        <v>#N/A</v>
      </c>
      <c r="E2789" s="1" t="s">
        <v>68</v>
      </c>
    </row>
    <row r="2790" ht="15.75" customHeight="1">
      <c r="A2790" s="1" t="s">
        <v>2933</v>
      </c>
      <c r="B2790" s="13" t="str">
        <f t="shared" si="1"/>
        <v>Travis</v>
      </c>
      <c r="C2790" s="13" t="str">
        <f t="shared" si="2"/>
        <v>Labhart</v>
      </c>
      <c r="D2790" s="13" t="str">
        <f t="shared" si="3"/>
        <v>#N/A</v>
      </c>
      <c r="E2790" s="1" t="s">
        <v>69</v>
      </c>
    </row>
    <row r="2791" ht="15.75" customHeight="1">
      <c r="A2791" s="1" t="s">
        <v>2934</v>
      </c>
      <c r="B2791" s="13" t="str">
        <f t="shared" si="1"/>
        <v>Travis</v>
      </c>
      <c r="C2791" s="13" t="str">
        <f t="shared" si="2"/>
        <v>Partridge</v>
      </c>
      <c r="D2791" s="13" t="str">
        <f t="shared" si="3"/>
        <v>#N/A</v>
      </c>
      <c r="E2791" s="1" t="s">
        <v>65</v>
      </c>
    </row>
    <row r="2792" ht="15.75" customHeight="1">
      <c r="A2792" s="1" t="s">
        <v>2935</v>
      </c>
      <c r="B2792" s="13" t="str">
        <f t="shared" si="1"/>
        <v>Travis</v>
      </c>
      <c r="C2792" s="13" t="str">
        <f t="shared" si="2"/>
        <v>Rudolph</v>
      </c>
      <c r="D2792" s="13" t="str">
        <f t="shared" si="3"/>
        <v>#N/A</v>
      </c>
      <c r="E2792" s="1" t="s">
        <v>69</v>
      </c>
    </row>
    <row r="2793" ht="15.75" customHeight="1">
      <c r="A2793" s="1" t="s">
        <v>2936</v>
      </c>
      <c r="B2793" s="13" t="str">
        <f t="shared" si="1"/>
        <v>Travis</v>
      </c>
      <c r="C2793" s="13" t="str">
        <f t="shared" si="2"/>
        <v>Taylor</v>
      </c>
      <c r="D2793" s="13" t="str">
        <f t="shared" si="3"/>
        <v>#N/A</v>
      </c>
      <c r="E2793" s="1" t="s">
        <v>69</v>
      </c>
    </row>
    <row r="2794" ht="15.75" customHeight="1">
      <c r="A2794" s="1" t="s">
        <v>2937</v>
      </c>
      <c r="B2794" s="13" t="str">
        <f t="shared" si="1"/>
        <v>Travis</v>
      </c>
      <c r="C2794" s="13" t="str">
        <f t="shared" si="2"/>
        <v>Wilson</v>
      </c>
      <c r="D2794" s="13" t="str">
        <f t="shared" si="3"/>
        <v>#N/A</v>
      </c>
      <c r="E2794" s="1" t="s">
        <v>65</v>
      </c>
    </row>
    <row r="2795" ht="15.75" customHeight="1">
      <c r="A2795" s="1" t="s">
        <v>2938</v>
      </c>
      <c r="B2795" s="13" t="str">
        <f t="shared" si="1"/>
        <v>Travon</v>
      </c>
      <c r="C2795" s="13" t="str">
        <f t="shared" si="2"/>
        <v>McMillian</v>
      </c>
      <c r="D2795" s="13" t="str">
        <f t="shared" si="3"/>
        <v>#N/A</v>
      </c>
      <c r="E2795" s="1" t="s">
        <v>66</v>
      </c>
    </row>
    <row r="2796" ht="15.75" customHeight="1">
      <c r="A2796" s="1" t="s">
        <v>2939</v>
      </c>
      <c r="B2796" s="13" t="str">
        <f t="shared" si="1"/>
        <v>Trayveon</v>
      </c>
      <c r="C2796" s="13" t="str">
        <f t="shared" si="2"/>
        <v>Williams</v>
      </c>
      <c r="D2796" s="13" t="str">
        <f t="shared" si="3"/>
        <v>#N/A</v>
      </c>
      <c r="E2796" s="1" t="s">
        <v>66</v>
      </c>
    </row>
    <row r="2797" ht="15.75" customHeight="1">
      <c r="A2797" s="1" t="s">
        <v>2940</v>
      </c>
      <c r="B2797" s="13" t="str">
        <f t="shared" si="1"/>
        <v>Tre</v>
      </c>
      <c r="C2797" s="13" t="str">
        <f t="shared" si="2"/>
        <v>Madden</v>
      </c>
      <c r="D2797" s="13" t="str">
        <f t="shared" si="3"/>
        <v>#N/A</v>
      </c>
      <c r="E2797" s="1" t="s">
        <v>66</v>
      </c>
    </row>
    <row r="2798" ht="15.75" customHeight="1">
      <c r="A2798" s="1" t="s">
        <v>2941</v>
      </c>
      <c r="B2798" s="13" t="str">
        <f t="shared" si="1"/>
        <v>Tre</v>
      </c>
      <c r="C2798" s="13" t="str">
        <f t="shared" si="2"/>
        <v>Mason</v>
      </c>
      <c r="D2798" s="13" t="str">
        <f t="shared" si="3"/>
        <v>#N/A</v>
      </c>
      <c r="E2798" s="1" t="s">
        <v>66</v>
      </c>
    </row>
    <row r="2799" ht="15.75" customHeight="1">
      <c r="A2799" s="1" t="s">
        <v>2942</v>
      </c>
      <c r="B2799" s="13" t="str">
        <f t="shared" si="1"/>
        <v>Tre</v>
      </c>
      <c r="C2799" s="13" t="str">
        <f t="shared" si="2"/>
        <v>McBride</v>
      </c>
      <c r="D2799" s="13" t="str">
        <f t="shared" si="3"/>
        <v>#N/A</v>
      </c>
      <c r="E2799" s="1" t="s">
        <v>69</v>
      </c>
    </row>
    <row r="2800" ht="15.75" customHeight="1">
      <c r="A2800" s="1" t="s">
        <v>2943</v>
      </c>
      <c r="B2800" s="13" t="str">
        <f t="shared" si="1"/>
        <v>Tre</v>
      </c>
      <c r="C2800" s="13" t="str">
        <f t="shared" si="2"/>
        <v>McKitty</v>
      </c>
      <c r="D2800" s="13" t="str">
        <f t="shared" si="3"/>
        <v>#N/A</v>
      </c>
      <c r="E2800" s="1" t="s">
        <v>68</v>
      </c>
    </row>
    <row r="2801" ht="15.75" customHeight="1">
      <c r="A2801" s="1" t="s">
        <v>2944</v>
      </c>
      <c r="B2801" s="13" t="str">
        <f t="shared" si="1"/>
        <v>Tre</v>
      </c>
      <c r="C2801" s="13" t="str">
        <f t="shared" si="2"/>
        <v>Nixon</v>
      </c>
      <c r="D2801" s="13" t="str">
        <f t="shared" si="3"/>
        <v>#N/A</v>
      </c>
      <c r="E2801" s="1" t="s">
        <v>69</v>
      </c>
    </row>
    <row r="2802" ht="15.75" customHeight="1">
      <c r="A2802" s="1" t="s">
        <v>2945</v>
      </c>
      <c r="B2802" s="13" t="str">
        <f t="shared" si="1"/>
        <v>Tre</v>
      </c>
      <c r="C2802" s="13" t="str">
        <f t="shared" si="2"/>
        <v>Turner</v>
      </c>
      <c r="D2802" s="13" t="str">
        <f t="shared" si="3"/>
        <v>#N/A</v>
      </c>
      <c r="E2802" s="1" t="s">
        <v>69</v>
      </c>
    </row>
    <row r="2803" ht="15.75" customHeight="1">
      <c r="A2803" s="1" t="s">
        <v>2946</v>
      </c>
      <c r="B2803" s="13" t="str">
        <f t="shared" si="1"/>
        <v>Tre</v>
      </c>
      <c r="C2803" s="13" t="str">
        <f t="shared" si="2"/>
        <v>Walker</v>
      </c>
      <c r="D2803" s="13" t="str">
        <f t="shared" si="3"/>
        <v>#N/A</v>
      </c>
      <c r="E2803" s="1" t="s">
        <v>69</v>
      </c>
    </row>
    <row r="2804" ht="15.75" customHeight="1">
      <c r="A2804" s="1" t="s">
        <v>2947</v>
      </c>
      <c r="B2804" s="13" t="str">
        <f t="shared" si="1"/>
        <v>Tre</v>
      </c>
      <c r="C2804" s="13" t="str">
        <f t="shared" si="2"/>
        <v>Watson</v>
      </c>
      <c r="D2804" s="13" t="str">
        <f t="shared" si="3"/>
        <v>#N/A</v>
      </c>
      <c r="E2804" s="1" t="s">
        <v>66</v>
      </c>
    </row>
    <row r="2805" ht="15.75" customHeight="1">
      <c r="A2805" s="1" t="s">
        <v>2948</v>
      </c>
      <c r="B2805" s="13" t="str">
        <f t="shared" si="1"/>
        <v>Trent</v>
      </c>
      <c r="C2805" s="13" t="str">
        <f t="shared" si="2"/>
        <v>Edwards</v>
      </c>
      <c r="D2805" s="13" t="str">
        <f t="shared" si="3"/>
        <v>#N/A</v>
      </c>
      <c r="E2805" s="1" t="s">
        <v>65</v>
      </c>
    </row>
    <row r="2806" ht="15.75" customHeight="1">
      <c r="A2806" s="1" t="s">
        <v>2949</v>
      </c>
      <c r="B2806" s="13" t="str">
        <f t="shared" si="1"/>
        <v>Trent</v>
      </c>
      <c r="C2806" s="13" t="str">
        <f t="shared" si="2"/>
        <v>Richardson</v>
      </c>
      <c r="D2806" s="13" t="str">
        <f t="shared" si="3"/>
        <v>#N/A</v>
      </c>
      <c r="E2806" s="1" t="s">
        <v>66</v>
      </c>
    </row>
    <row r="2807" ht="15.75" customHeight="1">
      <c r="A2807" s="1" t="s">
        <v>2950</v>
      </c>
      <c r="B2807" s="13" t="str">
        <f t="shared" si="1"/>
        <v>Trent</v>
      </c>
      <c r="C2807" s="13" t="str">
        <f t="shared" si="2"/>
        <v>Sherfield</v>
      </c>
      <c r="D2807" s="13" t="str">
        <f t="shared" si="3"/>
        <v>#N/A</v>
      </c>
      <c r="E2807" s="1" t="s">
        <v>69</v>
      </c>
    </row>
    <row r="2808" ht="15.75" customHeight="1">
      <c r="A2808" s="1" t="s">
        <v>2951</v>
      </c>
      <c r="B2808" s="13" t="str">
        <f t="shared" si="1"/>
        <v>Trent</v>
      </c>
      <c r="C2808" s="13" t="str">
        <f t="shared" si="2"/>
        <v>Taylor</v>
      </c>
      <c r="D2808" s="13" t="str">
        <f t="shared" si="3"/>
        <v>#N/A</v>
      </c>
      <c r="E2808" s="1" t="s">
        <v>69</v>
      </c>
    </row>
    <row r="2809" ht="15.75" customHeight="1">
      <c r="A2809" s="1" t="s">
        <v>2952</v>
      </c>
      <c r="B2809" s="13" t="str">
        <f t="shared" si="1"/>
        <v>Trenton</v>
      </c>
      <c r="C2809" s="13" t="str">
        <f t="shared" si="2"/>
        <v>Cannon</v>
      </c>
      <c r="D2809" s="13" t="str">
        <f t="shared" si="3"/>
        <v>#N/A</v>
      </c>
      <c r="E2809" s="1" t="s">
        <v>66</v>
      </c>
    </row>
    <row r="2810" ht="15.75" customHeight="1">
      <c r="A2810" s="1" t="s">
        <v>2953</v>
      </c>
      <c r="B2810" s="13" t="str">
        <f t="shared" si="1"/>
        <v>Trenton</v>
      </c>
      <c r="C2810" s="13" t="str">
        <f t="shared" si="2"/>
        <v>Irwin</v>
      </c>
      <c r="D2810" s="13" t="str">
        <f t="shared" si="3"/>
        <v>#N/A</v>
      </c>
      <c r="E2810" s="1" t="s">
        <v>69</v>
      </c>
    </row>
    <row r="2811" ht="15.75" customHeight="1">
      <c r="A2811" s="1" t="s">
        <v>2954</v>
      </c>
      <c r="B2811" s="13" t="str">
        <f t="shared" si="1"/>
        <v>Tre'Quan</v>
      </c>
      <c r="C2811" s="13" t="str">
        <f t="shared" si="2"/>
        <v>Smith</v>
      </c>
      <c r="D2811" s="13" t="str">
        <f t="shared" si="3"/>
        <v>#N/A</v>
      </c>
      <c r="E2811" s="1" t="s">
        <v>69</v>
      </c>
    </row>
    <row r="2812" ht="15.75" customHeight="1">
      <c r="A2812" s="1" t="s">
        <v>2955</v>
      </c>
      <c r="B2812" s="13" t="str">
        <f t="shared" si="1"/>
        <v>Tre'Shaun</v>
      </c>
      <c r="C2812" s="13" t="str">
        <f t="shared" si="2"/>
        <v>Harrison</v>
      </c>
      <c r="D2812" s="13" t="str">
        <f t="shared" si="3"/>
        <v>#N/A</v>
      </c>
      <c r="E2812" s="1" t="s">
        <v>69</v>
      </c>
    </row>
    <row r="2813" ht="15.75" customHeight="1">
      <c r="A2813" s="1" t="s">
        <v>2956</v>
      </c>
      <c r="B2813" s="13" t="str">
        <f t="shared" si="1"/>
        <v>Treshaun</v>
      </c>
      <c r="C2813" s="13" t="str">
        <f t="shared" si="2"/>
        <v>Ward</v>
      </c>
      <c r="D2813" s="13" t="str">
        <f t="shared" si="3"/>
        <v>#N/A</v>
      </c>
      <c r="E2813" s="1" t="s">
        <v>66</v>
      </c>
    </row>
    <row r="2814" ht="15.75" customHeight="1">
      <c r="A2814" s="1" t="s">
        <v>2957</v>
      </c>
      <c r="B2814" s="13" t="str">
        <f t="shared" si="1"/>
        <v>Trestan</v>
      </c>
      <c r="C2814" s="13" t="str">
        <f t="shared" si="2"/>
        <v>Ebner</v>
      </c>
      <c r="D2814" s="13" t="str">
        <f t="shared" si="3"/>
        <v>#N/A</v>
      </c>
      <c r="E2814" s="1" t="s">
        <v>66</v>
      </c>
    </row>
    <row r="2815" ht="15.75" customHeight="1">
      <c r="A2815" s="1" t="s">
        <v>2958</v>
      </c>
      <c r="B2815" s="13" t="str">
        <f t="shared" si="1"/>
        <v>TreVeyon</v>
      </c>
      <c r="C2815" s="13" t="str">
        <f t="shared" si="2"/>
        <v>Henderson</v>
      </c>
      <c r="D2815" s="13" t="str">
        <f t="shared" si="3"/>
        <v>#N/A</v>
      </c>
      <c r="E2815" s="1" t="s">
        <v>66</v>
      </c>
    </row>
    <row r="2816" ht="15.75" customHeight="1">
      <c r="A2816" s="1" t="s">
        <v>2959</v>
      </c>
      <c r="B2816" s="13" t="str">
        <f t="shared" si="1"/>
        <v>Trevion</v>
      </c>
      <c r="C2816" s="13" t="str">
        <f t="shared" si="2"/>
        <v>Thompson</v>
      </c>
      <c r="D2816" s="13" t="str">
        <f t="shared" si="3"/>
        <v>#N/A</v>
      </c>
      <c r="E2816" s="1" t="s">
        <v>69</v>
      </c>
    </row>
    <row r="2817" ht="15.75" customHeight="1">
      <c r="A2817" s="1" t="s">
        <v>2960</v>
      </c>
      <c r="B2817" s="13" t="str">
        <f t="shared" si="1"/>
        <v>Trevon</v>
      </c>
      <c r="C2817" s="13" t="str">
        <f t="shared" si="2"/>
        <v>Brown</v>
      </c>
      <c r="D2817" s="13" t="str">
        <f t="shared" si="3"/>
        <v>#N/A</v>
      </c>
      <c r="E2817" s="1" t="s">
        <v>69</v>
      </c>
    </row>
    <row r="2818" ht="15.75" customHeight="1">
      <c r="A2818" s="1" t="s">
        <v>2961</v>
      </c>
      <c r="B2818" s="13" t="str">
        <f t="shared" si="1"/>
        <v>Trevon</v>
      </c>
      <c r="C2818" s="13" t="str">
        <f t="shared" si="2"/>
        <v>Grimes</v>
      </c>
      <c r="D2818" s="13" t="str">
        <f t="shared" si="3"/>
        <v>#N/A</v>
      </c>
      <c r="E2818" s="1" t="s">
        <v>69</v>
      </c>
    </row>
    <row r="2819" ht="15.75" customHeight="1">
      <c r="A2819" s="1" t="s">
        <v>2962</v>
      </c>
      <c r="B2819" s="13" t="str">
        <f t="shared" si="1"/>
        <v>Trevon</v>
      </c>
      <c r="C2819" s="13" t="str">
        <f t="shared" si="2"/>
        <v>Wesco</v>
      </c>
      <c r="D2819" s="13" t="str">
        <f t="shared" si="3"/>
        <v>#N/A</v>
      </c>
      <c r="E2819" s="1" t="s">
        <v>68</v>
      </c>
    </row>
    <row r="2820" ht="15.75" customHeight="1">
      <c r="A2820" s="1" t="s">
        <v>2963</v>
      </c>
      <c r="B2820" s="13" t="str">
        <f t="shared" si="1"/>
        <v>Trevone</v>
      </c>
      <c r="C2820" s="13" t="str">
        <f t="shared" si="2"/>
        <v>Boykin</v>
      </c>
      <c r="D2820" s="13" t="str">
        <f t="shared" si="3"/>
        <v>#N/A</v>
      </c>
      <c r="E2820" s="1" t="s">
        <v>65</v>
      </c>
    </row>
    <row r="2821" ht="15.75" customHeight="1">
      <c r="A2821" s="1" t="s">
        <v>2964</v>
      </c>
      <c r="B2821" s="13" t="str">
        <f t="shared" si="1"/>
        <v>Trevor</v>
      </c>
      <c r="C2821" s="13" t="str">
        <f t="shared" si="2"/>
        <v>Davis</v>
      </c>
      <c r="D2821" s="13" t="str">
        <f t="shared" si="3"/>
        <v>#N/A</v>
      </c>
      <c r="E2821" s="1" t="s">
        <v>69</v>
      </c>
    </row>
    <row r="2822" ht="15.75" customHeight="1">
      <c r="A2822" s="1" t="s">
        <v>2965</v>
      </c>
      <c r="B2822" s="13" t="str">
        <f t="shared" si="1"/>
        <v>Trevor</v>
      </c>
      <c r="C2822" s="13" t="str">
        <f t="shared" si="2"/>
        <v>Harman</v>
      </c>
      <c r="D2822" s="13" t="str">
        <f t="shared" si="3"/>
        <v>#N/A</v>
      </c>
      <c r="E2822" s="1" t="s">
        <v>69</v>
      </c>
    </row>
    <row r="2823" ht="15.75" customHeight="1">
      <c r="A2823" s="1" t="s">
        <v>2966</v>
      </c>
      <c r="B2823" s="13" t="str">
        <f t="shared" si="1"/>
        <v>Trevor</v>
      </c>
      <c r="C2823" s="13" t="str">
        <f t="shared" si="2"/>
        <v>Knight</v>
      </c>
      <c r="D2823" s="13" t="str">
        <f t="shared" si="3"/>
        <v>#N/A</v>
      </c>
      <c r="E2823" s="1" t="s">
        <v>65</v>
      </c>
    </row>
    <row r="2824" ht="15.75" customHeight="1">
      <c r="A2824" s="1" t="s">
        <v>459</v>
      </c>
      <c r="B2824" s="13" t="str">
        <f t="shared" si="1"/>
        <v>Trevor</v>
      </c>
      <c r="C2824" s="13" t="str">
        <f t="shared" si="2"/>
        <v>Lawrence</v>
      </c>
      <c r="D2824" s="13" t="str">
        <f t="shared" si="3"/>
        <v>#N/A</v>
      </c>
      <c r="E2824" s="1" t="s">
        <v>65</v>
      </c>
    </row>
    <row r="2825" ht="15.75" customHeight="1">
      <c r="A2825" s="1" t="s">
        <v>2967</v>
      </c>
      <c r="B2825" s="13" t="str">
        <f t="shared" si="1"/>
        <v>Trevor</v>
      </c>
      <c r="C2825" s="13" t="str">
        <f t="shared" si="2"/>
        <v>Siemian</v>
      </c>
      <c r="D2825" s="13" t="str">
        <f t="shared" si="3"/>
        <v>#N/A</v>
      </c>
      <c r="E2825" s="1" t="s">
        <v>65</v>
      </c>
    </row>
    <row r="2826" ht="15.75" customHeight="1">
      <c r="A2826" s="1" t="s">
        <v>2968</v>
      </c>
      <c r="B2826" s="13" t="str">
        <f t="shared" si="1"/>
        <v>Trevor</v>
      </c>
      <c r="C2826" s="13" t="str">
        <f t="shared" si="2"/>
        <v>Wood</v>
      </c>
      <c r="D2826" s="13" t="str">
        <f t="shared" si="3"/>
        <v>#N/A</v>
      </c>
      <c r="E2826" s="1" t="s">
        <v>68</v>
      </c>
    </row>
    <row r="2827" ht="15.75" customHeight="1">
      <c r="A2827" s="1" t="s">
        <v>2969</v>
      </c>
      <c r="B2827" s="13" t="str">
        <f t="shared" si="1"/>
        <v>Trey</v>
      </c>
      <c r="C2827" s="13" t="str">
        <f t="shared" si="2"/>
        <v>Brock</v>
      </c>
      <c r="D2827" s="13" t="str">
        <f t="shared" si="3"/>
        <v>#N/A</v>
      </c>
      <c r="E2827" s="1" t="s">
        <v>69</v>
      </c>
    </row>
    <row r="2828" ht="15.75" customHeight="1">
      <c r="A2828" s="1" t="s">
        <v>854</v>
      </c>
      <c r="B2828" s="13" t="str">
        <f t="shared" si="1"/>
        <v>Trey</v>
      </c>
      <c r="C2828" s="13" t="str">
        <f t="shared" si="2"/>
        <v>Burton</v>
      </c>
      <c r="D2828" s="13" t="str">
        <f t="shared" si="3"/>
        <v>#N/A</v>
      </c>
      <c r="E2828" s="1" t="s">
        <v>68</v>
      </c>
    </row>
    <row r="2829" ht="15.75" customHeight="1">
      <c r="A2829" s="1" t="s">
        <v>2970</v>
      </c>
      <c r="B2829" s="13" t="str">
        <f t="shared" si="1"/>
        <v>Trey</v>
      </c>
      <c r="C2829" s="13" t="str">
        <f t="shared" si="2"/>
        <v>Edmunds</v>
      </c>
      <c r="D2829" s="13" t="str">
        <f t="shared" si="3"/>
        <v>#N/A</v>
      </c>
      <c r="E2829" s="1" t="s">
        <v>66</v>
      </c>
    </row>
    <row r="2830" ht="15.75" customHeight="1">
      <c r="A2830" s="1" t="s">
        <v>2971</v>
      </c>
      <c r="B2830" s="13" t="str">
        <f t="shared" si="1"/>
        <v>Trey</v>
      </c>
      <c r="C2830" s="13" t="str">
        <f t="shared" si="2"/>
        <v>Griffey</v>
      </c>
      <c r="D2830" s="13" t="str">
        <f t="shared" si="3"/>
        <v>#N/A</v>
      </c>
      <c r="E2830" s="1" t="s">
        <v>69</v>
      </c>
    </row>
    <row r="2831" ht="15.75" customHeight="1">
      <c r="A2831" s="1" t="s">
        <v>2972</v>
      </c>
      <c r="B2831" s="13" t="str">
        <f t="shared" si="1"/>
        <v>Trey</v>
      </c>
      <c r="C2831" s="13" t="str">
        <f t="shared" si="2"/>
        <v>Knox</v>
      </c>
      <c r="D2831" s="13" t="str">
        <f t="shared" si="3"/>
        <v>#N/A</v>
      </c>
      <c r="E2831" s="1" t="s">
        <v>69</v>
      </c>
    </row>
    <row r="2832" ht="15.75" customHeight="1">
      <c r="A2832" s="1" t="s">
        <v>100</v>
      </c>
      <c r="B2832" s="13" t="str">
        <f t="shared" si="1"/>
        <v>Trey</v>
      </c>
      <c r="C2832" s="13" t="str">
        <f t="shared" si="2"/>
        <v>Lance</v>
      </c>
      <c r="D2832" s="13" t="str">
        <f t="shared" si="3"/>
        <v>#N/A</v>
      </c>
      <c r="E2832" s="1" t="s">
        <v>65</v>
      </c>
    </row>
    <row r="2833" ht="15.75" customHeight="1">
      <c r="A2833" s="1" t="s">
        <v>2973</v>
      </c>
      <c r="B2833" s="13" t="str">
        <f t="shared" si="1"/>
        <v>Trey</v>
      </c>
      <c r="C2833" s="13" t="str">
        <f t="shared" si="2"/>
        <v>McBride</v>
      </c>
      <c r="D2833" s="13" t="str">
        <f t="shared" si="3"/>
        <v>#N/A</v>
      </c>
      <c r="E2833" s="1" t="s">
        <v>68</v>
      </c>
    </row>
    <row r="2834" ht="15.75" customHeight="1">
      <c r="A2834" s="1" t="s">
        <v>2974</v>
      </c>
      <c r="B2834" s="13" t="str">
        <f t="shared" si="1"/>
        <v>Trey</v>
      </c>
      <c r="C2834" s="13" t="str">
        <f t="shared" si="2"/>
        <v>Palmer</v>
      </c>
      <c r="D2834" s="13" t="str">
        <f t="shared" si="3"/>
        <v>#N/A</v>
      </c>
      <c r="E2834" s="1" t="s">
        <v>69</v>
      </c>
    </row>
    <row r="2835" ht="15.75" customHeight="1">
      <c r="A2835" s="1" t="s">
        <v>2975</v>
      </c>
      <c r="B2835" s="13" t="str">
        <f t="shared" si="1"/>
        <v>Trey</v>
      </c>
      <c r="C2835" s="13" t="str">
        <f t="shared" si="2"/>
        <v>Potts</v>
      </c>
      <c r="D2835" s="13" t="str">
        <f t="shared" si="3"/>
        <v>#N/A</v>
      </c>
      <c r="E2835" s="1" t="s">
        <v>66</v>
      </c>
    </row>
    <row r="2836" ht="15.75" customHeight="1">
      <c r="A2836" s="1" t="s">
        <v>2976</v>
      </c>
      <c r="B2836" s="13" t="str">
        <f t="shared" si="1"/>
        <v>Trey</v>
      </c>
      <c r="C2836" s="13" t="str">
        <f t="shared" si="2"/>
        <v>Quinn</v>
      </c>
      <c r="D2836" s="13" t="str">
        <f t="shared" si="3"/>
        <v>#N/A</v>
      </c>
      <c r="E2836" s="1" t="s">
        <v>69</v>
      </c>
    </row>
    <row r="2837" ht="15.75" customHeight="1">
      <c r="A2837" s="1" t="s">
        <v>2977</v>
      </c>
      <c r="B2837" s="13" t="str">
        <f t="shared" si="1"/>
        <v>Trey</v>
      </c>
      <c r="C2837" s="13" t="str">
        <f t="shared" si="2"/>
        <v>Ragas</v>
      </c>
      <c r="D2837" s="13" t="str">
        <f t="shared" si="3"/>
        <v>#N/A</v>
      </c>
      <c r="E2837" s="1" t="s">
        <v>66</v>
      </c>
    </row>
    <row r="2838" ht="15.75" customHeight="1">
      <c r="A2838" s="1" t="s">
        <v>2978</v>
      </c>
      <c r="B2838" s="13" t="str">
        <f t="shared" si="1"/>
        <v>Trey</v>
      </c>
      <c r="C2838" s="13" t="str">
        <f t="shared" si="2"/>
        <v>Sanders</v>
      </c>
      <c r="D2838" s="13" t="str">
        <f t="shared" si="3"/>
        <v>#N/A</v>
      </c>
      <c r="E2838" s="1" t="s">
        <v>66</v>
      </c>
    </row>
    <row r="2839" ht="15.75" customHeight="1">
      <c r="A2839" s="1" t="s">
        <v>129</v>
      </c>
      <c r="B2839" s="13" t="str">
        <f t="shared" si="1"/>
        <v>Trey</v>
      </c>
      <c r="C2839" s="13" t="str">
        <f t="shared" si="2"/>
        <v>Sermon</v>
      </c>
      <c r="D2839" s="13" t="str">
        <f t="shared" si="3"/>
        <v>#N/A</v>
      </c>
      <c r="E2839" s="1" t="s">
        <v>66</v>
      </c>
    </row>
    <row r="2840" ht="15.75" customHeight="1">
      <c r="A2840" s="1" t="s">
        <v>2979</v>
      </c>
      <c r="B2840" s="13" t="str">
        <f t="shared" si="1"/>
        <v>Trey</v>
      </c>
      <c r="C2840" s="13" t="str">
        <f t="shared" si="2"/>
        <v>Watts</v>
      </c>
      <c r="D2840" s="13" t="str">
        <f t="shared" si="3"/>
        <v>#N/A</v>
      </c>
      <c r="E2840" s="1" t="s">
        <v>66</v>
      </c>
    </row>
    <row r="2841" ht="15.75" customHeight="1">
      <c r="A2841" s="1" t="s">
        <v>2980</v>
      </c>
      <c r="B2841" s="13" t="str">
        <f t="shared" si="1"/>
        <v>Trey</v>
      </c>
      <c r="C2841" s="13" t="str">
        <f t="shared" si="2"/>
        <v>Williams</v>
      </c>
      <c r="D2841" s="13" t="str">
        <f t="shared" si="3"/>
        <v>#N/A</v>
      </c>
      <c r="E2841" s="1" t="s">
        <v>66</v>
      </c>
    </row>
    <row r="2842" ht="15.75" customHeight="1">
      <c r="A2842" s="1" t="s">
        <v>2981</v>
      </c>
      <c r="B2842" s="13" t="str">
        <f t="shared" si="1"/>
        <v>Treylon</v>
      </c>
      <c r="C2842" s="13" t="str">
        <f t="shared" si="2"/>
        <v>Burks</v>
      </c>
      <c r="D2842" s="13" t="str">
        <f t="shared" si="3"/>
        <v>#N/A</v>
      </c>
      <c r="E2842" s="1" t="s">
        <v>69</v>
      </c>
    </row>
    <row r="2843" ht="15.75" customHeight="1">
      <c r="A2843" s="1" t="s">
        <v>2982</v>
      </c>
      <c r="B2843" s="13" t="str">
        <f t="shared" si="1"/>
        <v>Trindon</v>
      </c>
      <c r="C2843" s="13" t="str">
        <f t="shared" si="2"/>
        <v>Holliday</v>
      </c>
      <c r="D2843" s="13" t="str">
        <f t="shared" si="3"/>
        <v>#N/A</v>
      </c>
      <c r="E2843" s="1" t="s">
        <v>69</v>
      </c>
    </row>
    <row r="2844" ht="15.75" customHeight="1">
      <c r="A2844" s="1" t="s">
        <v>2983</v>
      </c>
      <c r="B2844" s="13" t="str">
        <f t="shared" si="1"/>
        <v>Trinity</v>
      </c>
      <c r="C2844" s="13" t="str">
        <f t="shared" si="2"/>
        <v>Benson</v>
      </c>
      <c r="D2844" s="13" t="str">
        <f t="shared" si="3"/>
        <v>#N/A</v>
      </c>
      <c r="E2844" s="1" t="s">
        <v>69</v>
      </c>
    </row>
    <row r="2845" ht="15.75" customHeight="1">
      <c r="A2845" s="1" t="s">
        <v>2984</v>
      </c>
      <c r="B2845" s="13" t="str">
        <f t="shared" si="1"/>
        <v>Trishton</v>
      </c>
      <c r="C2845" s="13" t="str">
        <f t="shared" si="2"/>
        <v>Jackson</v>
      </c>
      <c r="D2845" s="13" t="str">
        <f t="shared" si="3"/>
        <v>#N/A</v>
      </c>
      <c r="E2845" s="1" t="s">
        <v>69</v>
      </c>
    </row>
    <row r="2846" ht="15.75" customHeight="1">
      <c r="A2846" s="1" t="s">
        <v>2985</v>
      </c>
      <c r="B2846" s="13" t="str">
        <f t="shared" si="1"/>
        <v>Troy</v>
      </c>
      <c r="C2846" s="13" t="str">
        <f t="shared" si="2"/>
        <v>Franklin</v>
      </c>
      <c r="D2846" s="13" t="str">
        <f t="shared" si="3"/>
        <v>#N/A</v>
      </c>
      <c r="E2846" s="1" t="s">
        <v>69</v>
      </c>
    </row>
    <row r="2847" ht="15.75" customHeight="1">
      <c r="A2847" s="1" t="s">
        <v>2986</v>
      </c>
      <c r="B2847" s="13" t="str">
        <f t="shared" si="1"/>
        <v>Troy</v>
      </c>
      <c r="C2847" s="13" t="str">
        <f t="shared" si="2"/>
        <v>Fumagalli</v>
      </c>
      <c r="D2847" s="13" t="str">
        <f t="shared" si="3"/>
        <v>#N/A</v>
      </c>
      <c r="E2847" s="1" t="s">
        <v>68</v>
      </c>
    </row>
    <row r="2848" ht="15.75" customHeight="1">
      <c r="A2848" s="1" t="s">
        <v>2987</v>
      </c>
      <c r="B2848" s="13" t="str">
        <f t="shared" si="1"/>
        <v>Troy</v>
      </c>
      <c r="C2848" s="13" t="str">
        <f t="shared" si="2"/>
        <v>Niklas</v>
      </c>
      <c r="D2848" s="13" t="str">
        <f t="shared" si="3"/>
        <v>#N/A</v>
      </c>
      <c r="E2848" s="1" t="s">
        <v>68</v>
      </c>
    </row>
    <row r="2849" ht="15.75" customHeight="1">
      <c r="A2849" s="1" t="s">
        <v>2988</v>
      </c>
      <c r="B2849" s="13" t="str">
        <f t="shared" si="1"/>
        <v>Troy</v>
      </c>
      <c r="C2849" s="13" t="str">
        <f t="shared" si="2"/>
        <v>Williamson</v>
      </c>
      <c r="D2849" s="13" t="str">
        <f t="shared" si="3"/>
        <v>#N/A</v>
      </c>
      <c r="E2849" s="1" t="s">
        <v>69</v>
      </c>
    </row>
    <row r="2850" ht="15.75" customHeight="1">
      <c r="A2850" s="1" t="s">
        <v>2989</v>
      </c>
      <c r="B2850" s="13" t="str">
        <f t="shared" si="1"/>
        <v>Troymaine</v>
      </c>
      <c r="C2850" s="13" t="str">
        <f t="shared" si="2"/>
        <v>Pope</v>
      </c>
      <c r="D2850" s="13" t="str">
        <f t="shared" si="3"/>
        <v>#N/A</v>
      </c>
      <c r="E2850" s="1" t="s">
        <v>66</v>
      </c>
    </row>
    <row r="2851" ht="15.75" customHeight="1">
      <c r="A2851" s="1" t="s">
        <v>2990</v>
      </c>
      <c r="B2851" s="13" t="str">
        <f t="shared" si="1"/>
        <v>Tua</v>
      </c>
      <c r="C2851" s="13" t="str">
        <f t="shared" si="2"/>
        <v>Tagovailoa</v>
      </c>
      <c r="D2851" s="13" t="str">
        <f t="shared" si="3"/>
        <v>#N/A</v>
      </c>
      <c r="E2851" s="1" t="s">
        <v>65</v>
      </c>
    </row>
    <row r="2852" ht="15.75" customHeight="1">
      <c r="A2852" s="1" t="s">
        <v>2991</v>
      </c>
      <c r="B2852" s="13" t="str">
        <f t="shared" si="1"/>
        <v>Tutu</v>
      </c>
      <c r="C2852" s="13" t="str">
        <f t="shared" si="2"/>
        <v>Atwell</v>
      </c>
      <c r="D2852" s="13" t="str">
        <f t="shared" si="3"/>
        <v>#N/A</v>
      </c>
      <c r="E2852" s="1" t="s">
        <v>69</v>
      </c>
    </row>
    <row r="2853" ht="15.75" customHeight="1">
      <c r="A2853" s="1" t="s">
        <v>2992</v>
      </c>
      <c r="B2853" s="13" t="str">
        <f t="shared" si="1"/>
        <v>Ty</v>
      </c>
      <c r="C2853" s="13" t="str">
        <f t="shared" si="2"/>
        <v>Chandler</v>
      </c>
      <c r="D2853" s="13" t="str">
        <f t="shared" si="3"/>
        <v>#N/A</v>
      </c>
      <c r="E2853" s="1" t="s">
        <v>66</v>
      </c>
    </row>
    <row r="2854" ht="15.75" customHeight="1">
      <c r="A2854" s="1" t="s">
        <v>2993</v>
      </c>
      <c r="B2854" s="13" t="str">
        <f t="shared" si="1"/>
        <v>Ty</v>
      </c>
      <c r="C2854" s="13" t="str">
        <f t="shared" si="2"/>
        <v>Fryfogle</v>
      </c>
      <c r="D2854" s="13" t="str">
        <f t="shared" si="3"/>
        <v>#N/A</v>
      </c>
      <c r="E2854" s="1" t="s">
        <v>69</v>
      </c>
    </row>
    <row r="2855" ht="15.75" customHeight="1">
      <c r="A2855" s="1" t="s">
        <v>2994</v>
      </c>
      <c r="B2855" s="13" t="str">
        <f t="shared" si="1"/>
        <v>Ty</v>
      </c>
      <c r="C2855" s="13" t="str">
        <f t="shared" si="2"/>
        <v>Issac</v>
      </c>
      <c r="D2855" s="13" t="str">
        <f t="shared" si="3"/>
        <v>#N/A</v>
      </c>
      <c r="E2855" s="1" t="s">
        <v>66</v>
      </c>
    </row>
    <row r="2856" ht="15.75" customHeight="1">
      <c r="A2856" s="1" t="s">
        <v>135</v>
      </c>
      <c r="B2856" s="13" t="str">
        <f t="shared" si="1"/>
        <v>Ty</v>
      </c>
      <c r="C2856" s="13" t="str">
        <f t="shared" si="2"/>
        <v>Johnson</v>
      </c>
      <c r="D2856" s="13" t="str">
        <f t="shared" si="3"/>
        <v>#N/A</v>
      </c>
      <c r="E2856" s="1" t="s">
        <v>66</v>
      </c>
    </row>
    <row r="2857" ht="15.75" customHeight="1">
      <c r="A2857" s="1" t="s">
        <v>1604</v>
      </c>
      <c r="B2857" s="13" t="str">
        <f t="shared" si="1"/>
        <v>Ty</v>
      </c>
      <c r="C2857" s="13" t="str">
        <f t="shared" si="2"/>
        <v>Montgomery</v>
      </c>
      <c r="D2857" s="13" t="str">
        <f t="shared" si="3"/>
        <v>#N/A</v>
      </c>
      <c r="E2857" s="1" t="s">
        <v>66</v>
      </c>
    </row>
    <row r="2858" ht="15.75" customHeight="1">
      <c r="A2858" s="1" t="s">
        <v>2995</v>
      </c>
      <c r="B2858" s="13" t="str">
        <f t="shared" si="1"/>
        <v>Tylan</v>
      </c>
      <c r="C2858" s="13" t="str">
        <f t="shared" si="2"/>
        <v>Wallace</v>
      </c>
      <c r="D2858" s="13" t="str">
        <f t="shared" si="3"/>
        <v>#N/A</v>
      </c>
      <c r="E2858" s="1" t="s">
        <v>69</v>
      </c>
    </row>
    <row r="2859" ht="15.75" customHeight="1">
      <c r="A2859" s="1" t="s">
        <v>2996</v>
      </c>
      <c r="B2859" s="13" t="str">
        <f t="shared" si="1"/>
        <v>Tyler</v>
      </c>
      <c r="C2859" s="13" t="str">
        <f t="shared" si="2"/>
        <v>Allgeier</v>
      </c>
      <c r="D2859" s="13" t="str">
        <f t="shared" si="3"/>
        <v>#N/A</v>
      </c>
      <c r="E2859" s="1" t="s">
        <v>66</v>
      </c>
    </row>
    <row r="2860" ht="15.75" customHeight="1">
      <c r="A2860" s="1" t="s">
        <v>2997</v>
      </c>
      <c r="B2860" s="13" t="str">
        <f t="shared" si="1"/>
        <v>Tyler</v>
      </c>
      <c r="C2860" s="13" t="str">
        <f t="shared" si="2"/>
        <v>Badie</v>
      </c>
      <c r="D2860" s="13" t="str">
        <f t="shared" si="3"/>
        <v>#N/A</v>
      </c>
      <c r="E2860" s="1" t="s">
        <v>66</v>
      </c>
    </row>
    <row r="2861" ht="15.75" customHeight="1">
      <c r="A2861" s="1" t="s">
        <v>410</v>
      </c>
      <c r="B2861" s="13" t="str">
        <f t="shared" si="1"/>
        <v>Tyler</v>
      </c>
      <c r="C2861" s="13" t="str">
        <f t="shared" si="2"/>
        <v>Bass</v>
      </c>
      <c r="D2861" s="13" t="str">
        <f t="shared" si="3"/>
        <v>#N/A</v>
      </c>
      <c r="E2861" s="1" t="s">
        <v>64</v>
      </c>
    </row>
    <row r="2862" ht="15.75" customHeight="1">
      <c r="A2862" s="1" t="s">
        <v>2998</v>
      </c>
      <c r="B2862" s="13" t="str">
        <f t="shared" si="1"/>
        <v>Tyler</v>
      </c>
      <c r="C2862" s="13" t="str">
        <f t="shared" si="2"/>
        <v>Beck</v>
      </c>
      <c r="D2862" s="13" t="str">
        <f t="shared" si="3"/>
        <v>#N/A</v>
      </c>
      <c r="E2862" s="1" t="s">
        <v>68</v>
      </c>
    </row>
    <row r="2863" ht="15.75" customHeight="1">
      <c r="A2863" s="1" t="s">
        <v>440</v>
      </c>
      <c r="B2863" s="13" t="str">
        <f t="shared" si="1"/>
        <v>Tyler</v>
      </c>
      <c r="C2863" s="13" t="str">
        <f t="shared" si="2"/>
        <v>Boyd</v>
      </c>
      <c r="D2863" s="13" t="str">
        <f t="shared" si="3"/>
        <v>#N/A</v>
      </c>
      <c r="E2863" s="1" t="s">
        <v>69</v>
      </c>
    </row>
    <row r="2864" ht="15.75" customHeight="1">
      <c r="A2864" s="1" t="s">
        <v>2999</v>
      </c>
      <c r="B2864" s="13" t="str">
        <f t="shared" si="1"/>
        <v>Tyler</v>
      </c>
      <c r="C2864" s="13" t="str">
        <f t="shared" si="2"/>
        <v>Bray</v>
      </c>
      <c r="D2864" s="13" t="str">
        <f t="shared" si="3"/>
        <v>#N/A</v>
      </c>
      <c r="E2864" s="1" t="s">
        <v>65</v>
      </c>
    </row>
    <row r="2865" ht="15.75" customHeight="1">
      <c r="A2865" s="1" t="s">
        <v>3000</v>
      </c>
      <c r="B2865" s="13" t="str">
        <f t="shared" si="1"/>
        <v>Tyler</v>
      </c>
      <c r="C2865" s="13" t="str">
        <f t="shared" si="2"/>
        <v>Buchner</v>
      </c>
      <c r="D2865" s="13" t="str">
        <f t="shared" si="3"/>
        <v>#N/A</v>
      </c>
      <c r="E2865" s="1" t="s">
        <v>65</v>
      </c>
    </row>
    <row r="2866" ht="15.75" customHeight="1">
      <c r="A2866" s="1" t="s">
        <v>3001</v>
      </c>
      <c r="B2866" s="13" t="str">
        <f t="shared" si="1"/>
        <v>Tyler</v>
      </c>
      <c r="C2866" s="13" t="str">
        <f t="shared" si="2"/>
        <v>Conklin</v>
      </c>
      <c r="D2866" s="13" t="str">
        <f t="shared" si="3"/>
        <v>#N/A</v>
      </c>
      <c r="E2866" s="1" t="s">
        <v>68</v>
      </c>
    </row>
    <row r="2867" ht="15.75" customHeight="1">
      <c r="A2867" s="1" t="s">
        <v>3002</v>
      </c>
      <c r="B2867" s="13" t="str">
        <f t="shared" si="1"/>
        <v>Tyler</v>
      </c>
      <c r="C2867" s="13" t="str">
        <f t="shared" si="2"/>
        <v>Davis</v>
      </c>
      <c r="D2867" s="13" t="str">
        <f t="shared" si="3"/>
        <v>#N/A</v>
      </c>
      <c r="E2867" s="1" t="s">
        <v>68</v>
      </c>
    </row>
    <row r="2868" ht="15.75" customHeight="1">
      <c r="A2868" s="1" t="s">
        <v>1720</v>
      </c>
      <c r="B2868" s="13" t="str">
        <f t="shared" si="1"/>
        <v>Tyler</v>
      </c>
      <c r="C2868" s="13" t="str">
        <f t="shared" si="2"/>
        <v>Eifert</v>
      </c>
      <c r="D2868" s="13" t="str">
        <f t="shared" si="3"/>
        <v>#N/A</v>
      </c>
      <c r="E2868" s="1" t="s">
        <v>68</v>
      </c>
    </row>
    <row r="2869" ht="15.75" customHeight="1">
      <c r="A2869" s="1" t="s">
        <v>3003</v>
      </c>
      <c r="B2869" s="13" t="str">
        <f t="shared" si="1"/>
        <v>Tyler</v>
      </c>
      <c r="C2869" s="13" t="str">
        <f t="shared" si="2"/>
        <v>Ervin</v>
      </c>
      <c r="D2869" s="13" t="str">
        <f t="shared" si="3"/>
        <v>#N/A</v>
      </c>
      <c r="E2869" s="1" t="s">
        <v>66</v>
      </c>
    </row>
    <row r="2870" ht="15.75" customHeight="1">
      <c r="A2870" s="1" t="s">
        <v>3004</v>
      </c>
      <c r="B2870" s="13" t="str">
        <f t="shared" si="1"/>
        <v>Tyler</v>
      </c>
      <c r="C2870" s="13" t="str">
        <f t="shared" si="2"/>
        <v>Ferguson</v>
      </c>
      <c r="D2870" s="13" t="str">
        <f t="shared" si="3"/>
        <v>#N/A</v>
      </c>
      <c r="E2870" s="1" t="s">
        <v>65</v>
      </c>
    </row>
    <row r="2871" ht="15.75" customHeight="1">
      <c r="A2871" s="1" t="s">
        <v>3005</v>
      </c>
      <c r="B2871" s="13" t="str">
        <f t="shared" si="1"/>
        <v>Tyler</v>
      </c>
      <c r="C2871" s="13" t="str">
        <f t="shared" si="2"/>
        <v>Gaffney</v>
      </c>
      <c r="D2871" s="13" t="str">
        <f t="shared" si="3"/>
        <v>#N/A</v>
      </c>
      <c r="E2871" s="1" t="s">
        <v>66</v>
      </c>
    </row>
    <row r="2872" ht="15.75" customHeight="1">
      <c r="A2872" s="1" t="s">
        <v>3006</v>
      </c>
      <c r="B2872" s="13" t="str">
        <f t="shared" si="1"/>
        <v>Tyler</v>
      </c>
      <c r="C2872" s="13" t="str">
        <f t="shared" si="2"/>
        <v>Goodson</v>
      </c>
      <c r="D2872" s="13" t="str">
        <f t="shared" si="3"/>
        <v>#N/A</v>
      </c>
      <c r="E2872" s="1" t="s">
        <v>66</v>
      </c>
    </row>
    <row r="2873" ht="15.75" customHeight="1">
      <c r="A2873" s="1" t="s">
        <v>101</v>
      </c>
      <c r="B2873" s="13" t="str">
        <f t="shared" si="1"/>
        <v>Tyler</v>
      </c>
      <c r="C2873" s="13" t="str">
        <f t="shared" si="2"/>
        <v>Higbee</v>
      </c>
      <c r="D2873" s="13" t="str">
        <f t="shared" si="3"/>
        <v>#N/A</v>
      </c>
      <c r="E2873" s="1" t="s">
        <v>68</v>
      </c>
    </row>
    <row r="2874" ht="15.75" customHeight="1">
      <c r="A2874" s="1" t="s">
        <v>3007</v>
      </c>
      <c r="B2874" s="13" t="str">
        <f t="shared" si="1"/>
        <v>Tyler</v>
      </c>
      <c r="C2874" s="13" t="str">
        <f t="shared" si="2"/>
        <v>Huntley</v>
      </c>
      <c r="D2874" s="13" t="str">
        <f t="shared" si="3"/>
        <v>#N/A</v>
      </c>
      <c r="E2874" s="1" t="s">
        <v>65</v>
      </c>
    </row>
    <row r="2875" ht="15.75" customHeight="1">
      <c r="A2875" s="1" t="s">
        <v>3008</v>
      </c>
      <c r="B2875" s="13" t="str">
        <f t="shared" si="1"/>
        <v>Tyler</v>
      </c>
      <c r="C2875" s="13" t="str">
        <f t="shared" si="2"/>
        <v>Johnson</v>
      </c>
      <c r="D2875" s="13" t="str">
        <f t="shared" si="3"/>
        <v>#N/A</v>
      </c>
      <c r="E2875" s="1" t="s">
        <v>69</v>
      </c>
    </row>
    <row r="2876" ht="15.75" customHeight="1">
      <c r="A2876" s="1" t="s">
        <v>3009</v>
      </c>
      <c r="B2876" s="13" t="str">
        <f t="shared" si="1"/>
        <v>Tyler</v>
      </c>
      <c r="C2876" s="13" t="str">
        <f t="shared" si="2"/>
        <v>Kroft</v>
      </c>
      <c r="D2876" s="13" t="str">
        <f t="shared" si="3"/>
        <v>#N/A</v>
      </c>
      <c r="E2876" s="1" t="s">
        <v>68</v>
      </c>
    </row>
    <row r="2877" ht="15.75" customHeight="1">
      <c r="A2877" s="1" t="s">
        <v>142</v>
      </c>
      <c r="B2877" s="13" t="str">
        <f t="shared" si="1"/>
        <v>Tyler</v>
      </c>
      <c r="C2877" s="13" t="str">
        <f t="shared" si="2"/>
        <v>Lockett</v>
      </c>
      <c r="D2877" s="13" t="str">
        <f t="shared" si="3"/>
        <v>#N/A</v>
      </c>
      <c r="E2877" s="1" t="s">
        <v>69</v>
      </c>
    </row>
    <row r="2878" ht="15.75" customHeight="1">
      <c r="A2878" s="1" t="s">
        <v>3010</v>
      </c>
      <c r="B2878" s="13" t="str">
        <f t="shared" si="1"/>
        <v>Tyler</v>
      </c>
      <c r="C2878" s="13" t="str">
        <f t="shared" si="2"/>
        <v>Petite</v>
      </c>
      <c r="D2878" s="13" t="str">
        <f t="shared" si="3"/>
        <v>#N/A</v>
      </c>
      <c r="E2878" s="1" t="s">
        <v>68</v>
      </c>
    </row>
    <row r="2879" ht="15.75" customHeight="1">
      <c r="A2879" s="1" t="s">
        <v>3011</v>
      </c>
      <c r="B2879" s="13" t="str">
        <f t="shared" si="1"/>
        <v>Tyler</v>
      </c>
      <c r="C2879" s="13" t="str">
        <f t="shared" si="2"/>
        <v>Rutenbeck</v>
      </c>
      <c r="D2879" s="13" t="str">
        <f t="shared" si="3"/>
        <v>#N/A</v>
      </c>
      <c r="E2879" s="1" t="s">
        <v>69</v>
      </c>
    </row>
    <row r="2880" ht="15.75" customHeight="1">
      <c r="A2880" s="1" t="s">
        <v>3012</v>
      </c>
      <c r="B2880" s="13" t="str">
        <f t="shared" si="1"/>
        <v>Tyler</v>
      </c>
      <c r="C2880" s="13" t="str">
        <f t="shared" si="2"/>
        <v>Shough</v>
      </c>
      <c r="D2880" s="13" t="str">
        <f t="shared" si="3"/>
        <v>#N/A</v>
      </c>
      <c r="E2880" s="1" t="s">
        <v>65</v>
      </c>
    </row>
    <row r="2881" ht="15.75" customHeight="1">
      <c r="A2881" s="1" t="s">
        <v>3013</v>
      </c>
      <c r="B2881" s="13" t="str">
        <f t="shared" si="1"/>
        <v>Tyler</v>
      </c>
      <c r="C2881" s="13" t="str">
        <f t="shared" si="2"/>
        <v>Slavin</v>
      </c>
      <c r="D2881" s="13" t="str">
        <f t="shared" si="3"/>
        <v>#N/A</v>
      </c>
      <c r="E2881" s="1" t="s">
        <v>69</v>
      </c>
    </row>
    <row r="2882" ht="15.75" customHeight="1">
      <c r="A2882" s="1" t="s">
        <v>3014</v>
      </c>
      <c r="B2882" s="13" t="str">
        <f t="shared" si="1"/>
        <v>Tyler</v>
      </c>
      <c r="C2882" s="13" t="str">
        <f t="shared" si="2"/>
        <v>Van Dyke</v>
      </c>
      <c r="D2882" s="13" t="str">
        <f t="shared" si="3"/>
        <v>#N/A</v>
      </c>
      <c r="E2882" s="1" t="s">
        <v>65</v>
      </c>
    </row>
    <row r="2883" ht="15.75" customHeight="1">
      <c r="A2883" s="1" t="s">
        <v>3015</v>
      </c>
      <c r="B2883" s="13" t="str">
        <f t="shared" si="1"/>
        <v>Tyler</v>
      </c>
      <c r="C2883" s="13" t="str">
        <f t="shared" si="2"/>
        <v>Varga</v>
      </c>
      <c r="D2883" s="13" t="str">
        <f t="shared" si="3"/>
        <v>#N/A</v>
      </c>
      <c r="E2883" s="1" t="s">
        <v>66</v>
      </c>
    </row>
    <row r="2884" ht="15.75" customHeight="1">
      <c r="A2884" s="1" t="s">
        <v>3016</v>
      </c>
      <c r="B2884" s="13" t="str">
        <f t="shared" si="1"/>
        <v>Tyler</v>
      </c>
      <c r="C2884" s="13" t="str">
        <f t="shared" si="2"/>
        <v>Vaughns</v>
      </c>
      <c r="D2884" s="13" t="str">
        <f t="shared" si="3"/>
        <v>#N/A</v>
      </c>
      <c r="E2884" s="1" t="s">
        <v>69</v>
      </c>
    </row>
    <row r="2885" ht="15.75" customHeight="1">
      <c r="A2885" s="1" t="s">
        <v>3017</v>
      </c>
      <c r="B2885" s="13" t="str">
        <f t="shared" si="1"/>
        <v>Tyler</v>
      </c>
      <c r="C2885" s="13" t="str">
        <f t="shared" si="2"/>
        <v>Wilson</v>
      </c>
      <c r="D2885" s="13" t="str">
        <f t="shared" si="3"/>
        <v>#N/A</v>
      </c>
      <c r="E2885" s="1" t="s">
        <v>65</v>
      </c>
    </row>
    <row r="2886" ht="15.75" customHeight="1">
      <c r="A2886" s="1" t="s">
        <v>3018</v>
      </c>
      <c r="B2886" s="13" t="str">
        <f t="shared" si="1"/>
        <v>Tyquan</v>
      </c>
      <c r="C2886" s="13" t="str">
        <f t="shared" si="2"/>
        <v>Thornton</v>
      </c>
      <c r="D2886" s="13" t="str">
        <f t="shared" si="3"/>
        <v>#N/A</v>
      </c>
      <c r="E2886" s="1" t="s">
        <v>69</v>
      </c>
    </row>
    <row r="2887" ht="15.75" customHeight="1">
      <c r="A2887" s="1" t="s">
        <v>3019</v>
      </c>
      <c r="B2887" s="13" t="str">
        <f t="shared" si="1"/>
        <v>Tyre</v>
      </c>
      <c r="C2887" s="13" t="str">
        <f t="shared" si="2"/>
        <v>Brady</v>
      </c>
      <c r="D2887" s="13" t="str">
        <f t="shared" si="3"/>
        <v>#N/A</v>
      </c>
      <c r="E2887" s="1" t="s">
        <v>69</v>
      </c>
    </row>
    <row r="2888" ht="15.75" customHeight="1">
      <c r="A2888" s="1" t="s">
        <v>3020</v>
      </c>
      <c r="B2888" s="13" t="str">
        <f t="shared" si="1"/>
        <v>Tyree</v>
      </c>
      <c r="C2888" s="13" t="str">
        <f t="shared" si="2"/>
        <v>Jackson</v>
      </c>
      <c r="D2888" s="13" t="str">
        <f t="shared" si="3"/>
        <v>#N/A</v>
      </c>
      <c r="E2888" s="1" t="s">
        <v>68</v>
      </c>
    </row>
    <row r="2889" ht="15.75" customHeight="1">
      <c r="A2889" s="1" t="s">
        <v>3021</v>
      </c>
      <c r="B2889" s="13" t="str">
        <f t="shared" si="1"/>
        <v>Tyree</v>
      </c>
      <c r="C2889" s="13" t="str">
        <f t="shared" si="2"/>
        <v>Mayfield</v>
      </c>
      <c r="D2889" s="13" t="str">
        <f t="shared" si="3"/>
        <v>#N/A</v>
      </c>
      <c r="E2889" s="1" t="s">
        <v>68</v>
      </c>
    </row>
    <row r="2890" ht="15.75" customHeight="1">
      <c r="A2890" s="1" t="s">
        <v>339</v>
      </c>
      <c r="B2890" s="13" t="str">
        <f t="shared" si="1"/>
        <v>Tyreek</v>
      </c>
      <c r="C2890" s="13" t="str">
        <f t="shared" si="2"/>
        <v>Hill</v>
      </c>
      <c r="D2890" s="13" t="str">
        <f t="shared" si="3"/>
        <v>#N/A</v>
      </c>
      <c r="E2890" s="1" t="s">
        <v>69</v>
      </c>
    </row>
    <row r="2891" ht="15.75" customHeight="1">
      <c r="A2891" s="1" t="s">
        <v>3022</v>
      </c>
      <c r="B2891" s="13" t="str">
        <f t="shared" si="1"/>
        <v>Tyreik</v>
      </c>
      <c r="C2891" s="13" t="str">
        <f t="shared" si="2"/>
        <v>McAllister</v>
      </c>
      <c r="D2891" s="13" t="str">
        <f t="shared" si="3"/>
        <v>#N/A</v>
      </c>
      <c r="E2891" s="1" t="s">
        <v>66</v>
      </c>
    </row>
    <row r="2892" ht="15.75" customHeight="1">
      <c r="A2892" s="1" t="s">
        <v>91</v>
      </c>
      <c r="B2892" s="13" t="str">
        <f t="shared" si="1"/>
        <v>Tyrell</v>
      </c>
      <c r="C2892" s="13" t="str">
        <f t="shared" si="2"/>
        <v>Williams</v>
      </c>
      <c r="D2892" s="13" t="str">
        <f t="shared" si="3"/>
        <v>#N/A</v>
      </c>
      <c r="E2892" s="1" t="s">
        <v>69</v>
      </c>
    </row>
    <row r="2893" ht="15.75" customHeight="1">
      <c r="A2893" s="1" t="s">
        <v>3023</v>
      </c>
      <c r="B2893" s="13" t="str">
        <f t="shared" si="1"/>
        <v>Tyrie</v>
      </c>
      <c r="C2893" s="13" t="str">
        <f t="shared" si="2"/>
        <v>Cleveland</v>
      </c>
      <c r="D2893" s="13" t="str">
        <f t="shared" si="3"/>
        <v>#N/A</v>
      </c>
      <c r="E2893" s="1" t="s">
        <v>69</v>
      </c>
    </row>
    <row r="2894" ht="15.75" customHeight="1">
      <c r="A2894" s="1" t="s">
        <v>3024</v>
      </c>
      <c r="B2894" s="13" t="str">
        <f t="shared" si="1"/>
        <v>Tyrion</v>
      </c>
      <c r="C2894" s="13" t="str">
        <f t="shared" si="2"/>
        <v>Davis-Price</v>
      </c>
      <c r="D2894" s="13" t="str">
        <f t="shared" si="3"/>
        <v>#N/A</v>
      </c>
      <c r="E2894" s="1" t="s">
        <v>66</v>
      </c>
    </row>
    <row r="2895" ht="15.75" customHeight="1">
      <c r="A2895" s="1" t="s">
        <v>1695</v>
      </c>
      <c r="B2895" s="13" t="str">
        <f t="shared" si="1"/>
        <v>Tyrod</v>
      </c>
      <c r="C2895" s="13" t="str">
        <f t="shared" si="2"/>
        <v>Taylor</v>
      </c>
      <c r="D2895" s="13" t="str">
        <f t="shared" si="3"/>
        <v>#N/A</v>
      </c>
      <c r="E2895" s="1" t="s">
        <v>65</v>
      </c>
    </row>
    <row r="2896" ht="15.75" customHeight="1">
      <c r="A2896" s="1" t="s">
        <v>3025</v>
      </c>
      <c r="B2896" s="13" t="str">
        <f t="shared" si="1"/>
        <v>Tyron</v>
      </c>
      <c r="C2896" s="13" t="str">
        <f t="shared" si="2"/>
        <v>Johnson</v>
      </c>
      <c r="D2896" s="13" t="str">
        <f t="shared" si="3"/>
        <v>#N/A</v>
      </c>
      <c r="E2896" s="1" t="s">
        <v>69</v>
      </c>
    </row>
    <row r="2897" ht="15.75" customHeight="1">
      <c r="A2897" s="1" t="s">
        <v>3026</v>
      </c>
      <c r="B2897" s="13" t="str">
        <f t="shared" si="1"/>
        <v>Tyrone</v>
      </c>
      <c r="C2897" s="13" t="str">
        <f t="shared" si="2"/>
        <v>Swoopes</v>
      </c>
      <c r="D2897" s="13" t="str">
        <f t="shared" si="3"/>
        <v>#N/A</v>
      </c>
      <c r="E2897" s="1" t="s">
        <v>68</v>
      </c>
    </row>
    <row r="2898" ht="15.75" customHeight="1">
      <c r="A2898" s="1" t="s">
        <v>3027</v>
      </c>
      <c r="B2898" s="13" t="str">
        <f t="shared" si="1"/>
        <v>Tyson</v>
      </c>
      <c r="C2898" s="13" t="str">
        <f t="shared" si="2"/>
        <v>Morris</v>
      </c>
      <c r="D2898" s="13" t="str">
        <f t="shared" si="3"/>
        <v>#N/A</v>
      </c>
      <c r="E2898" s="1" t="s">
        <v>69</v>
      </c>
    </row>
    <row r="2899" ht="15.75" customHeight="1">
      <c r="A2899" s="1" t="s">
        <v>206</v>
      </c>
      <c r="B2899" s="13" t="str">
        <f t="shared" si="1"/>
        <v>Ty'Son</v>
      </c>
      <c r="C2899" s="13" t="str">
        <f t="shared" si="2"/>
        <v>Williams</v>
      </c>
      <c r="D2899" s="13" t="str">
        <f t="shared" si="3"/>
        <v>#N/A</v>
      </c>
      <c r="E2899" s="1" t="s">
        <v>66</v>
      </c>
    </row>
    <row r="2900" ht="15.75" customHeight="1">
      <c r="A2900" s="1" t="s">
        <v>3028</v>
      </c>
      <c r="B2900" s="13" t="str">
        <f t="shared" si="1"/>
        <v>Valentine</v>
      </c>
      <c r="C2900" s="13" t="str">
        <f t="shared" si="2"/>
        <v>Holmes</v>
      </c>
      <c r="D2900" s="13" t="str">
        <f t="shared" si="3"/>
        <v>#N/A</v>
      </c>
      <c r="E2900" s="1" t="s">
        <v>66</v>
      </c>
    </row>
    <row r="2901" ht="15.75" customHeight="1">
      <c r="A2901" s="1" t="s">
        <v>3029</v>
      </c>
      <c r="B2901" s="13" t="str">
        <f t="shared" si="1"/>
        <v>Van</v>
      </c>
      <c r="C2901" s="13" t="str">
        <f t="shared" si="2"/>
        <v>Jefferson</v>
      </c>
      <c r="D2901" s="13" t="str">
        <f t="shared" si="3"/>
        <v>#N/A</v>
      </c>
      <c r="E2901" s="1" t="s">
        <v>69</v>
      </c>
    </row>
    <row r="2902" ht="15.75" customHeight="1">
      <c r="A2902" s="1" t="s">
        <v>1151</v>
      </c>
      <c r="B2902" s="13" t="str">
        <f t="shared" si="1"/>
        <v>Vance</v>
      </c>
      <c r="C2902" s="13" t="str">
        <f t="shared" si="2"/>
        <v>McDonald</v>
      </c>
      <c r="D2902" s="13" t="str">
        <f t="shared" si="3"/>
        <v>#N/A</v>
      </c>
      <c r="E2902" s="1" t="s">
        <v>68</v>
      </c>
    </row>
    <row r="2903" ht="15.75" customHeight="1">
      <c r="A2903" s="1" t="s">
        <v>3030</v>
      </c>
      <c r="B2903" s="13" t="str">
        <f t="shared" si="1"/>
        <v>Vavae</v>
      </c>
      <c r="C2903" s="13" t="str">
        <f t="shared" si="2"/>
        <v>Malepeai</v>
      </c>
      <c r="D2903" s="13" t="str">
        <f t="shared" si="3"/>
        <v>#N/A</v>
      </c>
      <c r="E2903" s="1" t="s">
        <v>66</v>
      </c>
    </row>
    <row r="2904" ht="15.75" customHeight="1">
      <c r="A2904" s="1" t="s">
        <v>3031</v>
      </c>
      <c r="B2904" s="13" t="str">
        <f t="shared" si="1"/>
        <v>Velus</v>
      </c>
      <c r="C2904" s="13" t="str">
        <f t="shared" si="2"/>
        <v>Jones</v>
      </c>
      <c r="D2904" s="13" t="str">
        <f t="shared" si="3"/>
        <v>#N/A</v>
      </c>
      <c r="E2904" s="1" t="s">
        <v>69</v>
      </c>
    </row>
    <row r="2905" ht="15.75" customHeight="1">
      <c r="A2905" s="1" t="s">
        <v>3032</v>
      </c>
      <c r="B2905" s="13" t="str">
        <f t="shared" si="1"/>
        <v>Ventell</v>
      </c>
      <c r="C2905" s="13" t="str">
        <f t="shared" si="2"/>
        <v>Bryant</v>
      </c>
      <c r="D2905" s="13" t="str">
        <f t="shared" si="3"/>
        <v>#N/A</v>
      </c>
      <c r="E2905" s="1" t="s">
        <v>69</v>
      </c>
    </row>
    <row r="2906" ht="15.75" customHeight="1">
      <c r="A2906" s="1" t="s">
        <v>1555</v>
      </c>
      <c r="B2906" s="13" t="str">
        <f t="shared" si="1"/>
        <v>Vernon</v>
      </c>
      <c r="C2906" s="13" t="str">
        <f t="shared" si="2"/>
        <v>Davis</v>
      </c>
      <c r="D2906" s="13" t="str">
        <f t="shared" si="3"/>
        <v>#N/A</v>
      </c>
      <c r="E2906" s="1" t="s">
        <v>68</v>
      </c>
    </row>
    <row r="2907" ht="15.75" customHeight="1">
      <c r="A2907" s="1" t="s">
        <v>3033</v>
      </c>
      <c r="B2907" s="13" t="str">
        <f t="shared" si="1"/>
        <v>Vernon</v>
      </c>
      <c r="C2907" s="13" t="str">
        <f t="shared" si="2"/>
        <v>Johnson</v>
      </c>
      <c r="D2907" s="13" t="str">
        <f t="shared" si="3"/>
        <v>#N/A</v>
      </c>
      <c r="E2907" s="1" t="s">
        <v>69</v>
      </c>
    </row>
    <row r="2908" ht="15.75" customHeight="1">
      <c r="A2908" s="1" t="s">
        <v>3034</v>
      </c>
      <c r="B2908" s="13" t="str">
        <f t="shared" si="1"/>
        <v>Vick</v>
      </c>
      <c r="C2908" s="13" t="str">
        <f t="shared" si="2"/>
        <v>Ballard</v>
      </c>
      <c r="D2908" s="13" t="str">
        <f t="shared" si="3"/>
        <v>#N/A</v>
      </c>
      <c r="E2908" s="1" t="s">
        <v>66</v>
      </c>
    </row>
    <row r="2909" ht="15.75" customHeight="1">
      <c r="A2909" s="1" t="s">
        <v>3035</v>
      </c>
      <c r="B2909" s="13" t="str">
        <f t="shared" si="1"/>
        <v>Victor</v>
      </c>
      <c r="C2909" s="13" t="str">
        <f t="shared" si="2"/>
        <v>Bolden</v>
      </c>
      <c r="D2909" s="13" t="str">
        <f t="shared" si="3"/>
        <v>#N/A</v>
      </c>
      <c r="E2909" s="1" t="s">
        <v>69</v>
      </c>
    </row>
    <row r="2910" ht="15.75" customHeight="1">
      <c r="A2910" s="1" t="s">
        <v>3036</v>
      </c>
      <c r="B2910" s="13" t="str">
        <f t="shared" si="1"/>
        <v>Victor</v>
      </c>
      <c r="C2910" s="13" t="str">
        <f t="shared" si="2"/>
        <v>Cruz</v>
      </c>
      <c r="D2910" s="13" t="str">
        <f t="shared" si="3"/>
        <v>#N/A</v>
      </c>
      <c r="E2910" s="1" t="s">
        <v>69</v>
      </c>
    </row>
    <row r="2911" ht="15.75" customHeight="1">
      <c r="A2911" s="1" t="s">
        <v>3037</v>
      </c>
      <c r="B2911" s="13" t="str">
        <f t="shared" si="1"/>
        <v>Vince</v>
      </c>
      <c r="C2911" s="13" t="str">
        <f t="shared" si="2"/>
        <v>Mayle</v>
      </c>
      <c r="D2911" s="13" t="str">
        <f t="shared" si="3"/>
        <v>#N/A</v>
      </c>
      <c r="E2911" s="1" t="s">
        <v>68</v>
      </c>
    </row>
    <row r="2912" ht="15.75" customHeight="1">
      <c r="A2912" s="1" t="s">
        <v>3038</v>
      </c>
      <c r="B2912" s="13" t="str">
        <f t="shared" si="1"/>
        <v>Vince</v>
      </c>
      <c r="C2912" s="13" t="str">
        <f t="shared" si="2"/>
        <v>Papale</v>
      </c>
      <c r="D2912" s="13" t="str">
        <f t="shared" si="3"/>
        <v>#N/A</v>
      </c>
      <c r="E2912" s="1" t="s">
        <v>69</v>
      </c>
    </row>
    <row r="2913" ht="15.75" customHeight="1">
      <c r="A2913" s="1" t="s">
        <v>3039</v>
      </c>
      <c r="B2913" s="13" t="str">
        <f t="shared" si="1"/>
        <v>Vincent</v>
      </c>
      <c r="C2913" s="13" t="str">
        <f t="shared" si="2"/>
        <v>Brown</v>
      </c>
      <c r="D2913" s="13" t="str">
        <f t="shared" si="3"/>
        <v>#N/A</v>
      </c>
      <c r="E2913" s="1" t="s">
        <v>69</v>
      </c>
    </row>
    <row r="2914" ht="15.75" customHeight="1">
      <c r="A2914" s="1" t="s">
        <v>1838</v>
      </c>
      <c r="B2914" s="13" t="str">
        <f t="shared" si="1"/>
        <v>Vincent</v>
      </c>
      <c r="C2914" s="13" t="str">
        <f t="shared" si="2"/>
        <v>Jackson</v>
      </c>
      <c r="D2914" s="13" t="str">
        <f t="shared" si="3"/>
        <v>#N/A</v>
      </c>
      <c r="E2914" s="1" t="s">
        <v>69</v>
      </c>
    </row>
    <row r="2915" ht="15.75" customHeight="1">
      <c r="A2915" s="1" t="s">
        <v>3040</v>
      </c>
      <c r="B2915" s="13" t="str">
        <f t="shared" si="1"/>
        <v>Virgil</v>
      </c>
      <c r="C2915" s="13" t="str">
        <f t="shared" si="2"/>
        <v>Green</v>
      </c>
      <c r="D2915" s="13" t="str">
        <f t="shared" si="3"/>
        <v>#N/A</v>
      </c>
      <c r="E2915" s="1" t="s">
        <v>68</v>
      </c>
    </row>
    <row r="2916" ht="15.75" customHeight="1">
      <c r="A2916" s="1" t="s">
        <v>3041</v>
      </c>
      <c r="B2916" s="13" t="str">
        <f t="shared" si="1"/>
        <v>Vyncint</v>
      </c>
      <c r="C2916" s="13" t="str">
        <f t="shared" si="2"/>
        <v>Smith</v>
      </c>
      <c r="D2916" s="13" t="str">
        <f t="shared" si="3"/>
        <v>#N/A</v>
      </c>
      <c r="E2916" s="1" t="s">
        <v>69</v>
      </c>
    </row>
    <row r="2917" ht="15.75" customHeight="1">
      <c r="A2917" s="1" t="s">
        <v>3042</v>
      </c>
      <c r="B2917" s="13" t="str">
        <f t="shared" si="1"/>
        <v>Walter</v>
      </c>
      <c r="C2917" s="13" t="str">
        <f t="shared" si="2"/>
        <v>Powell</v>
      </c>
      <c r="D2917" s="13" t="str">
        <f t="shared" si="3"/>
        <v>#N/A</v>
      </c>
      <c r="E2917" s="1" t="s">
        <v>69</v>
      </c>
    </row>
    <row r="2918" ht="15.75" customHeight="1">
      <c r="A2918" s="1" t="s">
        <v>3043</v>
      </c>
      <c r="B2918" s="13" t="str">
        <f t="shared" si="1"/>
        <v>Wan'Dale</v>
      </c>
      <c r="C2918" s="13" t="str">
        <f t="shared" si="2"/>
        <v>Robinson</v>
      </c>
      <c r="D2918" s="13" t="str">
        <f t="shared" si="3"/>
        <v>#N/A</v>
      </c>
      <c r="E2918" s="1" t="s">
        <v>69</v>
      </c>
    </row>
    <row r="2919" ht="15.75" customHeight="1">
      <c r="A2919" s="1" t="s">
        <v>3044</v>
      </c>
      <c r="B2919" s="13" t="str">
        <f t="shared" si="1"/>
        <v>Warren</v>
      </c>
      <c r="C2919" s="13" t="str">
        <f t="shared" si="2"/>
        <v>Jackson</v>
      </c>
      <c r="D2919" s="13" t="str">
        <f t="shared" si="3"/>
        <v>#N/A</v>
      </c>
      <c r="E2919" s="1" t="s">
        <v>69</v>
      </c>
    </row>
    <row r="2920" ht="15.75" customHeight="1">
      <c r="A2920" s="1" t="s">
        <v>3045</v>
      </c>
      <c r="B2920" s="13" t="str">
        <f t="shared" si="1"/>
        <v>Warren</v>
      </c>
      <c r="C2920" s="13" t="str">
        <f t="shared" si="2"/>
        <v>Thompson</v>
      </c>
      <c r="D2920" s="13" t="str">
        <f t="shared" si="3"/>
        <v>#N/A</v>
      </c>
      <c r="E2920" s="1" t="s">
        <v>69</v>
      </c>
    </row>
    <row r="2921" ht="15.75" customHeight="1">
      <c r="A2921" s="1" t="s">
        <v>3046</v>
      </c>
      <c r="B2921" s="13" t="str">
        <f t="shared" si="1"/>
        <v>Warren</v>
      </c>
      <c r="C2921" s="13" t="str">
        <f t="shared" si="2"/>
        <v>Wand</v>
      </c>
      <c r="D2921" s="13" t="str">
        <f t="shared" si="3"/>
        <v>#N/A</v>
      </c>
      <c r="E2921" s="1" t="s">
        <v>66</v>
      </c>
    </row>
    <row r="2922" ht="15.75" customHeight="1">
      <c r="A2922" s="1" t="s">
        <v>192</v>
      </c>
      <c r="B2922" s="13" t="str">
        <f t="shared" si="1"/>
        <v>#VALUE!</v>
      </c>
      <c r="C2922" s="13" t="str">
        <f t="shared" si="2"/>
        <v>#VALUE!</v>
      </c>
      <c r="D2922" s="13" t="str">
        <f t="shared" si="3"/>
        <v>#N/A</v>
      </c>
      <c r="E2922" s="1" t="s">
        <v>63</v>
      </c>
    </row>
    <row r="2923" ht="15.75" customHeight="1">
      <c r="A2923" s="1" t="s">
        <v>3047</v>
      </c>
      <c r="B2923" s="13" t="str">
        <f t="shared" si="1"/>
        <v>Wayne</v>
      </c>
      <c r="C2923" s="13" t="str">
        <f t="shared" si="2"/>
        <v>Gallman</v>
      </c>
      <c r="D2923" s="13" t="str">
        <f t="shared" si="3"/>
        <v>#N/A</v>
      </c>
      <c r="E2923" s="1" t="s">
        <v>66</v>
      </c>
    </row>
    <row r="2924" ht="15.75" customHeight="1">
      <c r="A2924" s="1" t="s">
        <v>3048</v>
      </c>
      <c r="B2924" s="13" t="str">
        <f t="shared" si="1"/>
        <v>Wendall</v>
      </c>
      <c r="C2924" s="13" t="str">
        <f t="shared" si="2"/>
        <v>Williams</v>
      </c>
      <c r="D2924" s="13" t="str">
        <f t="shared" si="3"/>
        <v>#N/A</v>
      </c>
      <c r="E2924" s="1" t="s">
        <v>69</v>
      </c>
    </row>
    <row r="2925" ht="15.75" customHeight="1">
      <c r="A2925" s="1" t="s">
        <v>1623</v>
      </c>
      <c r="B2925" s="13" t="str">
        <f t="shared" si="1"/>
        <v>Wendell</v>
      </c>
      <c r="C2925" s="13" t="str">
        <f t="shared" si="2"/>
        <v>Smallwood</v>
      </c>
      <c r="D2925" s="13" t="str">
        <f t="shared" si="3"/>
        <v>#N/A</v>
      </c>
      <c r="E2925" s="1" t="s">
        <v>66</v>
      </c>
    </row>
    <row r="2926" ht="15.75" customHeight="1">
      <c r="A2926" s="1" t="s">
        <v>3049</v>
      </c>
      <c r="B2926" s="13" t="str">
        <f t="shared" si="1"/>
        <v>Wes</v>
      </c>
      <c r="C2926" s="13" t="str">
        <f t="shared" si="2"/>
        <v>Hills</v>
      </c>
      <c r="D2926" s="13" t="str">
        <f t="shared" si="3"/>
        <v>#N/A</v>
      </c>
      <c r="E2926" s="1" t="s">
        <v>66</v>
      </c>
    </row>
    <row r="2927" ht="15.75" customHeight="1">
      <c r="A2927" s="1" t="s">
        <v>3050</v>
      </c>
      <c r="B2927" s="13" t="str">
        <f t="shared" si="1"/>
        <v>Wes</v>
      </c>
      <c r="C2927" s="13" t="str">
        <f t="shared" si="2"/>
        <v>Lunt</v>
      </c>
      <c r="D2927" s="13" t="str">
        <f t="shared" si="3"/>
        <v>#N/A</v>
      </c>
      <c r="E2927" s="1" t="s">
        <v>65</v>
      </c>
    </row>
    <row r="2928" ht="15.75" customHeight="1">
      <c r="A2928" s="1" t="s">
        <v>3051</v>
      </c>
      <c r="B2928" s="13" t="str">
        <f t="shared" si="1"/>
        <v>Wes</v>
      </c>
      <c r="C2928" s="13" t="str">
        <f t="shared" si="2"/>
        <v>Saxton</v>
      </c>
      <c r="D2928" s="13" t="str">
        <f t="shared" si="3"/>
        <v>#N/A</v>
      </c>
      <c r="E2928" s="1" t="s">
        <v>68</v>
      </c>
    </row>
    <row r="2929" ht="15.75" customHeight="1">
      <c r="A2929" s="1" t="s">
        <v>3052</v>
      </c>
      <c r="B2929" s="13" t="str">
        <f t="shared" si="1"/>
        <v>Wes</v>
      </c>
      <c r="C2929" s="13" t="str">
        <f t="shared" si="2"/>
        <v>Welker</v>
      </c>
      <c r="D2929" s="13" t="str">
        <f t="shared" si="3"/>
        <v>#N/A</v>
      </c>
      <c r="E2929" s="1" t="s">
        <v>69</v>
      </c>
    </row>
    <row r="2930" ht="15.75" customHeight="1">
      <c r="A2930" s="1" t="s">
        <v>3053</v>
      </c>
      <c r="B2930" s="13" t="str">
        <f t="shared" si="1"/>
        <v>Wesley</v>
      </c>
      <c r="C2930" s="13" t="str">
        <f t="shared" si="2"/>
        <v>Fields</v>
      </c>
      <c r="D2930" s="13" t="str">
        <f t="shared" si="3"/>
        <v>#N/A</v>
      </c>
      <c r="E2930" s="1" t="s">
        <v>66</v>
      </c>
    </row>
    <row r="2931" ht="15.75" customHeight="1">
      <c r="A2931" s="1" t="s">
        <v>3054</v>
      </c>
      <c r="B2931" s="13" t="str">
        <f t="shared" si="1"/>
        <v>Whop</v>
      </c>
      <c r="C2931" s="13" t="str">
        <f t="shared" si="2"/>
        <v>Philyor</v>
      </c>
      <c r="D2931" s="13" t="str">
        <f t="shared" si="3"/>
        <v>#N/A</v>
      </c>
      <c r="E2931" s="1" t="s">
        <v>69</v>
      </c>
    </row>
    <row r="2932" ht="15.75" customHeight="1">
      <c r="A2932" s="1" t="s">
        <v>665</v>
      </c>
      <c r="B2932" s="13" t="str">
        <f t="shared" si="1"/>
        <v>Wil</v>
      </c>
      <c r="C2932" s="13" t="str">
        <f t="shared" si="2"/>
        <v>Lutz</v>
      </c>
      <c r="D2932" s="13" t="str">
        <f t="shared" si="3"/>
        <v>#N/A</v>
      </c>
      <c r="E2932" s="1" t="s">
        <v>64</v>
      </c>
    </row>
    <row r="2933" ht="15.75" customHeight="1">
      <c r="A2933" s="1" t="s">
        <v>1586</v>
      </c>
      <c r="B2933" s="13" t="str">
        <f t="shared" si="1"/>
        <v>Wil</v>
      </c>
      <c r="C2933" s="13" t="str">
        <f t="shared" si="2"/>
        <v>Lutz</v>
      </c>
      <c r="D2933" s="13" t="str">
        <f t="shared" si="3"/>
        <v>#N/A</v>
      </c>
      <c r="E2933" s="1" t="s">
        <v>64</v>
      </c>
    </row>
    <row r="2934" ht="15.75" customHeight="1">
      <c r="A2934" s="1" t="s">
        <v>3055</v>
      </c>
      <c r="B2934" s="13" t="str">
        <f t="shared" si="1"/>
        <v>Will</v>
      </c>
      <c r="C2934" s="13" t="str">
        <f t="shared" si="2"/>
        <v>Dissly</v>
      </c>
      <c r="D2934" s="13" t="str">
        <f t="shared" si="3"/>
        <v>#N/A</v>
      </c>
      <c r="E2934" s="1" t="s">
        <v>68</v>
      </c>
    </row>
    <row r="2935" ht="15.75" customHeight="1">
      <c r="A2935" s="1" t="s">
        <v>3056</v>
      </c>
      <c r="B2935" s="13" t="str">
        <f t="shared" si="1"/>
        <v>Will</v>
      </c>
      <c r="C2935" s="13" t="str">
        <f t="shared" si="2"/>
        <v>Fuller</v>
      </c>
      <c r="D2935" s="13" t="str">
        <f t="shared" si="3"/>
        <v>#N/A</v>
      </c>
      <c r="E2935" s="1" t="s">
        <v>69</v>
      </c>
    </row>
    <row r="2936" ht="15.75" customHeight="1">
      <c r="A2936" s="1" t="s">
        <v>3057</v>
      </c>
      <c r="B2936" s="13" t="str">
        <f t="shared" si="1"/>
        <v>Will</v>
      </c>
      <c r="C2936" s="13" t="str">
        <f t="shared" si="2"/>
        <v>Grier</v>
      </c>
      <c r="D2936" s="13" t="str">
        <f t="shared" si="3"/>
        <v>#N/A</v>
      </c>
      <c r="E2936" s="1" t="s">
        <v>65</v>
      </c>
    </row>
    <row r="2937" ht="15.75" customHeight="1">
      <c r="A2937" s="1" t="s">
        <v>3058</v>
      </c>
      <c r="B2937" s="13" t="str">
        <f t="shared" si="1"/>
        <v>Will</v>
      </c>
      <c r="C2937" s="13" t="str">
        <f t="shared" si="2"/>
        <v>Levis</v>
      </c>
      <c r="D2937" s="13" t="str">
        <f t="shared" si="3"/>
        <v>#N/A</v>
      </c>
      <c r="E2937" s="1" t="s">
        <v>65</v>
      </c>
    </row>
    <row r="2938" ht="15.75" customHeight="1">
      <c r="A2938" s="1" t="s">
        <v>3059</v>
      </c>
      <c r="B2938" s="13" t="str">
        <f t="shared" si="1"/>
        <v>Will</v>
      </c>
      <c r="C2938" s="13" t="str">
        <f t="shared" si="2"/>
        <v>Mallory</v>
      </c>
      <c r="D2938" s="13" t="str">
        <f t="shared" si="3"/>
        <v>#N/A</v>
      </c>
      <c r="E2938" s="1" t="s">
        <v>68</v>
      </c>
    </row>
    <row r="2939" ht="15.75" customHeight="1">
      <c r="A2939" s="1" t="s">
        <v>3060</v>
      </c>
      <c r="B2939" s="13" t="str">
        <f t="shared" si="1"/>
        <v>Will</v>
      </c>
      <c r="C2939" s="13" t="str">
        <f t="shared" si="2"/>
        <v>Rogers</v>
      </c>
      <c r="D2939" s="13" t="str">
        <f t="shared" si="3"/>
        <v>#N/A</v>
      </c>
      <c r="E2939" s="1" t="s">
        <v>65</v>
      </c>
    </row>
    <row r="2940" ht="15.75" customHeight="1">
      <c r="A2940" s="1" t="s">
        <v>3061</v>
      </c>
      <c r="B2940" s="13" t="str">
        <f t="shared" si="1"/>
        <v>Will</v>
      </c>
      <c r="C2940" s="13" t="str">
        <f t="shared" si="2"/>
        <v>Shipley</v>
      </c>
      <c r="D2940" s="13" t="str">
        <f t="shared" si="3"/>
        <v>#N/A</v>
      </c>
      <c r="E2940" s="1" t="s">
        <v>66</v>
      </c>
    </row>
    <row r="2941" ht="15.75" customHeight="1">
      <c r="A2941" s="1" t="s">
        <v>3062</v>
      </c>
      <c r="B2941" s="13" t="str">
        <f t="shared" si="1"/>
        <v>Will</v>
      </c>
      <c r="C2941" s="13" t="str">
        <f t="shared" si="2"/>
        <v>Tye</v>
      </c>
      <c r="D2941" s="13" t="str">
        <f t="shared" si="3"/>
        <v>#N/A</v>
      </c>
      <c r="E2941" s="1" t="s">
        <v>68</v>
      </c>
    </row>
    <row r="2942" ht="15.75" customHeight="1">
      <c r="A2942" s="1" t="s">
        <v>3063</v>
      </c>
      <c r="B2942" s="13" t="str">
        <f t="shared" si="1"/>
        <v>William</v>
      </c>
      <c r="C2942" s="13" t="str">
        <f t="shared" si="2"/>
        <v>Stanback</v>
      </c>
      <c r="D2942" s="13" t="str">
        <f t="shared" si="3"/>
        <v>#N/A</v>
      </c>
      <c r="E2942" s="1" t="s">
        <v>66</v>
      </c>
    </row>
    <row r="2943" ht="15.75" customHeight="1">
      <c r="A2943" s="1" t="s">
        <v>3064</v>
      </c>
      <c r="B2943" s="13" t="str">
        <f t="shared" si="1"/>
        <v>Willie</v>
      </c>
      <c r="C2943" s="13" t="str">
        <f t="shared" si="2"/>
        <v>Snead</v>
      </c>
      <c r="D2943" s="13" t="str">
        <f t="shared" si="3"/>
        <v>#N/A</v>
      </c>
      <c r="E2943" s="1" t="s">
        <v>69</v>
      </c>
    </row>
    <row r="2944" ht="15.75" customHeight="1">
      <c r="A2944" s="1" t="s">
        <v>3065</v>
      </c>
      <c r="B2944" s="13" t="str">
        <f t="shared" si="1"/>
        <v>Xavier</v>
      </c>
      <c r="C2944" s="13" t="str">
        <f t="shared" si="2"/>
        <v>Grimble</v>
      </c>
      <c r="D2944" s="13" t="str">
        <f t="shared" si="3"/>
        <v>#N/A</v>
      </c>
      <c r="E2944" s="1" t="s">
        <v>68</v>
      </c>
    </row>
    <row r="2945" ht="15.75" customHeight="1">
      <c r="A2945" s="1" t="s">
        <v>3066</v>
      </c>
      <c r="B2945" s="13" t="str">
        <f t="shared" si="1"/>
        <v>Xavier</v>
      </c>
      <c r="C2945" s="13" t="str">
        <f t="shared" si="2"/>
        <v>Hutchinson</v>
      </c>
      <c r="D2945" s="13" t="str">
        <f t="shared" si="3"/>
        <v>#N/A</v>
      </c>
      <c r="E2945" s="1" t="s">
        <v>69</v>
      </c>
    </row>
    <row r="2946" ht="15.75" customHeight="1">
      <c r="A2946" s="1" t="s">
        <v>3067</v>
      </c>
      <c r="B2946" s="13" t="str">
        <f t="shared" si="1"/>
        <v>Xavier</v>
      </c>
      <c r="C2946" s="13" t="str">
        <f t="shared" si="2"/>
        <v>Jones</v>
      </c>
      <c r="D2946" s="13" t="str">
        <f t="shared" si="3"/>
        <v>#N/A</v>
      </c>
      <c r="E2946" s="1" t="s">
        <v>66</v>
      </c>
    </row>
    <row r="2947" ht="15.75" customHeight="1">
      <c r="A2947" s="1" t="s">
        <v>3068</v>
      </c>
      <c r="B2947" s="13" t="str">
        <f t="shared" si="1"/>
        <v>Xavier</v>
      </c>
      <c r="C2947" s="13" t="str">
        <f t="shared" si="2"/>
        <v>Turner</v>
      </c>
      <c r="D2947" s="13" t="str">
        <f t="shared" si="3"/>
        <v>#N/A</v>
      </c>
      <c r="E2947" s="1" t="s">
        <v>66</v>
      </c>
    </row>
    <row r="2948" ht="15.75" customHeight="1">
      <c r="A2948" s="1" t="s">
        <v>3069</v>
      </c>
      <c r="B2948" s="13" t="str">
        <f t="shared" si="1"/>
        <v>Xavier</v>
      </c>
      <c r="C2948" s="13" t="str">
        <f t="shared" si="2"/>
        <v>Ubosi</v>
      </c>
      <c r="D2948" s="13" t="str">
        <f t="shared" si="3"/>
        <v>#N/A</v>
      </c>
      <c r="E2948" s="1" t="s">
        <v>69</v>
      </c>
    </row>
    <row r="2949" ht="15.75" customHeight="1">
      <c r="A2949" s="1" t="s">
        <v>3070</v>
      </c>
      <c r="B2949" s="13" t="str">
        <f t="shared" si="1"/>
        <v>Xavier</v>
      </c>
      <c r="C2949" s="13" t="str">
        <f t="shared" si="2"/>
        <v>Worthy</v>
      </c>
      <c r="D2949" s="13" t="str">
        <f t="shared" si="3"/>
        <v>#N/A</v>
      </c>
      <c r="E2949" s="1" t="s">
        <v>69</v>
      </c>
    </row>
    <row r="2950" ht="15.75" customHeight="1">
      <c r="A2950" s="1" t="s">
        <v>3071</v>
      </c>
      <c r="B2950" s="13" t="str">
        <f t="shared" si="1"/>
        <v>Xazavian</v>
      </c>
      <c r="C2950" s="13" t="str">
        <f t="shared" si="2"/>
        <v>Valladay</v>
      </c>
      <c r="D2950" s="13" t="str">
        <f t="shared" si="3"/>
        <v>#N/A</v>
      </c>
      <c r="E2950" s="1" t="s">
        <v>66</v>
      </c>
    </row>
    <row r="2951" ht="15.75" customHeight="1">
      <c r="A2951" s="1" t="s">
        <v>3072</v>
      </c>
      <c r="B2951" s="13" t="str">
        <f t="shared" si="1"/>
        <v>Xzavier</v>
      </c>
      <c r="C2951" s="13" t="str">
        <f t="shared" si="2"/>
        <v>Henderson</v>
      </c>
      <c r="D2951" s="13" t="str">
        <f t="shared" si="3"/>
        <v>#N/A</v>
      </c>
      <c r="E2951" s="1" t="s">
        <v>69</v>
      </c>
    </row>
    <row r="2952" ht="15.75" customHeight="1">
      <c r="A2952" s="1" t="s">
        <v>249</v>
      </c>
      <c r="B2952" s="13" t="str">
        <f t="shared" si="1"/>
        <v>Younghoe</v>
      </c>
      <c r="C2952" s="13" t="str">
        <f t="shared" si="2"/>
        <v>Koo</v>
      </c>
      <c r="D2952" s="13" t="str">
        <f t="shared" si="3"/>
        <v>#N/A</v>
      </c>
      <c r="E2952" s="1" t="s">
        <v>64</v>
      </c>
    </row>
    <row r="2953" ht="15.75" customHeight="1">
      <c r="A2953" s="1" t="s">
        <v>3073</v>
      </c>
      <c r="B2953" s="13" t="str">
        <f t="shared" si="1"/>
        <v>Zac</v>
      </c>
      <c r="C2953" s="13" t="str">
        <f t="shared" si="2"/>
        <v>Brooks</v>
      </c>
      <c r="D2953" s="13" t="str">
        <f t="shared" si="3"/>
        <v>#N/A</v>
      </c>
      <c r="E2953" s="1" t="s">
        <v>66</v>
      </c>
    </row>
    <row r="2954" ht="15.75" customHeight="1">
      <c r="A2954" s="1" t="s">
        <v>3074</v>
      </c>
      <c r="B2954" s="13" t="str">
        <f t="shared" si="1"/>
        <v>Zac</v>
      </c>
      <c r="C2954" s="13" t="str">
        <f t="shared" si="2"/>
        <v>Dysert</v>
      </c>
      <c r="D2954" s="13" t="str">
        <f t="shared" si="3"/>
        <v>#N/A</v>
      </c>
      <c r="E2954" s="1" t="s">
        <v>65</v>
      </c>
    </row>
    <row r="2955" ht="15.75" customHeight="1">
      <c r="A2955" s="1" t="s">
        <v>3075</v>
      </c>
      <c r="B2955" s="13" t="str">
        <f t="shared" si="1"/>
        <v>Zac</v>
      </c>
      <c r="C2955" s="13" t="str">
        <f t="shared" si="2"/>
        <v>Robinson</v>
      </c>
      <c r="D2955" s="13" t="str">
        <f t="shared" si="3"/>
        <v>#N/A</v>
      </c>
      <c r="E2955" s="1" t="s">
        <v>65</v>
      </c>
    </row>
    <row r="2956" ht="15.75" customHeight="1">
      <c r="A2956" s="1" t="s">
        <v>3076</v>
      </c>
      <c r="B2956" s="13" t="str">
        <f t="shared" si="1"/>
        <v>Zac</v>
      </c>
      <c r="C2956" s="13" t="str">
        <f t="shared" si="2"/>
        <v>Stacy</v>
      </c>
      <c r="D2956" s="13" t="str">
        <f t="shared" si="3"/>
        <v>#N/A</v>
      </c>
      <c r="E2956" s="1" t="s">
        <v>66</v>
      </c>
    </row>
    <row r="2957" ht="15.75" customHeight="1">
      <c r="A2957" s="1" t="s">
        <v>3077</v>
      </c>
      <c r="B2957" s="13" t="str">
        <f t="shared" si="1"/>
        <v>Zac</v>
      </c>
      <c r="C2957" s="13" t="str">
        <f t="shared" si="2"/>
        <v>Thomas</v>
      </c>
      <c r="D2957" s="13" t="str">
        <f t="shared" si="3"/>
        <v>#N/A</v>
      </c>
      <c r="E2957" s="1" t="s">
        <v>65</v>
      </c>
    </row>
    <row r="2958" ht="15.75" customHeight="1">
      <c r="A2958" s="1" t="s">
        <v>3078</v>
      </c>
      <c r="B2958" s="13" t="str">
        <f t="shared" si="1"/>
        <v>Zach</v>
      </c>
      <c r="C2958" s="13" t="str">
        <f t="shared" si="2"/>
        <v>Bauman</v>
      </c>
      <c r="D2958" s="13" t="str">
        <f t="shared" si="3"/>
        <v>#N/A</v>
      </c>
      <c r="E2958" s="1" t="s">
        <v>66</v>
      </c>
    </row>
    <row r="2959" ht="15.75" customHeight="1">
      <c r="A2959" s="1" t="s">
        <v>3079</v>
      </c>
      <c r="B2959" s="13" t="str">
        <f t="shared" si="1"/>
        <v>Zach</v>
      </c>
      <c r="C2959" s="13" t="str">
        <f t="shared" si="2"/>
        <v>Calzada</v>
      </c>
      <c r="D2959" s="13" t="str">
        <f t="shared" si="3"/>
        <v>#N/A</v>
      </c>
      <c r="E2959" s="1" t="s">
        <v>65</v>
      </c>
    </row>
    <row r="2960" ht="15.75" customHeight="1">
      <c r="A2960" s="1" t="s">
        <v>3080</v>
      </c>
      <c r="B2960" s="13" t="str">
        <f t="shared" si="1"/>
        <v>Zach</v>
      </c>
      <c r="C2960" s="13" t="str">
        <f t="shared" si="2"/>
        <v>Charbonnet</v>
      </c>
      <c r="D2960" s="13" t="str">
        <f t="shared" si="3"/>
        <v>#N/A</v>
      </c>
      <c r="E2960" s="1" t="s">
        <v>66</v>
      </c>
    </row>
    <row r="2961" ht="15.75" customHeight="1">
      <c r="A2961" s="1" t="s">
        <v>3081</v>
      </c>
      <c r="B2961" s="13" t="str">
        <f t="shared" si="1"/>
        <v>Zach</v>
      </c>
      <c r="C2961" s="13" t="str">
        <f t="shared" si="2"/>
        <v>Conque</v>
      </c>
      <c r="D2961" s="13" t="str">
        <f t="shared" si="3"/>
        <v>#N/A</v>
      </c>
      <c r="E2961" s="1" t="s">
        <v>68</v>
      </c>
    </row>
    <row r="2962" ht="15.75" customHeight="1">
      <c r="A2962" s="1" t="s">
        <v>3082</v>
      </c>
      <c r="B2962" s="13" t="str">
        <f t="shared" si="1"/>
        <v>Zach</v>
      </c>
      <c r="C2962" s="13" t="str">
        <f t="shared" si="2"/>
        <v>Davidson</v>
      </c>
      <c r="D2962" s="13" t="str">
        <f t="shared" si="3"/>
        <v>#N/A</v>
      </c>
      <c r="E2962" s="1" t="s">
        <v>68</v>
      </c>
    </row>
    <row r="2963" ht="15.75" customHeight="1">
      <c r="A2963" s="1" t="s">
        <v>819</v>
      </c>
      <c r="B2963" s="13" t="str">
        <f t="shared" si="1"/>
        <v>Zach</v>
      </c>
      <c r="C2963" s="13" t="str">
        <f t="shared" si="2"/>
        <v>Ertz</v>
      </c>
      <c r="D2963" s="13" t="str">
        <f t="shared" si="3"/>
        <v>#N/A</v>
      </c>
      <c r="E2963" s="1" t="s">
        <v>68</v>
      </c>
    </row>
    <row r="2964" ht="15.75" customHeight="1">
      <c r="A2964" s="1" t="s">
        <v>3083</v>
      </c>
      <c r="B2964" s="13" t="str">
        <f t="shared" si="1"/>
        <v>Zach</v>
      </c>
      <c r="C2964" s="13" t="str">
        <f t="shared" si="2"/>
        <v>Gentry</v>
      </c>
      <c r="D2964" s="13" t="str">
        <f t="shared" si="3"/>
        <v>#N/A</v>
      </c>
      <c r="E2964" s="1" t="s">
        <v>68</v>
      </c>
    </row>
    <row r="2965" ht="15.75" customHeight="1">
      <c r="A2965" s="1" t="s">
        <v>3084</v>
      </c>
      <c r="B2965" s="13" t="str">
        <f t="shared" si="1"/>
        <v>Zach</v>
      </c>
      <c r="C2965" s="13" t="str">
        <f t="shared" si="2"/>
        <v>Laskey</v>
      </c>
      <c r="D2965" s="13" t="str">
        <f t="shared" si="3"/>
        <v>#N/A</v>
      </c>
      <c r="E2965" s="1" t="s">
        <v>66</v>
      </c>
    </row>
    <row r="2966" ht="15.75" customHeight="1">
      <c r="A2966" s="1" t="s">
        <v>3085</v>
      </c>
      <c r="B2966" s="13" t="str">
        <f t="shared" si="1"/>
        <v>Zach</v>
      </c>
      <c r="C2966" s="13" t="str">
        <f t="shared" si="2"/>
        <v>Line</v>
      </c>
      <c r="D2966" s="13" t="str">
        <f t="shared" si="3"/>
        <v>#N/A</v>
      </c>
      <c r="E2966" s="1" t="s">
        <v>66</v>
      </c>
    </row>
    <row r="2967" ht="15.75" customHeight="1">
      <c r="A2967" s="1" t="s">
        <v>3086</v>
      </c>
      <c r="B2967" s="13" t="str">
        <f t="shared" si="1"/>
        <v>Zach</v>
      </c>
      <c r="C2967" s="13" t="str">
        <f t="shared" si="2"/>
        <v>Mettenberger</v>
      </c>
      <c r="D2967" s="13" t="str">
        <f t="shared" si="3"/>
        <v>#N/A</v>
      </c>
      <c r="E2967" s="1" t="s">
        <v>65</v>
      </c>
    </row>
    <row r="2968" ht="15.75" customHeight="1">
      <c r="A2968" s="1" t="s">
        <v>1883</v>
      </c>
      <c r="B2968" s="13" t="str">
        <f t="shared" si="1"/>
        <v>Zach</v>
      </c>
      <c r="C2968" s="13" t="str">
        <f t="shared" si="2"/>
        <v>Miller</v>
      </c>
      <c r="D2968" s="13" t="str">
        <f t="shared" si="3"/>
        <v>#N/A</v>
      </c>
      <c r="E2968" s="1" t="s">
        <v>68</v>
      </c>
    </row>
    <row r="2969" ht="15.75" customHeight="1">
      <c r="A2969" s="1" t="s">
        <v>1883</v>
      </c>
      <c r="B2969" s="13" t="str">
        <f t="shared" si="1"/>
        <v>Zach</v>
      </c>
      <c r="C2969" s="13" t="str">
        <f t="shared" si="2"/>
        <v>Miller</v>
      </c>
      <c r="D2969" s="13" t="str">
        <f t="shared" si="3"/>
        <v>#N/A</v>
      </c>
      <c r="E2969" s="1" t="s">
        <v>68</v>
      </c>
    </row>
    <row r="2970" ht="15.75" customHeight="1">
      <c r="A2970" s="1" t="s">
        <v>3087</v>
      </c>
      <c r="B2970" s="13" t="str">
        <f t="shared" si="1"/>
        <v>Zach</v>
      </c>
      <c r="C2970" s="13" t="str">
        <f t="shared" si="2"/>
        <v>Pascal</v>
      </c>
      <c r="D2970" s="13" t="str">
        <f t="shared" si="3"/>
        <v>#N/A</v>
      </c>
      <c r="E2970" s="1" t="s">
        <v>69</v>
      </c>
    </row>
    <row r="2971" ht="15.75" customHeight="1">
      <c r="A2971" s="1" t="s">
        <v>3088</v>
      </c>
      <c r="B2971" s="13" t="str">
        <f t="shared" si="1"/>
        <v>Zach</v>
      </c>
      <c r="C2971" s="13" t="str">
        <f t="shared" si="2"/>
        <v>Smith</v>
      </c>
      <c r="D2971" s="13" t="str">
        <f t="shared" si="3"/>
        <v>#N/A</v>
      </c>
      <c r="E2971" s="1" t="s">
        <v>65</v>
      </c>
    </row>
    <row r="2972" ht="15.75" customHeight="1">
      <c r="A2972" s="1" t="s">
        <v>3089</v>
      </c>
      <c r="B2972" s="13" t="str">
        <f t="shared" si="1"/>
        <v>Zach</v>
      </c>
      <c r="C2972" s="13" t="str">
        <f t="shared" si="2"/>
        <v>Sudfeld</v>
      </c>
      <c r="D2972" s="13" t="str">
        <f t="shared" si="3"/>
        <v>#N/A</v>
      </c>
      <c r="E2972" s="1" t="s">
        <v>68</v>
      </c>
    </row>
    <row r="2973" ht="15.75" customHeight="1">
      <c r="A2973" s="1" t="s">
        <v>3090</v>
      </c>
      <c r="B2973" s="13" t="str">
        <f t="shared" si="1"/>
        <v>Zach</v>
      </c>
      <c r="C2973" s="13" t="str">
        <f t="shared" si="2"/>
        <v>Wilson</v>
      </c>
      <c r="D2973" s="13" t="str">
        <f t="shared" si="3"/>
        <v>#N/A</v>
      </c>
      <c r="E2973" s="1" t="s">
        <v>65</v>
      </c>
    </row>
    <row r="2974" ht="15.75" customHeight="1">
      <c r="A2974" s="1" t="s">
        <v>3091</v>
      </c>
      <c r="B2974" s="13" t="str">
        <f t="shared" si="1"/>
        <v>Zach</v>
      </c>
      <c r="C2974" s="13" t="str">
        <f t="shared" si="2"/>
        <v>Zenner</v>
      </c>
      <c r="D2974" s="13" t="str">
        <f t="shared" si="3"/>
        <v>#N/A</v>
      </c>
      <c r="E2974" s="1" t="s">
        <v>66</v>
      </c>
    </row>
    <row r="2975" ht="15.75" customHeight="1">
      <c r="A2975" s="1" t="s">
        <v>3092</v>
      </c>
      <c r="B2975" s="13" t="str">
        <f t="shared" si="1"/>
        <v>Zach</v>
      </c>
      <c r="C2975" s="13" t="str">
        <f t="shared" si="2"/>
        <v>Zulli</v>
      </c>
      <c r="D2975" s="13" t="str">
        <f t="shared" si="3"/>
        <v>#N/A</v>
      </c>
      <c r="E2975" s="1" t="s">
        <v>65</v>
      </c>
    </row>
    <row r="2976" ht="15.75" customHeight="1">
      <c r="A2976" s="1" t="s">
        <v>3093</v>
      </c>
      <c r="B2976" s="13" t="str">
        <f t="shared" si="1"/>
        <v>Zachariah</v>
      </c>
      <c r="C2976" s="13" t="str">
        <f t="shared" si="2"/>
        <v>Branch</v>
      </c>
      <c r="D2976" s="13" t="str">
        <f t="shared" si="3"/>
        <v>#N/A</v>
      </c>
      <c r="E2976" s="1" t="s">
        <v>65</v>
      </c>
    </row>
    <row r="2977" ht="15.75" customHeight="1">
      <c r="A2977" s="1" t="s">
        <v>3094</v>
      </c>
      <c r="B2977" s="13" t="str">
        <f t="shared" si="1"/>
        <v>Zachary</v>
      </c>
      <c r="C2977" s="13" t="str">
        <f t="shared" si="2"/>
        <v>Evans</v>
      </c>
      <c r="D2977" s="13" t="str">
        <f t="shared" si="3"/>
        <v>#N/A</v>
      </c>
      <c r="E2977" s="1" t="s">
        <v>66</v>
      </c>
    </row>
    <row r="2978" ht="15.75" customHeight="1">
      <c r="A2978" s="1" t="s">
        <v>148</v>
      </c>
      <c r="B2978" s="13" t="str">
        <f t="shared" si="1"/>
        <v>Zack</v>
      </c>
      <c r="C2978" s="13" t="str">
        <f t="shared" si="2"/>
        <v>Moss</v>
      </c>
      <c r="D2978" s="13" t="str">
        <f t="shared" si="3"/>
        <v>#N/A</v>
      </c>
      <c r="E2978" s="1" t="s">
        <v>66</v>
      </c>
    </row>
    <row r="2979" ht="15.75" customHeight="1">
      <c r="A2979" s="1" t="s">
        <v>3095</v>
      </c>
      <c r="B2979" s="13" t="str">
        <f t="shared" si="1"/>
        <v>Zamir</v>
      </c>
      <c r="C2979" s="13" t="str">
        <f t="shared" si="2"/>
        <v>White</v>
      </c>
      <c r="D2979" s="13" t="str">
        <f t="shared" si="3"/>
        <v>#N/A</v>
      </c>
      <c r="E2979" s="1" t="s">
        <v>66</v>
      </c>
    </row>
    <row r="2980" ht="15.75" customHeight="1">
      <c r="A2980" s="1" t="s">
        <v>3096</v>
      </c>
      <c r="B2980" s="13" t="str">
        <f t="shared" si="1"/>
        <v>Zander</v>
      </c>
      <c r="C2980" s="13" t="str">
        <f t="shared" si="2"/>
        <v>Horvath</v>
      </c>
      <c r="D2980" s="13" t="str">
        <f t="shared" si="3"/>
        <v>#N/A</v>
      </c>
      <c r="E2980" s="1" t="s">
        <v>66</v>
      </c>
    </row>
    <row r="2981" ht="15.75" customHeight="1">
      <c r="A2981" s="1" t="s">
        <v>606</v>
      </c>
      <c r="B2981" s="13" t="str">
        <f t="shared" si="1"/>
        <v>Zane</v>
      </c>
      <c r="C2981" s="13" t="str">
        <f t="shared" si="2"/>
        <v>Gonzalez</v>
      </c>
      <c r="D2981" s="13" t="str">
        <f t="shared" si="3"/>
        <v>#N/A</v>
      </c>
      <c r="E2981" s="1" t="s">
        <v>64</v>
      </c>
    </row>
    <row r="2982" ht="15.75" customHeight="1">
      <c r="A2982" s="1" t="s">
        <v>3097</v>
      </c>
      <c r="B2982" s="13" t="str">
        <f t="shared" si="1"/>
        <v>ZaQuandre</v>
      </c>
      <c r="C2982" s="13" t="str">
        <f t="shared" si="2"/>
        <v>White</v>
      </c>
      <c r="D2982" s="13" t="str">
        <f t="shared" si="3"/>
        <v>#N/A</v>
      </c>
      <c r="E2982" s="1" t="s">
        <v>66</v>
      </c>
    </row>
    <row r="2983" ht="15.75" customHeight="1">
      <c r="A2983" s="1" t="s">
        <v>3098</v>
      </c>
      <c r="B2983" s="13" t="str">
        <f t="shared" si="1"/>
        <v>Zay</v>
      </c>
      <c r="C2983" s="13" t="str">
        <f t="shared" si="2"/>
        <v>Flowers</v>
      </c>
      <c r="D2983" s="13" t="str">
        <f t="shared" si="3"/>
        <v>#N/A</v>
      </c>
      <c r="E2983" s="1" t="s">
        <v>69</v>
      </c>
    </row>
    <row r="2984" ht="15.75" customHeight="1">
      <c r="A2984" s="1" t="s">
        <v>1568</v>
      </c>
      <c r="B2984" s="13" t="str">
        <f t="shared" si="1"/>
        <v>Zay</v>
      </c>
      <c r="C2984" s="13" t="str">
        <f t="shared" si="2"/>
        <v>Jones</v>
      </c>
      <c r="D2984" s="13" t="str">
        <f t="shared" si="3"/>
        <v>#N/A</v>
      </c>
      <c r="E2984" s="1" t="s">
        <v>69</v>
      </c>
    </row>
    <row r="2985" ht="15.75" customHeight="1">
      <c r="A2985" s="1" t="s">
        <v>3099</v>
      </c>
      <c r="B2985" s="13" t="str">
        <f t="shared" si="1"/>
        <v>Zonovan</v>
      </c>
      <c r="C2985" s="13" t="str">
        <f t="shared" si="2"/>
        <v>Knight</v>
      </c>
      <c r="D2985" s="13" t="str">
        <f t="shared" si="3"/>
        <v>#N/A</v>
      </c>
      <c r="E2985" s="1" t="s">
        <v>66</v>
      </c>
    </row>
    <row r="2986" ht="15.75" customHeight="1">
      <c r="A2986" s="1" t="s">
        <v>3100</v>
      </c>
      <c r="B2986" s="13" t="str">
        <f t="shared" si="1"/>
        <v>Zurlon</v>
      </c>
      <c r="C2986" s="13" t="str">
        <f t="shared" si="2"/>
        <v>Tipton</v>
      </c>
      <c r="D2986" s="13" t="str">
        <f t="shared" si="3"/>
        <v>#N/A</v>
      </c>
      <c r="E2986" s="1" t="s">
        <v>66</v>
      </c>
    </row>
  </sheetData>
  <autoFilter ref="$A$1:$E$2940">
    <sortState ref="A1:E2940">
      <sortCondition ref="A1:A2940"/>
    </sortState>
  </autoFilter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19.22"/>
    <col customWidth="1" min="3" max="26" width="8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